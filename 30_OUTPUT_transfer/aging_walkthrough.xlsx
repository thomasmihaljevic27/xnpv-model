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homa\Desktop\xNPV\30_OUTPUT\"/>
    </mc:Choice>
  </mc:AlternateContent>
  <xr:revisionPtr revIDLastSave="0" documentId="13_ncr:1_{01A45A27-3D56-4837-AD39-7ABAC29687F1}" xr6:coauthVersionLast="47" xr6:coauthVersionMax="47" xr10:uidLastSave="{00000000-0000-0000-0000-000000000000}"/>
  <bookViews>
    <workbookView xWindow="-98" yWindow="-98" windowWidth="21795" windowHeight="12975" tabRatio="776" firstSheet="2" activeTab="6" xr2:uid="{00000000-000D-0000-FFFF-FFFF00000000}"/>
  </bookViews>
  <sheets>
    <sheet name="Read me" sheetId="1" r:id="rId1"/>
    <sheet name="Settings" sheetId="2" r:id="rId2"/>
    <sheet name="Yardstick" sheetId="3" r:id="rId3"/>
    <sheet name="OReilly 1 Seasons" sheetId="4" r:id="rId4"/>
    <sheet name="OReilly 2 Profile" sheetId="5" r:id="rId5"/>
    <sheet name="OReilly 3 Comparables" sheetId="6" r:id="rId6"/>
    <sheet name="OReilly 4 Aging path" sheetId="7" r:id="rId7"/>
    <sheet name="Kadri 1 Seasons" sheetId="8" r:id="rId8"/>
    <sheet name="Kadri 2 Profile" sheetId="9" r:id="rId9"/>
    <sheet name="Kadri 3 Comparables" sheetId="10" r:id="rId10"/>
    <sheet name="Kadri 4 Aging path" sheetId="11" r:id="rId11"/>
    <sheet name="Pacioretty 1 Seasons" sheetId="12" r:id="rId12"/>
    <sheet name="Pacioretty 2 Profile" sheetId="13" r:id="rId13"/>
    <sheet name="Pacioretty 3 Comparables" sheetId="14" r:id="rId14"/>
    <sheet name="Pacioretty 4 Aging path" sheetId="15" r:id="rId15"/>
  </sheets>
  <definedNames>
    <definedName name="BaseFloor">Settings!$B$14</definedName>
    <definedName name="K_league">Settings!$B$10</definedName>
    <definedName name="Lambda">Settings!$B$11</definedName>
    <definedName name="MinGP_base">Settings!$B$5</definedName>
    <definedName name="MinGP_curve">Settings!$B$6</definedName>
    <definedName name="RatioCap">Settings!$B$13</definedName>
    <definedName name="RatioFloor">Settings!$B$12</definedName>
    <definedName name="W_older">Settings!$B$8</definedName>
    <definedName name="W_recent">Settings!$B$7</definedName>
    <definedName name="Yardstick">Settings!$B$9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5" l="1"/>
  <c r="H38" i="15"/>
  <c r="H37" i="15"/>
  <c r="H36" i="15"/>
  <c r="H35" i="15"/>
  <c r="H34" i="15"/>
  <c r="C27" i="15"/>
  <c r="C26" i="15"/>
  <c r="C25" i="15"/>
  <c r="C24" i="15"/>
  <c r="C23" i="15"/>
  <c r="B14" i="15"/>
  <c r="B11" i="15"/>
  <c r="U363" i="14"/>
  <c r="T363" i="14"/>
  <c r="S363" i="14"/>
  <c r="R363" i="14"/>
  <c r="Q363" i="14"/>
  <c r="P363" i="14"/>
  <c r="O363" i="14"/>
  <c r="N363" i="14"/>
  <c r="U362" i="14"/>
  <c r="T362" i="14"/>
  <c r="S362" i="14"/>
  <c r="R362" i="14"/>
  <c r="Q362" i="14"/>
  <c r="P362" i="14"/>
  <c r="O362" i="14"/>
  <c r="N362" i="14"/>
  <c r="U361" i="14"/>
  <c r="T361" i="14"/>
  <c r="S361" i="14"/>
  <c r="R361" i="14"/>
  <c r="Q361" i="14"/>
  <c r="P361" i="14"/>
  <c r="O361" i="14"/>
  <c r="N361" i="14"/>
  <c r="U360" i="14"/>
  <c r="T360" i="14"/>
  <c r="S360" i="14"/>
  <c r="R360" i="14"/>
  <c r="Q360" i="14"/>
  <c r="P360" i="14"/>
  <c r="O360" i="14"/>
  <c r="N360" i="14"/>
  <c r="U359" i="14"/>
  <c r="T359" i="14"/>
  <c r="S359" i="14"/>
  <c r="R359" i="14"/>
  <c r="Q359" i="14"/>
  <c r="P359" i="14"/>
  <c r="O359" i="14"/>
  <c r="N359" i="14"/>
  <c r="U358" i="14"/>
  <c r="T358" i="14"/>
  <c r="S358" i="14"/>
  <c r="R358" i="14"/>
  <c r="Q358" i="14"/>
  <c r="P358" i="14"/>
  <c r="O358" i="14"/>
  <c r="N358" i="14"/>
  <c r="U357" i="14"/>
  <c r="T357" i="14"/>
  <c r="S357" i="14"/>
  <c r="R357" i="14"/>
  <c r="Q357" i="14"/>
  <c r="P357" i="14"/>
  <c r="O357" i="14"/>
  <c r="N357" i="14"/>
  <c r="U356" i="14"/>
  <c r="T356" i="14"/>
  <c r="S356" i="14"/>
  <c r="R356" i="14"/>
  <c r="Q356" i="14"/>
  <c r="P356" i="14"/>
  <c r="O356" i="14"/>
  <c r="N356" i="14"/>
  <c r="U355" i="14"/>
  <c r="T355" i="14"/>
  <c r="S355" i="14"/>
  <c r="R355" i="14"/>
  <c r="Q355" i="14"/>
  <c r="P355" i="14"/>
  <c r="O355" i="14"/>
  <c r="N355" i="14"/>
  <c r="U354" i="14"/>
  <c r="T354" i="14"/>
  <c r="S354" i="14"/>
  <c r="R354" i="14"/>
  <c r="Q354" i="14"/>
  <c r="P354" i="14"/>
  <c r="O354" i="14"/>
  <c r="N354" i="14"/>
  <c r="U353" i="14"/>
  <c r="T353" i="14"/>
  <c r="S353" i="14"/>
  <c r="R353" i="14"/>
  <c r="Q353" i="14"/>
  <c r="P353" i="14"/>
  <c r="O353" i="14"/>
  <c r="N353" i="14"/>
  <c r="U352" i="14"/>
  <c r="T352" i="14"/>
  <c r="S352" i="14"/>
  <c r="R352" i="14"/>
  <c r="Q352" i="14"/>
  <c r="P352" i="14"/>
  <c r="O352" i="14"/>
  <c r="N352" i="14"/>
  <c r="U351" i="14"/>
  <c r="T351" i="14"/>
  <c r="S351" i="14"/>
  <c r="R351" i="14"/>
  <c r="Q351" i="14"/>
  <c r="P351" i="14"/>
  <c r="O351" i="14"/>
  <c r="N351" i="14"/>
  <c r="U350" i="14"/>
  <c r="T350" i="14"/>
  <c r="S350" i="14"/>
  <c r="R350" i="14"/>
  <c r="Q350" i="14"/>
  <c r="P350" i="14"/>
  <c r="O350" i="14"/>
  <c r="N350" i="14"/>
  <c r="U349" i="14"/>
  <c r="T349" i="14"/>
  <c r="S349" i="14"/>
  <c r="R349" i="14"/>
  <c r="Q349" i="14"/>
  <c r="P349" i="14"/>
  <c r="O349" i="14"/>
  <c r="N349" i="14"/>
  <c r="U348" i="14"/>
  <c r="T348" i="14"/>
  <c r="S348" i="14"/>
  <c r="R348" i="14"/>
  <c r="Q348" i="14"/>
  <c r="P348" i="14"/>
  <c r="O348" i="14"/>
  <c r="N348" i="14"/>
  <c r="U347" i="14"/>
  <c r="T347" i="14"/>
  <c r="S347" i="14"/>
  <c r="R347" i="14"/>
  <c r="Q347" i="14"/>
  <c r="P347" i="14"/>
  <c r="O347" i="14"/>
  <c r="N347" i="14"/>
  <c r="U346" i="14"/>
  <c r="T346" i="14"/>
  <c r="S346" i="14"/>
  <c r="R346" i="14"/>
  <c r="Q346" i="14"/>
  <c r="P346" i="14"/>
  <c r="O346" i="14"/>
  <c r="N346" i="14"/>
  <c r="U345" i="14"/>
  <c r="T345" i="14"/>
  <c r="S345" i="14"/>
  <c r="R345" i="14"/>
  <c r="Q345" i="14"/>
  <c r="P345" i="14"/>
  <c r="O345" i="14"/>
  <c r="N345" i="14"/>
  <c r="U344" i="14"/>
  <c r="T344" i="14"/>
  <c r="S344" i="14"/>
  <c r="R344" i="14"/>
  <c r="Q344" i="14"/>
  <c r="P344" i="14"/>
  <c r="O344" i="14"/>
  <c r="N344" i="14"/>
  <c r="U343" i="14"/>
  <c r="T343" i="14"/>
  <c r="S343" i="14"/>
  <c r="R343" i="14"/>
  <c r="Q343" i="14"/>
  <c r="P343" i="14"/>
  <c r="O343" i="14"/>
  <c r="N343" i="14"/>
  <c r="U342" i="14"/>
  <c r="T342" i="14"/>
  <c r="S342" i="14"/>
  <c r="R342" i="14"/>
  <c r="Q342" i="14"/>
  <c r="P342" i="14"/>
  <c r="O342" i="14"/>
  <c r="N342" i="14"/>
  <c r="U341" i="14"/>
  <c r="T341" i="14"/>
  <c r="S341" i="14"/>
  <c r="R341" i="14"/>
  <c r="Q341" i="14"/>
  <c r="P341" i="14"/>
  <c r="O341" i="14"/>
  <c r="N341" i="14"/>
  <c r="U340" i="14"/>
  <c r="T340" i="14"/>
  <c r="S340" i="14"/>
  <c r="R340" i="14"/>
  <c r="Q340" i="14"/>
  <c r="P340" i="14"/>
  <c r="O340" i="14"/>
  <c r="N340" i="14"/>
  <c r="U339" i="14"/>
  <c r="T339" i="14"/>
  <c r="S339" i="14"/>
  <c r="R339" i="14"/>
  <c r="Q339" i="14"/>
  <c r="P339" i="14"/>
  <c r="O339" i="14"/>
  <c r="N339" i="14"/>
  <c r="U338" i="14"/>
  <c r="T338" i="14"/>
  <c r="S338" i="14"/>
  <c r="R338" i="14"/>
  <c r="Q338" i="14"/>
  <c r="P338" i="14"/>
  <c r="O338" i="14"/>
  <c r="N338" i="14"/>
  <c r="U337" i="14"/>
  <c r="T337" i="14"/>
  <c r="S337" i="14"/>
  <c r="R337" i="14"/>
  <c r="Q337" i="14"/>
  <c r="P337" i="14"/>
  <c r="O337" i="14"/>
  <c r="N337" i="14"/>
  <c r="U336" i="14"/>
  <c r="T336" i="14"/>
  <c r="S336" i="14"/>
  <c r="R336" i="14"/>
  <c r="Q336" i="14"/>
  <c r="P336" i="14"/>
  <c r="O336" i="14"/>
  <c r="N336" i="14"/>
  <c r="U335" i="14"/>
  <c r="T335" i="14"/>
  <c r="S335" i="14"/>
  <c r="R335" i="14"/>
  <c r="Q335" i="14"/>
  <c r="P335" i="14"/>
  <c r="O335" i="14"/>
  <c r="N335" i="14"/>
  <c r="U334" i="14"/>
  <c r="T334" i="14"/>
  <c r="S334" i="14"/>
  <c r="R334" i="14"/>
  <c r="Q334" i="14"/>
  <c r="P334" i="14"/>
  <c r="O334" i="14"/>
  <c r="N334" i="14"/>
  <c r="U333" i="14"/>
  <c r="T333" i="14"/>
  <c r="S333" i="14"/>
  <c r="R333" i="14"/>
  <c r="Q333" i="14"/>
  <c r="P333" i="14"/>
  <c r="O333" i="14"/>
  <c r="N333" i="14"/>
  <c r="U332" i="14"/>
  <c r="T332" i="14"/>
  <c r="S332" i="14"/>
  <c r="R332" i="14"/>
  <c r="Q332" i="14"/>
  <c r="P332" i="14"/>
  <c r="O332" i="14"/>
  <c r="N332" i="14"/>
  <c r="U331" i="14"/>
  <c r="T331" i="14"/>
  <c r="S331" i="14"/>
  <c r="R331" i="14"/>
  <c r="Q331" i="14"/>
  <c r="P331" i="14"/>
  <c r="O331" i="14"/>
  <c r="N331" i="14"/>
  <c r="U330" i="14"/>
  <c r="T330" i="14"/>
  <c r="S330" i="14"/>
  <c r="R330" i="14"/>
  <c r="Q330" i="14"/>
  <c r="P330" i="14"/>
  <c r="O330" i="14"/>
  <c r="N330" i="14"/>
  <c r="U329" i="14"/>
  <c r="T329" i="14"/>
  <c r="S329" i="14"/>
  <c r="R329" i="14"/>
  <c r="Q329" i="14"/>
  <c r="P329" i="14"/>
  <c r="O329" i="14"/>
  <c r="N329" i="14"/>
  <c r="U328" i="14"/>
  <c r="T328" i="14"/>
  <c r="S328" i="14"/>
  <c r="R328" i="14"/>
  <c r="Q328" i="14"/>
  <c r="P328" i="14"/>
  <c r="O328" i="14"/>
  <c r="N328" i="14"/>
  <c r="U327" i="14"/>
  <c r="T327" i="14"/>
  <c r="S327" i="14"/>
  <c r="R327" i="14"/>
  <c r="Q327" i="14"/>
  <c r="P327" i="14"/>
  <c r="O327" i="14"/>
  <c r="N327" i="14"/>
  <c r="U326" i="14"/>
  <c r="T326" i="14"/>
  <c r="S326" i="14"/>
  <c r="R326" i="14"/>
  <c r="Q326" i="14"/>
  <c r="P326" i="14"/>
  <c r="O326" i="14"/>
  <c r="N326" i="14"/>
  <c r="U325" i="14"/>
  <c r="T325" i="14"/>
  <c r="S325" i="14"/>
  <c r="R325" i="14"/>
  <c r="Q325" i="14"/>
  <c r="P325" i="14"/>
  <c r="O325" i="14"/>
  <c r="N325" i="14"/>
  <c r="U324" i="14"/>
  <c r="T324" i="14"/>
  <c r="S324" i="14"/>
  <c r="R324" i="14"/>
  <c r="Q324" i="14"/>
  <c r="P324" i="14"/>
  <c r="O324" i="14"/>
  <c r="N324" i="14"/>
  <c r="U323" i="14"/>
  <c r="T323" i="14"/>
  <c r="S323" i="14"/>
  <c r="R323" i="14"/>
  <c r="Q323" i="14"/>
  <c r="P323" i="14"/>
  <c r="O323" i="14"/>
  <c r="N323" i="14"/>
  <c r="U322" i="14"/>
  <c r="T322" i="14"/>
  <c r="S322" i="14"/>
  <c r="R322" i="14"/>
  <c r="Q322" i="14"/>
  <c r="P322" i="14"/>
  <c r="O322" i="14"/>
  <c r="N322" i="14"/>
  <c r="U321" i="14"/>
  <c r="T321" i="14"/>
  <c r="S321" i="14"/>
  <c r="R321" i="14"/>
  <c r="Q321" i="14"/>
  <c r="P321" i="14"/>
  <c r="O321" i="14"/>
  <c r="N321" i="14"/>
  <c r="U320" i="14"/>
  <c r="T320" i="14"/>
  <c r="S320" i="14"/>
  <c r="R320" i="14"/>
  <c r="Q320" i="14"/>
  <c r="P320" i="14"/>
  <c r="O320" i="14"/>
  <c r="N320" i="14"/>
  <c r="U319" i="14"/>
  <c r="T319" i="14"/>
  <c r="S319" i="14"/>
  <c r="R319" i="14"/>
  <c r="Q319" i="14"/>
  <c r="P319" i="14"/>
  <c r="O319" i="14"/>
  <c r="N319" i="14"/>
  <c r="U318" i="14"/>
  <c r="T318" i="14"/>
  <c r="S318" i="14"/>
  <c r="R318" i="14"/>
  <c r="Q318" i="14"/>
  <c r="P318" i="14"/>
  <c r="O318" i="14"/>
  <c r="N318" i="14"/>
  <c r="U317" i="14"/>
  <c r="T317" i="14"/>
  <c r="S317" i="14"/>
  <c r="R317" i="14"/>
  <c r="Q317" i="14"/>
  <c r="P317" i="14"/>
  <c r="O317" i="14"/>
  <c r="N317" i="14"/>
  <c r="U316" i="14"/>
  <c r="T316" i="14"/>
  <c r="S316" i="14"/>
  <c r="R316" i="14"/>
  <c r="Q316" i="14"/>
  <c r="P316" i="14"/>
  <c r="O316" i="14"/>
  <c r="N316" i="14"/>
  <c r="U315" i="14"/>
  <c r="T315" i="14"/>
  <c r="S315" i="14"/>
  <c r="R315" i="14"/>
  <c r="Q315" i="14"/>
  <c r="P315" i="14"/>
  <c r="O315" i="14"/>
  <c r="N315" i="14"/>
  <c r="U314" i="14"/>
  <c r="T314" i="14"/>
  <c r="S314" i="14"/>
  <c r="R314" i="14"/>
  <c r="Q314" i="14"/>
  <c r="P314" i="14"/>
  <c r="O314" i="14"/>
  <c r="N314" i="14"/>
  <c r="U313" i="14"/>
  <c r="T313" i="14"/>
  <c r="S313" i="14"/>
  <c r="R313" i="14"/>
  <c r="Q313" i="14"/>
  <c r="P313" i="14"/>
  <c r="O313" i="14"/>
  <c r="N313" i="14"/>
  <c r="U312" i="14"/>
  <c r="T312" i="14"/>
  <c r="S312" i="14"/>
  <c r="R312" i="14"/>
  <c r="Q312" i="14"/>
  <c r="P312" i="14"/>
  <c r="O312" i="14"/>
  <c r="N312" i="14"/>
  <c r="U311" i="14"/>
  <c r="T311" i="14"/>
  <c r="S311" i="14"/>
  <c r="R311" i="14"/>
  <c r="Q311" i="14"/>
  <c r="P311" i="14"/>
  <c r="O311" i="14"/>
  <c r="N311" i="14"/>
  <c r="U310" i="14"/>
  <c r="T310" i="14"/>
  <c r="S310" i="14"/>
  <c r="R310" i="14"/>
  <c r="Q310" i="14"/>
  <c r="P310" i="14"/>
  <c r="O310" i="14"/>
  <c r="N310" i="14"/>
  <c r="U309" i="14"/>
  <c r="T309" i="14"/>
  <c r="S309" i="14"/>
  <c r="R309" i="14"/>
  <c r="Q309" i="14"/>
  <c r="P309" i="14"/>
  <c r="O309" i="14"/>
  <c r="N309" i="14"/>
  <c r="U308" i="14"/>
  <c r="T308" i="14"/>
  <c r="S308" i="14"/>
  <c r="R308" i="14"/>
  <c r="Q308" i="14"/>
  <c r="P308" i="14"/>
  <c r="O308" i="14"/>
  <c r="N308" i="14"/>
  <c r="U307" i="14"/>
  <c r="T307" i="14"/>
  <c r="S307" i="14"/>
  <c r="R307" i="14"/>
  <c r="Q307" i="14"/>
  <c r="P307" i="14"/>
  <c r="O307" i="14"/>
  <c r="N307" i="14"/>
  <c r="U306" i="14"/>
  <c r="T306" i="14"/>
  <c r="S306" i="14"/>
  <c r="R306" i="14"/>
  <c r="Q306" i="14"/>
  <c r="P306" i="14"/>
  <c r="O306" i="14"/>
  <c r="N306" i="14"/>
  <c r="U305" i="14"/>
  <c r="T305" i="14"/>
  <c r="S305" i="14"/>
  <c r="R305" i="14"/>
  <c r="Q305" i="14"/>
  <c r="P305" i="14"/>
  <c r="O305" i="14"/>
  <c r="N305" i="14"/>
  <c r="U304" i="14"/>
  <c r="T304" i="14"/>
  <c r="S304" i="14"/>
  <c r="R304" i="14"/>
  <c r="Q304" i="14"/>
  <c r="P304" i="14"/>
  <c r="O304" i="14"/>
  <c r="N304" i="14"/>
  <c r="U303" i="14"/>
  <c r="T303" i="14"/>
  <c r="S303" i="14"/>
  <c r="R303" i="14"/>
  <c r="Q303" i="14"/>
  <c r="P303" i="14"/>
  <c r="O303" i="14"/>
  <c r="N303" i="14"/>
  <c r="U302" i="14"/>
  <c r="T302" i="14"/>
  <c r="S302" i="14"/>
  <c r="R302" i="14"/>
  <c r="Q302" i="14"/>
  <c r="P302" i="14"/>
  <c r="O302" i="14"/>
  <c r="N302" i="14"/>
  <c r="U301" i="14"/>
  <c r="T301" i="14"/>
  <c r="S301" i="14"/>
  <c r="R301" i="14"/>
  <c r="Q301" i="14"/>
  <c r="P301" i="14"/>
  <c r="O301" i="14"/>
  <c r="N301" i="14"/>
  <c r="U300" i="14"/>
  <c r="T300" i="14"/>
  <c r="S300" i="14"/>
  <c r="R300" i="14"/>
  <c r="Q300" i="14"/>
  <c r="P300" i="14"/>
  <c r="O300" i="14"/>
  <c r="N300" i="14"/>
  <c r="U299" i="14"/>
  <c r="T299" i="14"/>
  <c r="S299" i="14"/>
  <c r="R299" i="14"/>
  <c r="Q299" i="14"/>
  <c r="P299" i="14"/>
  <c r="O299" i="14"/>
  <c r="N299" i="14"/>
  <c r="U298" i="14"/>
  <c r="T298" i="14"/>
  <c r="S298" i="14"/>
  <c r="R298" i="14"/>
  <c r="Q298" i="14"/>
  <c r="P298" i="14"/>
  <c r="O298" i="14"/>
  <c r="N298" i="14"/>
  <c r="U297" i="14"/>
  <c r="T297" i="14"/>
  <c r="S297" i="14"/>
  <c r="R297" i="14"/>
  <c r="Q297" i="14"/>
  <c r="P297" i="14"/>
  <c r="O297" i="14"/>
  <c r="N297" i="14"/>
  <c r="U296" i="14"/>
  <c r="T296" i="14"/>
  <c r="S296" i="14"/>
  <c r="R296" i="14"/>
  <c r="Q296" i="14"/>
  <c r="P296" i="14"/>
  <c r="O296" i="14"/>
  <c r="N296" i="14"/>
  <c r="U295" i="14"/>
  <c r="T295" i="14"/>
  <c r="S295" i="14"/>
  <c r="R295" i="14"/>
  <c r="Q295" i="14"/>
  <c r="P295" i="14"/>
  <c r="O295" i="14"/>
  <c r="N295" i="14"/>
  <c r="U294" i="14"/>
  <c r="T294" i="14"/>
  <c r="S294" i="14"/>
  <c r="R294" i="14"/>
  <c r="Q294" i="14"/>
  <c r="P294" i="14"/>
  <c r="O294" i="14"/>
  <c r="N294" i="14"/>
  <c r="U293" i="14"/>
  <c r="T293" i="14"/>
  <c r="S293" i="14"/>
  <c r="R293" i="14"/>
  <c r="Q293" i="14"/>
  <c r="P293" i="14"/>
  <c r="O293" i="14"/>
  <c r="N293" i="14"/>
  <c r="U292" i="14"/>
  <c r="T292" i="14"/>
  <c r="S292" i="14"/>
  <c r="R292" i="14"/>
  <c r="Q292" i="14"/>
  <c r="P292" i="14"/>
  <c r="O292" i="14"/>
  <c r="N292" i="14"/>
  <c r="U291" i="14"/>
  <c r="T291" i="14"/>
  <c r="S291" i="14"/>
  <c r="R291" i="14"/>
  <c r="Q291" i="14"/>
  <c r="P291" i="14"/>
  <c r="O291" i="14"/>
  <c r="N291" i="14"/>
  <c r="U290" i="14"/>
  <c r="T290" i="14"/>
  <c r="S290" i="14"/>
  <c r="R290" i="14"/>
  <c r="Q290" i="14"/>
  <c r="P290" i="14"/>
  <c r="O290" i="14"/>
  <c r="N290" i="14"/>
  <c r="U289" i="14"/>
  <c r="T289" i="14"/>
  <c r="S289" i="14"/>
  <c r="R289" i="14"/>
  <c r="Q289" i="14"/>
  <c r="P289" i="14"/>
  <c r="O289" i="14"/>
  <c r="N289" i="14"/>
  <c r="U288" i="14"/>
  <c r="T288" i="14"/>
  <c r="S288" i="14"/>
  <c r="R288" i="14"/>
  <c r="Q288" i="14"/>
  <c r="P288" i="14"/>
  <c r="O288" i="14"/>
  <c r="N288" i="14"/>
  <c r="U287" i="14"/>
  <c r="T287" i="14"/>
  <c r="S287" i="14"/>
  <c r="R287" i="14"/>
  <c r="Q287" i="14"/>
  <c r="P287" i="14"/>
  <c r="O287" i="14"/>
  <c r="N287" i="14"/>
  <c r="U286" i="14"/>
  <c r="T286" i="14"/>
  <c r="S286" i="14"/>
  <c r="R286" i="14"/>
  <c r="Q286" i="14"/>
  <c r="P286" i="14"/>
  <c r="O286" i="14"/>
  <c r="N286" i="14"/>
  <c r="U285" i="14"/>
  <c r="T285" i="14"/>
  <c r="S285" i="14"/>
  <c r="R285" i="14"/>
  <c r="Q285" i="14"/>
  <c r="P285" i="14"/>
  <c r="O285" i="14"/>
  <c r="N285" i="14"/>
  <c r="U284" i="14"/>
  <c r="T284" i="14"/>
  <c r="S284" i="14"/>
  <c r="R284" i="14"/>
  <c r="Q284" i="14"/>
  <c r="P284" i="14"/>
  <c r="O284" i="14"/>
  <c r="N284" i="14"/>
  <c r="U283" i="14"/>
  <c r="T283" i="14"/>
  <c r="S283" i="14"/>
  <c r="R283" i="14"/>
  <c r="Q283" i="14"/>
  <c r="P283" i="14"/>
  <c r="O283" i="14"/>
  <c r="N283" i="14"/>
  <c r="U282" i="14"/>
  <c r="T282" i="14"/>
  <c r="S282" i="14"/>
  <c r="R282" i="14"/>
  <c r="Q282" i="14"/>
  <c r="P282" i="14"/>
  <c r="O282" i="14"/>
  <c r="N282" i="14"/>
  <c r="U281" i="14"/>
  <c r="T281" i="14"/>
  <c r="S281" i="14"/>
  <c r="R281" i="14"/>
  <c r="Q281" i="14"/>
  <c r="P281" i="14"/>
  <c r="O281" i="14"/>
  <c r="N281" i="14"/>
  <c r="U280" i="14"/>
  <c r="T280" i="14"/>
  <c r="S280" i="14"/>
  <c r="R280" i="14"/>
  <c r="Q280" i="14"/>
  <c r="P280" i="14"/>
  <c r="O280" i="14"/>
  <c r="N280" i="14"/>
  <c r="U279" i="14"/>
  <c r="T279" i="14"/>
  <c r="S279" i="14"/>
  <c r="R279" i="14"/>
  <c r="Q279" i="14"/>
  <c r="P279" i="14"/>
  <c r="O279" i="14"/>
  <c r="N279" i="14"/>
  <c r="U278" i="14"/>
  <c r="T278" i="14"/>
  <c r="S278" i="14"/>
  <c r="R278" i="14"/>
  <c r="Q278" i="14"/>
  <c r="P278" i="14"/>
  <c r="O278" i="14"/>
  <c r="N278" i="14"/>
  <c r="U277" i="14"/>
  <c r="T277" i="14"/>
  <c r="S277" i="14"/>
  <c r="R277" i="14"/>
  <c r="Q277" i="14"/>
  <c r="P277" i="14"/>
  <c r="O277" i="14"/>
  <c r="N277" i="14"/>
  <c r="U276" i="14"/>
  <c r="T276" i="14"/>
  <c r="S276" i="14"/>
  <c r="R276" i="14"/>
  <c r="Q276" i="14"/>
  <c r="P276" i="14"/>
  <c r="O276" i="14"/>
  <c r="N276" i="14"/>
  <c r="U275" i="14"/>
  <c r="T275" i="14"/>
  <c r="S275" i="14"/>
  <c r="R275" i="14"/>
  <c r="Q275" i="14"/>
  <c r="P275" i="14"/>
  <c r="O275" i="14"/>
  <c r="N275" i="14"/>
  <c r="U274" i="14"/>
  <c r="T274" i="14"/>
  <c r="S274" i="14"/>
  <c r="R274" i="14"/>
  <c r="Q274" i="14"/>
  <c r="P274" i="14"/>
  <c r="O274" i="14"/>
  <c r="N274" i="14"/>
  <c r="U273" i="14"/>
  <c r="T273" i="14"/>
  <c r="S273" i="14"/>
  <c r="R273" i="14"/>
  <c r="Q273" i="14"/>
  <c r="P273" i="14"/>
  <c r="O273" i="14"/>
  <c r="N273" i="14"/>
  <c r="U272" i="14"/>
  <c r="T272" i="14"/>
  <c r="S272" i="14"/>
  <c r="R272" i="14"/>
  <c r="Q272" i="14"/>
  <c r="P272" i="14"/>
  <c r="O272" i="14"/>
  <c r="N272" i="14"/>
  <c r="U271" i="14"/>
  <c r="T271" i="14"/>
  <c r="S271" i="14"/>
  <c r="R271" i="14"/>
  <c r="Q271" i="14"/>
  <c r="P271" i="14"/>
  <c r="O271" i="14"/>
  <c r="N271" i="14"/>
  <c r="U270" i="14"/>
  <c r="T270" i="14"/>
  <c r="S270" i="14"/>
  <c r="R270" i="14"/>
  <c r="Q270" i="14"/>
  <c r="P270" i="14"/>
  <c r="O270" i="14"/>
  <c r="N270" i="14"/>
  <c r="U269" i="14"/>
  <c r="T269" i="14"/>
  <c r="S269" i="14"/>
  <c r="R269" i="14"/>
  <c r="Q269" i="14"/>
  <c r="P269" i="14"/>
  <c r="O269" i="14"/>
  <c r="N269" i="14"/>
  <c r="U268" i="14"/>
  <c r="T268" i="14"/>
  <c r="S268" i="14"/>
  <c r="R268" i="14"/>
  <c r="Q268" i="14"/>
  <c r="P268" i="14"/>
  <c r="O268" i="14"/>
  <c r="N268" i="14"/>
  <c r="U267" i="14"/>
  <c r="T267" i="14"/>
  <c r="S267" i="14"/>
  <c r="R267" i="14"/>
  <c r="Q267" i="14"/>
  <c r="P267" i="14"/>
  <c r="O267" i="14"/>
  <c r="N267" i="14"/>
  <c r="U266" i="14"/>
  <c r="T266" i="14"/>
  <c r="S266" i="14"/>
  <c r="R266" i="14"/>
  <c r="Q266" i="14"/>
  <c r="P266" i="14"/>
  <c r="O266" i="14"/>
  <c r="N266" i="14"/>
  <c r="U265" i="14"/>
  <c r="T265" i="14"/>
  <c r="S265" i="14"/>
  <c r="R265" i="14"/>
  <c r="Q265" i="14"/>
  <c r="P265" i="14"/>
  <c r="O265" i="14"/>
  <c r="N265" i="14"/>
  <c r="U264" i="14"/>
  <c r="T264" i="14"/>
  <c r="S264" i="14"/>
  <c r="R264" i="14"/>
  <c r="Q264" i="14"/>
  <c r="P264" i="14"/>
  <c r="O264" i="14"/>
  <c r="N264" i="14"/>
  <c r="U263" i="14"/>
  <c r="T263" i="14"/>
  <c r="S263" i="14"/>
  <c r="R263" i="14"/>
  <c r="Q263" i="14"/>
  <c r="P263" i="14"/>
  <c r="O263" i="14"/>
  <c r="N263" i="14"/>
  <c r="U262" i="14"/>
  <c r="T262" i="14"/>
  <c r="S262" i="14"/>
  <c r="R262" i="14"/>
  <c r="Q262" i="14"/>
  <c r="P262" i="14"/>
  <c r="O262" i="14"/>
  <c r="N262" i="14"/>
  <c r="U261" i="14"/>
  <c r="T261" i="14"/>
  <c r="S261" i="14"/>
  <c r="R261" i="14"/>
  <c r="Q261" i="14"/>
  <c r="P261" i="14"/>
  <c r="O261" i="14"/>
  <c r="N261" i="14"/>
  <c r="U260" i="14"/>
  <c r="T260" i="14"/>
  <c r="S260" i="14"/>
  <c r="R260" i="14"/>
  <c r="Q260" i="14"/>
  <c r="P260" i="14"/>
  <c r="O260" i="14"/>
  <c r="N260" i="14"/>
  <c r="U259" i="14"/>
  <c r="T259" i="14"/>
  <c r="S259" i="14"/>
  <c r="R259" i="14"/>
  <c r="Q259" i="14"/>
  <c r="P259" i="14"/>
  <c r="O259" i="14"/>
  <c r="N259" i="14"/>
  <c r="U258" i="14"/>
  <c r="T258" i="14"/>
  <c r="S258" i="14"/>
  <c r="R258" i="14"/>
  <c r="Q258" i="14"/>
  <c r="P258" i="14"/>
  <c r="O258" i="14"/>
  <c r="N258" i="14"/>
  <c r="U257" i="14"/>
  <c r="T257" i="14"/>
  <c r="S257" i="14"/>
  <c r="R257" i="14"/>
  <c r="Q257" i="14"/>
  <c r="P257" i="14"/>
  <c r="O257" i="14"/>
  <c r="N257" i="14"/>
  <c r="U256" i="14"/>
  <c r="T256" i="14"/>
  <c r="S256" i="14"/>
  <c r="R256" i="14"/>
  <c r="Q256" i="14"/>
  <c r="P256" i="14"/>
  <c r="O256" i="14"/>
  <c r="N256" i="14"/>
  <c r="U255" i="14"/>
  <c r="T255" i="14"/>
  <c r="S255" i="14"/>
  <c r="R255" i="14"/>
  <c r="Q255" i="14"/>
  <c r="P255" i="14"/>
  <c r="O255" i="14"/>
  <c r="N255" i="14"/>
  <c r="U254" i="14"/>
  <c r="T254" i="14"/>
  <c r="S254" i="14"/>
  <c r="R254" i="14"/>
  <c r="Q254" i="14"/>
  <c r="P254" i="14"/>
  <c r="O254" i="14"/>
  <c r="N254" i="14"/>
  <c r="U253" i="14"/>
  <c r="T253" i="14"/>
  <c r="S253" i="14"/>
  <c r="R253" i="14"/>
  <c r="Q253" i="14"/>
  <c r="P253" i="14"/>
  <c r="O253" i="14"/>
  <c r="N253" i="14"/>
  <c r="U252" i="14"/>
  <c r="T252" i="14"/>
  <c r="S252" i="14"/>
  <c r="R252" i="14"/>
  <c r="Q252" i="14"/>
  <c r="P252" i="14"/>
  <c r="O252" i="14"/>
  <c r="N252" i="14"/>
  <c r="U251" i="14"/>
  <c r="T251" i="14"/>
  <c r="S251" i="14"/>
  <c r="R251" i="14"/>
  <c r="Q251" i="14"/>
  <c r="P251" i="14"/>
  <c r="O251" i="14"/>
  <c r="N251" i="14"/>
  <c r="U250" i="14"/>
  <c r="T250" i="14"/>
  <c r="S250" i="14"/>
  <c r="R250" i="14"/>
  <c r="Q250" i="14"/>
  <c r="P250" i="14"/>
  <c r="O250" i="14"/>
  <c r="N250" i="14"/>
  <c r="U249" i="14"/>
  <c r="T249" i="14"/>
  <c r="S249" i="14"/>
  <c r="R249" i="14"/>
  <c r="Q249" i="14"/>
  <c r="P249" i="14"/>
  <c r="O249" i="14"/>
  <c r="N249" i="14"/>
  <c r="U248" i="14"/>
  <c r="T248" i="14"/>
  <c r="S248" i="14"/>
  <c r="R248" i="14"/>
  <c r="Q248" i="14"/>
  <c r="P248" i="14"/>
  <c r="O248" i="14"/>
  <c r="N248" i="14"/>
  <c r="U247" i="14"/>
  <c r="T247" i="14"/>
  <c r="S247" i="14"/>
  <c r="R247" i="14"/>
  <c r="Q247" i="14"/>
  <c r="P247" i="14"/>
  <c r="O247" i="14"/>
  <c r="N247" i="14"/>
  <c r="U246" i="14"/>
  <c r="T246" i="14"/>
  <c r="S246" i="14"/>
  <c r="R246" i="14"/>
  <c r="Q246" i="14"/>
  <c r="P246" i="14"/>
  <c r="O246" i="14"/>
  <c r="N246" i="14"/>
  <c r="U245" i="14"/>
  <c r="T245" i="14"/>
  <c r="S245" i="14"/>
  <c r="R245" i="14"/>
  <c r="Q245" i="14"/>
  <c r="P245" i="14"/>
  <c r="O245" i="14"/>
  <c r="N245" i="14"/>
  <c r="U244" i="14"/>
  <c r="T244" i="14"/>
  <c r="S244" i="14"/>
  <c r="R244" i="14"/>
  <c r="Q244" i="14"/>
  <c r="P244" i="14"/>
  <c r="O244" i="14"/>
  <c r="N244" i="14"/>
  <c r="U243" i="14"/>
  <c r="T243" i="14"/>
  <c r="S243" i="14"/>
  <c r="R243" i="14"/>
  <c r="Q243" i="14"/>
  <c r="P243" i="14"/>
  <c r="O243" i="14"/>
  <c r="N243" i="14"/>
  <c r="U242" i="14"/>
  <c r="T242" i="14"/>
  <c r="S242" i="14"/>
  <c r="R242" i="14"/>
  <c r="Q242" i="14"/>
  <c r="P242" i="14"/>
  <c r="O242" i="14"/>
  <c r="N242" i="14"/>
  <c r="U241" i="14"/>
  <c r="T241" i="14"/>
  <c r="S241" i="14"/>
  <c r="R241" i="14"/>
  <c r="Q241" i="14"/>
  <c r="P241" i="14"/>
  <c r="O241" i="14"/>
  <c r="N241" i="14"/>
  <c r="U240" i="14"/>
  <c r="T240" i="14"/>
  <c r="S240" i="14"/>
  <c r="R240" i="14"/>
  <c r="Q240" i="14"/>
  <c r="P240" i="14"/>
  <c r="O240" i="14"/>
  <c r="N240" i="14"/>
  <c r="U239" i="14"/>
  <c r="T239" i="14"/>
  <c r="S239" i="14"/>
  <c r="R239" i="14"/>
  <c r="Q239" i="14"/>
  <c r="P239" i="14"/>
  <c r="O239" i="14"/>
  <c r="N239" i="14"/>
  <c r="U238" i="14"/>
  <c r="T238" i="14"/>
  <c r="S238" i="14"/>
  <c r="R238" i="14"/>
  <c r="Q238" i="14"/>
  <c r="P238" i="14"/>
  <c r="O238" i="14"/>
  <c r="N238" i="14"/>
  <c r="U237" i="14"/>
  <c r="T237" i="14"/>
  <c r="S237" i="14"/>
  <c r="R237" i="14"/>
  <c r="Q237" i="14"/>
  <c r="P237" i="14"/>
  <c r="O237" i="14"/>
  <c r="N237" i="14"/>
  <c r="U236" i="14"/>
  <c r="T236" i="14"/>
  <c r="S236" i="14"/>
  <c r="R236" i="14"/>
  <c r="Q236" i="14"/>
  <c r="P236" i="14"/>
  <c r="O236" i="14"/>
  <c r="N236" i="14"/>
  <c r="U235" i="14"/>
  <c r="T235" i="14"/>
  <c r="S235" i="14"/>
  <c r="R235" i="14"/>
  <c r="Q235" i="14"/>
  <c r="P235" i="14"/>
  <c r="O235" i="14"/>
  <c r="N235" i="14"/>
  <c r="U234" i="14"/>
  <c r="T234" i="14"/>
  <c r="S234" i="14"/>
  <c r="R234" i="14"/>
  <c r="Q234" i="14"/>
  <c r="P234" i="14"/>
  <c r="O234" i="14"/>
  <c r="N234" i="14"/>
  <c r="U233" i="14"/>
  <c r="T233" i="14"/>
  <c r="S233" i="14"/>
  <c r="R233" i="14"/>
  <c r="Q233" i="14"/>
  <c r="P233" i="14"/>
  <c r="O233" i="14"/>
  <c r="N233" i="14"/>
  <c r="U232" i="14"/>
  <c r="T232" i="14"/>
  <c r="S232" i="14"/>
  <c r="R232" i="14"/>
  <c r="Q232" i="14"/>
  <c r="P232" i="14"/>
  <c r="O232" i="14"/>
  <c r="N232" i="14"/>
  <c r="U231" i="14"/>
  <c r="T231" i="14"/>
  <c r="S231" i="14"/>
  <c r="R231" i="14"/>
  <c r="Q231" i="14"/>
  <c r="P231" i="14"/>
  <c r="O231" i="14"/>
  <c r="N231" i="14"/>
  <c r="U230" i="14"/>
  <c r="T230" i="14"/>
  <c r="S230" i="14"/>
  <c r="R230" i="14"/>
  <c r="Q230" i="14"/>
  <c r="P230" i="14"/>
  <c r="O230" i="14"/>
  <c r="N230" i="14"/>
  <c r="U229" i="14"/>
  <c r="T229" i="14"/>
  <c r="S229" i="14"/>
  <c r="R229" i="14"/>
  <c r="Q229" i="14"/>
  <c r="P229" i="14"/>
  <c r="O229" i="14"/>
  <c r="N229" i="14"/>
  <c r="U228" i="14"/>
  <c r="T228" i="14"/>
  <c r="S228" i="14"/>
  <c r="R228" i="14"/>
  <c r="Q228" i="14"/>
  <c r="P228" i="14"/>
  <c r="O228" i="14"/>
  <c r="N228" i="14"/>
  <c r="U227" i="14"/>
  <c r="T227" i="14"/>
  <c r="S227" i="14"/>
  <c r="R227" i="14"/>
  <c r="Q227" i="14"/>
  <c r="P227" i="14"/>
  <c r="O227" i="14"/>
  <c r="N227" i="14"/>
  <c r="U226" i="14"/>
  <c r="T226" i="14"/>
  <c r="S226" i="14"/>
  <c r="R226" i="14"/>
  <c r="Q226" i="14"/>
  <c r="P226" i="14"/>
  <c r="O226" i="14"/>
  <c r="N226" i="14"/>
  <c r="U225" i="14"/>
  <c r="T225" i="14"/>
  <c r="S225" i="14"/>
  <c r="R225" i="14"/>
  <c r="Q225" i="14"/>
  <c r="P225" i="14"/>
  <c r="O225" i="14"/>
  <c r="N225" i="14"/>
  <c r="U224" i="14"/>
  <c r="T224" i="14"/>
  <c r="S224" i="14"/>
  <c r="R224" i="14"/>
  <c r="Q224" i="14"/>
  <c r="P224" i="14"/>
  <c r="O224" i="14"/>
  <c r="N224" i="14"/>
  <c r="U223" i="14"/>
  <c r="T223" i="14"/>
  <c r="S223" i="14"/>
  <c r="R223" i="14"/>
  <c r="Q223" i="14"/>
  <c r="P223" i="14"/>
  <c r="O223" i="14"/>
  <c r="N223" i="14"/>
  <c r="U222" i="14"/>
  <c r="T222" i="14"/>
  <c r="S222" i="14"/>
  <c r="R222" i="14"/>
  <c r="Q222" i="14"/>
  <c r="P222" i="14"/>
  <c r="O222" i="14"/>
  <c r="N222" i="14"/>
  <c r="U221" i="14"/>
  <c r="T221" i="14"/>
  <c r="S221" i="14"/>
  <c r="R221" i="14"/>
  <c r="Q221" i="14"/>
  <c r="P221" i="14"/>
  <c r="O221" i="14"/>
  <c r="N221" i="14"/>
  <c r="U220" i="14"/>
  <c r="T220" i="14"/>
  <c r="S220" i="14"/>
  <c r="R220" i="14"/>
  <c r="Q220" i="14"/>
  <c r="P220" i="14"/>
  <c r="O220" i="14"/>
  <c r="N220" i="14"/>
  <c r="U219" i="14"/>
  <c r="T219" i="14"/>
  <c r="S219" i="14"/>
  <c r="R219" i="14"/>
  <c r="Q219" i="14"/>
  <c r="P219" i="14"/>
  <c r="O219" i="14"/>
  <c r="N219" i="14"/>
  <c r="U218" i="14"/>
  <c r="T218" i="14"/>
  <c r="S218" i="14"/>
  <c r="R218" i="14"/>
  <c r="Q218" i="14"/>
  <c r="P218" i="14"/>
  <c r="O218" i="14"/>
  <c r="N218" i="14"/>
  <c r="U217" i="14"/>
  <c r="T217" i="14"/>
  <c r="S217" i="14"/>
  <c r="R217" i="14"/>
  <c r="Q217" i="14"/>
  <c r="P217" i="14"/>
  <c r="O217" i="14"/>
  <c r="N217" i="14"/>
  <c r="U216" i="14"/>
  <c r="T216" i="14"/>
  <c r="S216" i="14"/>
  <c r="R216" i="14"/>
  <c r="Q216" i="14"/>
  <c r="P216" i="14"/>
  <c r="O216" i="14"/>
  <c r="N216" i="14"/>
  <c r="U215" i="14"/>
  <c r="T215" i="14"/>
  <c r="S215" i="14"/>
  <c r="R215" i="14"/>
  <c r="Q215" i="14"/>
  <c r="P215" i="14"/>
  <c r="O215" i="14"/>
  <c r="N215" i="14"/>
  <c r="U214" i="14"/>
  <c r="T214" i="14"/>
  <c r="S214" i="14"/>
  <c r="R214" i="14"/>
  <c r="Q214" i="14"/>
  <c r="P214" i="14"/>
  <c r="O214" i="14"/>
  <c r="N214" i="14"/>
  <c r="U213" i="14"/>
  <c r="T213" i="14"/>
  <c r="S213" i="14"/>
  <c r="R213" i="14"/>
  <c r="Q213" i="14"/>
  <c r="P213" i="14"/>
  <c r="O213" i="14"/>
  <c r="N213" i="14"/>
  <c r="U212" i="14"/>
  <c r="T212" i="14"/>
  <c r="S212" i="14"/>
  <c r="R212" i="14"/>
  <c r="Q212" i="14"/>
  <c r="P212" i="14"/>
  <c r="O212" i="14"/>
  <c r="N212" i="14"/>
  <c r="U211" i="14"/>
  <c r="T211" i="14"/>
  <c r="S211" i="14"/>
  <c r="R211" i="14"/>
  <c r="Q211" i="14"/>
  <c r="P211" i="14"/>
  <c r="O211" i="14"/>
  <c r="N211" i="14"/>
  <c r="U210" i="14"/>
  <c r="T210" i="14"/>
  <c r="S210" i="14"/>
  <c r="R210" i="14"/>
  <c r="Q210" i="14"/>
  <c r="P210" i="14"/>
  <c r="O210" i="14"/>
  <c r="N210" i="14"/>
  <c r="U209" i="14"/>
  <c r="T209" i="14"/>
  <c r="S209" i="14"/>
  <c r="R209" i="14"/>
  <c r="Q209" i="14"/>
  <c r="P209" i="14"/>
  <c r="O209" i="14"/>
  <c r="N209" i="14"/>
  <c r="U208" i="14"/>
  <c r="T208" i="14"/>
  <c r="S208" i="14"/>
  <c r="R208" i="14"/>
  <c r="Q208" i="14"/>
  <c r="P208" i="14"/>
  <c r="O208" i="14"/>
  <c r="N208" i="14"/>
  <c r="U207" i="14"/>
  <c r="T207" i="14"/>
  <c r="S207" i="14"/>
  <c r="R207" i="14"/>
  <c r="Q207" i="14"/>
  <c r="P207" i="14"/>
  <c r="O207" i="14"/>
  <c r="N207" i="14"/>
  <c r="U206" i="14"/>
  <c r="T206" i="14"/>
  <c r="S206" i="14"/>
  <c r="R206" i="14"/>
  <c r="Q206" i="14"/>
  <c r="P206" i="14"/>
  <c r="O206" i="14"/>
  <c r="N206" i="14"/>
  <c r="U205" i="14"/>
  <c r="T205" i="14"/>
  <c r="S205" i="14"/>
  <c r="R205" i="14"/>
  <c r="Q205" i="14"/>
  <c r="P205" i="14"/>
  <c r="O205" i="14"/>
  <c r="N205" i="14"/>
  <c r="U204" i="14"/>
  <c r="T204" i="14"/>
  <c r="S204" i="14"/>
  <c r="R204" i="14"/>
  <c r="Q204" i="14"/>
  <c r="P204" i="14"/>
  <c r="O204" i="14"/>
  <c r="N204" i="14"/>
  <c r="U203" i="14"/>
  <c r="T203" i="14"/>
  <c r="S203" i="14"/>
  <c r="R203" i="14"/>
  <c r="Q203" i="14"/>
  <c r="P203" i="14"/>
  <c r="O203" i="14"/>
  <c r="N203" i="14"/>
  <c r="U202" i="14"/>
  <c r="T202" i="14"/>
  <c r="S202" i="14"/>
  <c r="R202" i="14"/>
  <c r="Q202" i="14"/>
  <c r="P202" i="14"/>
  <c r="O202" i="14"/>
  <c r="N202" i="14"/>
  <c r="U201" i="14"/>
  <c r="T201" i="14"/>
  <c r="S201" i="14"/>
  <c r="R201" i="14"/>
  <c r="Q201" i="14"/>
  <c r="P201" i="14"/>
  <c r="O201" i="14"/>
  <c r="N201" i="14"/>
  <c r="U200" i="14"/>
  <c r="T200" i="14"/>
  <c r="S200" i="14"/>
  <c r="R200" i="14"/>
  <c r="Q200" i="14"/>
  <c r="P200" i="14"/>
  <c r="O200" i="14"/>
  <c r="N200" i="14"/>
  <c r="U199" i="14"/>
  <c r="T199" i="14"/>
  <c r="S199" i="14"/>
  <c r="R199" i="14"/>
  <c r="Q199" i="14"/>
  <c r="P199" i="14"/>
  <c r="O199" i="14"/>
  <c r="N199" i="14"/>
  <c r="U198" i="14"/>
  <c r="T198" i="14"/>
  <c r="S198" i="14"/>
  <c r="R198" i="14"/>
  <c r="Q198" i="14"/>
  <c r="P198" i="14"/>
  <c r="O198" i="14"/>
  <c r="N198" i="14"/>
  <c r="U197" i="14"/>
  <c r="T197" i="14"/>
  <c r="S197" i="14"/>
  <c r="R197" i="14"/>
  <c r="Q197" i="14"/>
  <c r="P197" i="14"/>
  <c r="O197" i="14"/>
  <c r="N197" i="14"/>
  <c r="U196" i="14"/>
  <c r="T196" i="14"/>
  <c r="S196" i="14"/>
  <c r="R196" i="14"/>
  <c r="Q196" i="14"/>
  <c r="P196" i="14"/>
  <c r="O196" i="14"/>
  <c r="N196" i="14"/>
  <c r="U195" i="14"/>
  <c r="T195" i="14"/>
  <c r="S195" i="14"/>
  <c r="R195" i="14"/>
  <c r="Q195" i="14"/>
  <c r="P195" i="14"/>
  <c r="O195" i="14"/>
  <c r="N195" i="14"/>
  <c r="U194" i="14"/>
  <c r="T194" i="14"/>
  <c r="S194" i="14"/>
  <c r="R194" i="14"/>
  <c r="Q194" i="14"/>
  <c r="P194" i="14"/>
  <c r="O194" i="14"/>
  <c r="N194" i="14"/>
  <c r="U193" i="14"/>
  <c r="T193" i="14"/>
  <c r="S193" i="14"/>
  <c r="R193" i="14"/>
  <c r="Q193" i="14"/>
  <c r="P193" i="14"/>
  <c r="O193" i="14"/>
  <c r="N193" i="14"/>
  <c r="U192" i="14"/>
  <c r="T192" i="14"/>
  <c r="S192" i="14"/>
  <c r="R192" i="14"/>
  <c r="Q192" i="14"/>
  <c r="P192" i="14"/>
  <c r="O192" i="14"/>
  <c r="N192" i="14"/>
  <c r="U191" i="14"/>
  <c r="T191" i="14"/>
  <c r="S191" i="14"/>
  <c r="R191" i="14"/>
  <c r="Q191" i="14"/>
  <c r="P191" i="14"/>
  <c r="O191" i="14"/>
  <c r="N191" i="14"/>
  <c r="U190" i="14"/>
  <c r="T190" i="14"/>
  <c r="S190" i="14"/>
  <c r="R190" i="14"/>
  <c r="Q190" i="14"/>
  <c r="P190" i="14"/>
  <c r="O190" i="14"/>
  <c r="N190" i="14"/>
  <c r="U189" i="14"/>
  <c r="T189" i="14"/>
  <c r="S189" i="14"/>
  <c r="R189" i="14"/>
  <c r="Q189" i="14"/>
  <c r="P189" i="14"/>
  <c r="O189" i="14"/>
  <c r="N189" i="14"/>
  <c r="U188" i="14"/>
  <c r="T188" i="14"/>
  <c r="S188" i="14"/>
  <c r="R188" i="14"/>
  <c r="Q188" i="14"/>
  <c r="P188" i="14"/>
  <c r="O188" i="14"/>
  <c r="N188" i="14"/>
  <c r="U187" i="14"/>
  <c r="T187" i="14"/>
  <c r="S187" i="14"/>
  <c r="R187" i="14"/>
  <c r="Q187" i="14"/>
  <c r="P187" i="14"/>
  <c r="O187" i="14"/>
  <c r="N187" i="14"/>
  <c r="U186" i="14"/>
  <c r="T186" i="14"/>
  <c r="S186" i="14"/>
  <c r="R186" i="14"/>
  <c r="Q186" i="14"/>
  <c r="P186" i="14"/>
  <c r="O186" i="14"/>
  <c r="N186" i="14"/>
  <c r="U185" i="14"/>
  <c r="T185" i="14"/>
  <c r="S185" i="14"/>
  <c r="R185" i="14"/>
  <c r="Q185" i="14"/>
  <c r="P185" i="14"/>
  <c r="O185" i="14"/>
  <c r="N185" i="14"/>
  <c r="U184" i="14"/>
  <c r="T184" i="14"/>
  <c r="S184" i="14"/>
  <c r="R184" i="14"/>
  <c r="Q184" i="14"/>
  <c r="P184" i="14"/>
  <c r="O184" i="14"/>
  <c r="N184" i="14"/>
  <c r="U183" i="14"/>
  <c r="T183" i="14"/>
  <c r="S183" i="14"/>
  <c r="R183" i="14"/>
  <c r="Q183" i="14"/>
  <c r="P183" i="14"/>
  <c r="O183" i="14"/>
  <c r="N183" i="14"/>
  <c r="U182" i="14"/>
  <c r="T182" i="14"/>
  <c r="S182" i="14"/>
  <c r="R182" i="14"/>
  <c r="Q182" i="14"/>
  <c r="P182" i="14"/>
  <c r="O182" i="14"/>
  <c r="N182" i="14"/>
  <c r="U181" i="14"/>
  <c r="T181" i="14"/>
  <c r="S181" i="14"/>
  <c r="R181" i="14"/>
  <c r="Q181" i="14"/>
  <c r="P181" i="14"/>
  <c r="O181" i="14"/>
  <c r="N181" i="14"/>
  <c r="U180" i="14"/>
  <c r="T180" i="14"/>
  <c r="S180" i="14"/>
  <c r="R180" i="14"/>
  <c r="Q180" i="14"/>
  <c r="P180" i="14"/>
  <c r="O180" i="14"/>
  <c r="N180" i="14"/>
  <c r="U179" i="14"/>
  <c r="T179" i="14"/>
  <c r="S179" i="14"/>
  <c r="R179" i="14"/>
  <c r="Q179" i="14"/>
  <c r="P179" i="14"/>
  <c r="O179" i="14"/>
  <c r="N179" i="14"/>
  <c r="U178" i="14"/>
  <c r="T178" i="14"/>
  <c r="S178" i="14"/>
  <c r="R178" i="14"/>
  <c r="Q178" i="14"/>
  <c r="P178" i="14"/>
  <c r="O178" i="14"/>
  <c r="N178" i="14"/>
  <c r="U177" i="14"/>
  <c r="T177" i="14"/>
  <c r="S177" i="14"/>
  <c r="R177" i="14"/>
  <c r="Q177" i="14"/>
  <c r="P177" i="14"/>
  <c r="O177" i="14"/>
  <c r="N177" i="14"/>
  <c r="U176" i="14"/>
  <c r="T176" i="14"/>
  <c r="S176" i="14"/>
  <c r="R176" i="14"/>
  <c r="Q176" i="14"/>
  <c r="P176" i="14"/>
  <c r="O176" i="14"/>
  <c r="N176" i="14"/>
  <c r="U175" i="14"/>
  <c r="T175" i="14"/>
  <c r="S175" i="14"/>
  <c r="R175" i="14"/>
  <c r="Q175" i="14"/>
  <c r="P175" i="14"/>
  <c r="O175" i="14"/>
  <c r="N175" i="14"/>
  <c r="U174" i="14"/>
  <c r="T174" i="14"/>
  <c r="S174" i="14"/>
  <c r="R174" i="14"/>
  <c r="Q174" i="14"/>
  <c r="P174" i="14"/>
  <c r="O174" i="14"/>
  <c r="N174" i="14"/>
  <c r="U173" i="14"/>
  <c r="T173" i="14"/>
  <c r="S173" i="14"/>
  <c r="R173" i="14"/>
  <c r="Q173" i="14"/>
  <c r="P173" i="14"/>
  <c r="O173" i="14"/>
  <c r="N173" i="14"/>
  <c r="U172" i="14"/>
  <c r="T172" i="14"/>
  <c r="S172" i="14"/>
  <c r="R172" i="14"/>
  <c r="Q172" i="14"/>
  <c r="P172" i="14"/>
  <c r="O172" i="14"/>
  <c r="N172" i="14"/>
  <c r="U171" i="14"/>
  <c r="T171" i="14"/>
  <c r="S171" i="14"/>
  <c r="R171" i="14"/>
  <c r="Q171" i="14"/>
  <c r="P171" i="14"/>
  <c r="O171" i="14"/>
  <c r="N171" i="14"/>
  <c r="U170" i="14"/>
  <c r="T170" i="14"/>
  <c r="S170" i="14"/>
  <c r="R170" i="14"/>
  <c r="Q170" i="14"/>
  <c r="P170" i="14"/>
  <c r="O170" i="14"/>
  <c r="N170" i="14"/>
  <c r="U169" i="14"/>
  <c r="T169" i="14"/>
  <c r="S169" i="14"/>
  <c r="R169" i="14"/>
  <c r="Q169" i="14"/>
  <c r="P169" i="14"/>
  <c r="O169" i="14"/>
  <c r="N169" i="14"/>
  <c r="U168" i="14"/>
  <c r="T168" i="14"/>
  <c r="S168" i="14"/>
  <c r="R168" i="14"/>
  <c r="Q168" i="14"/>
  <c r="P168" i="14"/>
  <c r="O168" i="14"/>
  <c r="N168" i="14"/>
  <c r="U167" i="14"/>
  <c r="T167" i="14"/>
  <c r="S167" i="14"/>
  <c r="R167" i="14"/>
  <c r="Q167" i="14"/>
  <c r="P167" i="14"/>
  <c r="O167" i="14"/>
  <c r="N167" i="14"/>
  <c r="U166" i="14"/>
  <c r="T166" i="14"/>
  <c r="S166" i="14"/>
  <c r="R166" i="14"/>
  <c r="Q166" i="14"/>
  <c r="P166" i="14"/>
  <c r="O166" i="14"/>
  <c r="N166" i="14"/>
  <c r="U165" i="14"/>
  <c r="T165" i="14"/>
  <c r="S165" i="14"/>
  <c r="R165" i="14"/>
  <c r="Q165" i="14"/>
  <c r="P165" i="14"/>
  <c r="O165" i="14"/>
  <c r="N165" i="14"/>
  <c r="U164" i="14"/>
  <c r="T164" i="14"/>
  <c r="S164" i="14"/>
  <c r="R164" i="14"/>
  <c r="Q164" i="14"/>
  <c r="P164" i="14"/>
  <c r="O164" i="14"/>
  <c r="N164" i="14"/>
  <c r="U163" i="14"/>
  <c r="T163" i="14"/>
  <c r="S163" i="14"/>
  <c r="R163" i="14"/>
  <c r="Q163" i="14"/>
  <c r="P163" i="14"/>
  <c r="O163" i="14"/>
  <c r="N163" i="14"/>
  <c r="U162" i="14"/>
  <c r="T162" i="14"/>
  <c r="S162" i="14"/>
  <c r="R162" i="14"/>
  <c r="Q162" i="14"/>
  <c r="P162" i="14"/>
  <c r="O162" i="14"/>
  <c r="N162" i="14"/>
  <c r="U161" i="14"/>
  <c r="T161" i="14"/>
  <c r="S161" i="14"/>
  <c r="R161" i="14"/>
  <c r="Q161" i="14"/>
  <c r="P161" i="14"/>
  <c r="O161" i="14"/>
  <c r="N161" i="14"/>
  <c r="U160" i="14"/>
  <c r="T160" i="14"/>
  <c r="S160" i="14"/>
  <c r="R160" i="14"/>
  <c r="Q160" i="14"/>
  <c r="P160" i="14"/>
  <c r="O160" i="14"/>
  <c r="N160" i="14"/>
  <c r="U159" i="14"/>
  <c r="T159" i="14"/>
  <c r="S159" i="14"/>
  <c r="R159" i="14"/>
  <c r="Q159" i="14"/>
  <c r="P159" i="14"/>
  <c r="O159" i="14"/>
  <c r="N159" i="14"/>
  <c r="U158" i="14"/>
  <c r="T158" i="14"/>
  <c r="S158" i="14"/>
  <c r="R158" i="14"/>
  <c r="Q158" i="14"/>
  <c r="P158" i="14"/>
  <c r="O158" i="14"/>
  <c r="N158" i="14"/>
  <c r="U157" i="14"/>
  <c r="T157" i="14"/>
  <c r="S157" i="14"/>
  <c r="R157" i="14"/>
  <c r="Q157" i="14"/>
  <c r="P157" i="14"/>
  <c r="O157" i="14"/>
  <c r="N157" i="14"/>
  <c r="U156" i="14"/>
  <c r="T156" i="14"/>
  <c r="S156" i="14"/>
  <c r="R156" i="14"/>
  <c r="Q156" i="14"/>
  <c r="P156" i="14"/>
  <c r="O156" i="14"/>
  <c r="N156" i="14"/>
  <c r="U155" i="14"/>
  <c r="T155" i="14"/>
  <c r="S155" i="14"/>
  <c r="R155" i="14"/>
  <c r="Q155" i="14"/>
  <c r="P155" i="14"/>
  <c r="O155" i="14"/>
  <c r="N155" i="14"/>
  <c r="U154" i="14"/>
  <c r="T154" i="14"/>
  <c r="S154" i="14"/>
  <c r="R154" i="14"/>
  <c r="Q154" i="14"/>
  <c r="P154" i="14"/>
  <c r="O154" i="14"/>
  <c r="N154" i="14"/>
  <c r="U153" i="14"/>
  <c r="T153" i="14"/>
  <c r="S153" i="14"/>
  <c r="R153" i="14"/>
  <c r="Q153" i="14"/>
  <c r="P153" i="14"/>
  <c r="O153" i="14"/>
  <c r="N153" i="14"/>
  <c r="U152" i="14"/>
  <c r="T152" i="14"/>
  <c r="S152" i="14"/>
  <c r="R152" i="14"/>
  <c r="Q152" i="14"/>
  <c r="P152" i="14"/>
  <c r="O152" i="14"/>
  <c r="N152" i="14"/>
  <c r="U151" i="14"/>
  <c r="T151" i="14"/>
  <c r="S151" i="14"/>
  <c r="R151" i="14"/>
  <c r="Q151" i="14"/>
  <c r="P151" i="14"/>
  <c r="O151" i="14"/>
  <c r="N151" i="14"/>
  <c r="U150" i="14"/>
  <c r="T150" i="14"/>
  <c r="S150" i="14"/>
  <c r="R150" i="14"/>
  <c r="Q150" i="14"/>
  <c r="P150" i="14"/>
  <c r="O150" i="14"/>
  <c r="N150" i="14"/>
  <c r="U149" i="14"/>
  <c r="T149" i="14"/>
  <c r="S149" i="14"/>
  <c r="R149" i="14"/>
  <c r="Q149" i="14"/>
  <c r="P149" i="14"/>
  <c r="O149" i="14"/>
  <c r="N149" i="14"/>
  <c r="U148" i="14"/>
  <c r="T148" i="14"/>
  <c r="S148" i="14"/>
  <c r="R148" i="14"/>
  <c r="Q148" i="14"/>
  <c r="P148" i="14"/>
  <c r="O148" i="14"/>
  <c r="N148" i="14"/>
  <c r="U147" i="14"/>
  <c r="T147" i="14"/>
  <c r="S147" i="14"/>
  <c r="R147" i="14"/>
  <c r="Q147" i="14"/>
  <c r="P147" i="14"/>
  <c r="O147" i="14"/>
  <c r="N147" i="14"/>
  <c r="U146" i="14"/>
  <c r="T146" i="14"/>
  <c r="S146" i="14"/>
  <c r="R146" i="14"/>
  <c r="Q146" i="14"/>
  <c r="P146" i="14"/>
  <c r="O146" i="14"/>
  <c r="N146" i="14"/>
  <c r="U145" i="14"/>
  <c r="T145" i="14"/>
  <c r="S145" i="14"/>
  <c r="R145" i="14"/>
  <c r="Q145" i="14"/>
  <c r="P145" i="14"/>
  <c r="O145" i="14"/>
  <c r="N145" i="14"/>
  <c r="U144" i="14"/>
  <c r="T144" i="14"/>
  <c r="S144" i="14"/>
  <c r="R144" i="14"/>
  <c r="Q144" i="14"/>
  <c r="P144" i="14"/>
  <c r="O144" i="14"/>
  <c r="N144" i="14"/>
  <c r="U143" i="14"/>
  <c r="T143" i="14"/>
  <c r="S143" i="14"/>
  <c r="R143" i="14"/>
  <c r="Q143" i="14"/>
  <c r="P143" i="14"/>
  <c r="O143" i="14"/>
  <c r="N143" i="14"/>
  <c r="U142" i="14"/>
  <c r="T142" i="14"/>
  <c r="S142" i="14"/>
  <c r="R142" i="14"/>
  <c r="Q142" i="14"/>
  <c r="P142" i="14"/>
  <c r="O142" i="14"/>
  <c r="N142" i="14"/>
  <c r="U141" i="14"/>
  <c r="T141" i="14"/>
  <c r="S141" i="14"/>
  <c r="R141" i="14"/>
  <c r="Q141" i="14"/>
  <c r="P141" i="14"/>
  <c r="O141" i="14"/>
  <c r="N141" i="14"/>
  <c r="U140" i="14"/>
  <c r="T140" i="14"/>
  <c r="S140" i="14"/>
  <c r="R140" i="14"/>
  <c r="Q140" i="14"/>
  <c r="P140" i="14"/>
  <c r="O140" i="14"/>
  <c r="N140" i="14"/>
  <c r="U139" i="14"/>
  <c r="T139" i="14"/>
  <c r="S139" i="14"/>
  <c r="R139" i="14"/>
  <c r="Q139" i="14"/>
  <c r="P139" i="14"/>
  <c r="O139" i="14"/>
  <c r="N139" i="14"/>
  <c r="U138" i="14"/>
  <c r="T138" i="14"/>
  <c r="S138" i="14"/>
  <c r="R138" i="14"/>
  <c r="Q138" i="14"/>
  <c r="P138" i="14"/>
  <c r="O138" i="14"/>
  <c r="N138" i="14"/>
  <c r="U137" i="14"/>
  <c r="T137" i="14"/>
  <c r="S137" i="14"/>
  <c r="R137" i="14"/>
  <c r="Q137" i="14"/>
  <c r="P137" i="14"/>
  <c r="O137" i="14"/>
  <c r="N137" i="14"/>
  <c r="U136" i="14"/>
  <c r="T136" i="14"/>
  <c r="S136" i="14"/>
  <c r="R136" i="14"/>
  <c r="Q136" i="14"/>
  <c r="P136" i="14"/>
  <c r="O136" i="14"/>
  <c r="N136" i="14"/>
  <c r="U135" i="14"/>
  <c r="T135" i="14"/>
  <c r="S135" i="14"/>
  <c r="R135" i="14"/>
  <c r="Q135" i="14"/>
  <c r="P135" i="14"/>
  <c r="O135" i="14"/>
  <c r="N135" i="14"/>
  <c r="U134" i="14"/>
  <c r="T134" i="14"/>
  <c r="S134" i="14"/>
  <c r="R134" i="14"/>
  <c r="Q134" i="14"/>
  <c r="P134" i="14"/>
  <c r="O134" i="14"/>
  <c r="N134" i="14"/>
  <c r="U133" i="14"/>
  <c r="T133" i="14"/>
  <c r="S133" i="14"/>
  <c r="R133" i="14"/>
  <c r="Q133" i="14"/>
  <c r="P133" i="14"/>
  <c r="O133" i="14"/>
  <c r="N133" i="14"/>
  <c r="U132" i="14"/>
  <c r="T132" i="14"/>
  <c r="S132" i="14"/>
  <c r="R132" i="14"/>
  <c r="Q132" i="14"/>
  <c r="P132" i="14"/>
  <c r="O132" i="14"/>
  <c r="N132" i="14"/>
  <c r="U131" i="14"/>
  <c r="T131" i="14"/>
  <c r="S131" i="14"/>
  <c r="R131" i="14"/>
  <c r="Q131" i="14"/>
  <c r="P131" i="14"/>
  <c r="O131" i="14"/>
  <c r="N131" i="14"/>
  <c r="U130" i="14"/>
  <c r="T130" i="14"/>
  <c r="S130" i="14"/>
  <c r="R130" i="14"/>
  <c r="Q130" i="14"/>
  <c r="P130" i="14"/>
  <c r="O130" i="14"/>
  <c r="N130" i="14"/>
  <c r="U129" i="14"/>
  <c r="T129" i="14"/>
  <c r="S129" i="14"/>
  <c r="R129" i="14"/>
  <c r="Q129" i="14"/>
  <c r="P129" i="14"/>
  <c r="O129" i="14"/>
  <c r="N129" i="14"/>
  <c r="U128" i="14"/>
  <c r="T128" i="14"/>
  <c r="S128" i="14"/>
  <c r="R128" i="14"/>
  <c r="Q128" i="14"/>
  <c r="P128" i="14"/>
  <c r="O128" i="14"/>
  <c r="N128" i="14"/>
  <c r="U127" i="14"/>
  <c r="T127" i="14"/>
  <c r="S127" i="14"/>
  <c r="R127" i="14"/>
  <c r="Q127" i="14"/>
  <c r="P127" i="14"/>
  <c r="O127" i="14"/>
  <c r="N127" i="14"/>
  <c r="U126" i="14"/>
  <c r="T126" i="14"/>
  <c r="S126" i="14"/>
  <c r="R126" i="14"/>
  <c r="Q126" i="14"/>
  <c r="P126" i="14"/>
  <c r="O126" i="14"/>
  <c r="N126" i="14"/>
  <c r="U125" i="14"/>
  <c r="T125" i="14"/>
  <c r="S125" i="14"/>
  <c r="R125" i="14"/>
  <c r="Q125" i="14"/>
  <c r="P125" i="14"/>
  <c r="O125" i="14"/>
  <c r="N125" i="14"/>
  <c r="U124" i="14"/>
  <c r="T124" i="14"/>
  <c r="S124" i="14"/>
  <c r="R124" i="14"/>
  <c r="Q124" i="14"/>
  <c r="P124" i="14"/>
  <c r="O124" i="14"/>
  <c r="N124" i="14"/>
  <c r="U123" i="14"/>
  <c r="T123" i="14"/>
  <c r="S123" i="14"/>
  <c r="R123" i="14"/>
  <c r="Q123" i="14"/>
  <c r="P123" i="14"/>
  <c r="O123" i="14"/>
  <c r="N123" i="14"/>
  <c r="U122" i="14"/>
  <c r="T122" i="14"/>
  <c r="S122" i="14"/>
  <c r="R122" i="14"/>
  <c r="Q122" i="14"/>
  <c r="P122" i="14"/>
  <c r="O122" i="14"/>
  <c r="N122" i="14"/>
  <c r="U121" i="14"/>
  <c r="T121" i="14"/>
  <c r="S121" i="14"/>
  <c r="R121" i="14"/>
  <c r="Q121" i="14"/>
  <c r="P121" i="14"/>
  <c r="O121" i="14"/>
  <c r="N121" i="14"/>
  <c r="U120" i="14"/>
  <c r="T120" i="14"/>
  <c r="S120" i="14"/>
  <c r="R120" i="14"/>
  <c r="Q120" i="14"/>
  <c r="P120" i="14"/>
  <c r="O120" i="14"/>
  <c r="N120" i="14"/>
  <c r="U119" i="14"/>
  <c r="T119" i="14"/>
  <c r="S119" i="14"/>
  <c r="R119" i="14"/>
  <c r="Q119" i="14"/>
  <c r="P119" i="14"/>
  <c r="O119" i="14"/>
  <c r="N119" i="14"/>
  <c r="U118" i="14"/>
  <c r="T118" i="14"/>
  <c r="S118" i="14"/>
  <c r="R118" i="14"/>
  <c r="Q118" i="14"/>
  <c r="P118" i="14"/>
  <c r="O118" i="14"/>
  <c r="N118" i="14"/>
  <c r="U117" i="14"/>
  <c r="T117" i="14"/>
  <c r="S117" i="14"/>
  <c r="R117" i="14"/>
  <c r="Q117" i="14"/>
  <c r="P117" i="14"/>
  <c r="O117" i="14"/>
  <c r="N117" i="14"/>
  <c r="U116" i="14"/>
  <c r="T116" i="14"/>
  <c r="S116" i="14"/>
  <c r="R116" i="14"/>
  <c r="Q116" i="14"/>
  <c r="P116" i="14"/>
  <c r="O116" i="14"/>
  <c r="N116" i="14"/>
  <c r="U115" i="14"/>
  <c r="T115" i="14"/>
  <c r="S115" i="14"/>
  <c r="R115" i="14"/>
  <c r="Q115" i="14"/>
  <c r="P115" i="14"/>
  <c r="O115" i="14"/>
  <c r="N115" i="14"/>
  <c r="U114" i="14"/>
  <c r="T114" i="14"/>
  <c r="S114" i="14"/>
  <c r="R114" i="14"/>
  <c r="Q114" i="14"/>
  <c r="P114" i="14"/>
  <c r="O114" i="14"/>
  <c r="N114" i="14"/>
  <c r="U113" i="14"/>
  <c r="T113" i="14"/>
  <c r="S113" i="14"/>
  <c r="R113" i="14"/>
  <c r="Q113" i="14"/>
  <c r="P113" i="14"/>
  <c r="O113" i="14"/>
  <c r="N113" i="14"/>
  <c r="U112" i="14"/>
  <c r="T112" i="14"/>
  <c r="S112" i="14"/>
  <c r="R112" i="14"/>
  <c r="Q112" i="14"/>
  <c r="P112" i="14"/>
  <c r="O112" i="14"/>
  <c r="N112" i="14"/>
  <c r="U111" i="14"/>
  <c r="T111" i="14"/>
  <c r="S111" i="14"/>
  <c r="R111" i="14"/>
  <c r="Q111" i="14"/>
  <c r="P111" i="14"/>
  <c r="O111" i="14"/>
  <c r="N111" i="14"/>
  <c r="U110" i="14"/>
  <c r="T110" i="14"/>
  <c r="S110" i="14"/>
  <c r="R110" i="14"/>
  <c r="Q110" i="14"/>
  <c r="P110" i="14"/>
  <c r="O110" i="14"/>
  <c r="N110" i="14"/>
  <c r="U109" i="14"/>
  <c r="T109" i="14"/>
  <c r="S109" i="14"/>
  <c r="R109" i="14"/>
  <c r="Q109" i="14"/>
  <c r="P109" i="14"/>
  <c r="O109" i="14"/>
  <c r="N109" i="14"/>
  <c r="U108" i="14"/>
  <c r="T108" i="14"/>
  <c r="S108" i="14"/>
  <c r="R108" i="14"/>
  <c r="Q108" i="14"/>
  <c r="P108" i="14"/>
  <c r="O108" i="14"/>
  <c r="N108" i="14"/>
  <c r="U107" i="14"/>
  <c r="T107" i="14"/>
  <c r="S107" i="14"/>
  <c r="R107" i="14"/>
  <c r="Q107" i="14"/>
  <c r="P107" i="14"/>
  <c r="O107" i="14"/>
  <c r="N107" i="14"/>
  <c r="U106" i="14"/>
  <c r="T106" i="14"/>
  <c r="S106" i="14"/>
  <c r="R106" i="14"/>
  <c r="Q106" i="14"/>
  <c r="P106" i="14"/>
  <c r="O106" i="14"/>
  <c r="N106" i="14"/>
  <c r="U105" i="14"/>
  <c r="T105" i="14"/>
  <c r="S105" i="14"/>
  <c r="R105" i="14"/>
  <c r="Q105" i="14"/>
  <c r="P105" i="14"/>
  <c r="O105" i="14"/>
  <c r="N105" i="14"/>
  <c r="U104" i="14"/>
  <c r="T104" i="14"/>
  <c r="S104" i="14"/>
  <c r="R104" i="14"/>
  <c r="Q104" i="14"/>
  <c r="P104" i="14"/>
  <c r="O104" i="14"/>
  <c r="N104" i="14"/>
  <c r="U103" i="14"/>
  <c r="T103" i="14"/>
  <c r="S103" i="14"/>
  <c r="R103" i="14"/>
  <c r="Q103" i="14"/>
  <c r="P103" i="14"/>
  <c r="O103" i="14"/>
  <c r="N103" i="14"/>
  <c r="U102" i="14"/>
  <c r="T102" i="14"/>
  <c r="S102" i="14"/>
  <c r="R102" i="14"/>
  <c r="Q102" i="14"/>
  <c r="P102" i="14"/>
  <c r="O102" i="14"/>
  <c r="N102" i="14"/>
  <c r="U101" i="14"/>
  <c r="T101" i="14"/>
  <c r="S101" i="14"/>
  <c r="R101" i="14"/>
  <c r="Q101" i="14"/>
  <c r="P101" i="14"/>
  <c r="O101" i="14"/>
  <c r="N101" i="14"/>
  <c r="U100" i="14"/>
  <c r="T100" i="14"/>
  <c r="S100" i="14"/>
  <c r="R100" i="14"/>
  <c r="Q100" i="14"/>
  <c r="P100" i="14"/>
  <c r="O100" i="14"/>
  <c r="N100" i="14"/>
  <c r="U99" i="14"/>
  <c r="T99" i="14"/>
  <c r="S99" i="14"/>
  <c r="R99" i="14"/>
  <c r="Q99" i="14"/>
  <c r="P99" i="14"/>
  <c r="O99" i="14"/>
  <c r="N99" i="14"/>
  <c r="U98" i="14"/>
  <c r="T98" i="14"/>
  <c r="S98" i="14"/>
  <c r="R98" i="14"/>
  <c r="Q98" i="14"/>
  <c r="P98" i="14"/>
  <c r="O98" i="14"/>
  <c r="N98" i="14"/>
  <c r="U97" i="14"/>
  <c r="T97" i="14"/>
  <c r="S97" i="14"/>
  <c r="R97" i="14"/>
  <c r="Q97" i="14"/>
  <c r="P97" i="14"/>
  <c r="O97" i="14"/>
  <c r="N97" i="14"/>
  <c r="U96" i="14"/>
  <c r="T96" i="14"/>
  <c r="S96" i="14"/>
  <c r="R96" i="14"/>
  <c r="Q96" i="14"/>
  <c r="P96" i="14"/>
  <c r="O96" i="14"/>
  <c r="N96" i="14"/>
  <c r="U95" i="14"/>
  <c r="T95" i="14"/>
  <c r="S95" i="14"/>
  <c r="R95" i="14"/>
  <c r="Q95" i="14"/>
  <c r="P95" i="14"/>
  <c r="O95" i="14"/>
  <c r="N95" i="14"/>
  <c r="U94" i="14"/>
  <c r="T94" i="14"/>
  <c r="S94" i="14"/>
  <c r="R94" i="14"/>
  <c r="Q94" i="14"/>
  <c r="P94" i="14"/>
  <c r="O94" i="14"/>
  <c r="N94" i="14"/>
  <c r="U93" i="14"/>
  <c r="T93" i="14"/>
  <c r="S93" i="14"/>
  <c r="R93" i="14"/>
  <c r="Q93" i="14"/>
  <c r="P93" i="14"/>
  <c r="O93" i="14"/>
  <c r="N93" i="14"/>
  <c r="U92" i="14"/>
  <c r="T92" i="14"/>
  <c r="S92" i="14"/>
  <c r="R92" i="14"/>
  <c r="Q92" i="14"/>
  <c r="P92" i="14"/>
  <c r="O92" i="14"/>
  <c r="N92" i="14"/>
  <c r="U91" i="14"/>
  <c r="T91" i="14"/>
  <c r="S91" i="14"/>
  <c r="R91" i="14"/>
  <c r="Q91" i="14"/>
  <c r="P91" i="14"/>
  <c r="O91" i="14"/>
  <c r="N91" i="14"/>
  <c r="U90" i="14"/>
  <c r="T90" i="14"/>
  <c r="S90" i="14"/>
  <c r="R90" i="14"/>
  <c r="Q90" i="14"/>
  <c r="P90" i="14"/>
  <c r="O90" i="14"/>
  <c r="N90" i="14"/>
  <c r="U89" i="14"/>
  <c r="T89" i="14"/>
  <c r="S89" i="14"/>
  <c r="R89" i="14"/>
  <c r="Q89" i="14"/>
  <c r="P89" i="14"/>
  <c r="O89" i="14"/>
  <c r="N89" i="14"/>
  <c r="U88" i="14"/>
  <c r="T88" i="14"/>
  <c r="S88" i="14"/>
  <c r="R88" i="14"/>
  <c r="Q88" i="14"/>
  <c r="P88" i="14"/>
  <c r="O88" i="14"/>
  <c r="N88" i="14"/>
  <c r="U87" i="14"/>
  <c r="T87" i="14"/>
  <c r="S87" i="14"/>
  <c r="R87" i="14"/>
  <c r="Q87" i="14"/>
  <c r="P87" i="14"/>
  <c r="O87" i="14"/>
  <c r="N87" i="14"/>
  <c r="U86" i="14"/>
  <c r="T86" i="14"/>
  <c r="S86" i="14"/>
  <c r="R86" i="14"/>
  <c r="Q86" i="14"/>
  <c r="P86" i="14"/>
  <c r="O86" i="14"/>
  <c r="N86" i="14"/>
  <c r="U85" i="14"/>
  <c r="T85" i="14"/>
  <c r="S85" i="14"/>
  <c r="R85" i="14"/>
  <c r="Q85" i="14"/>
  <c r="P85" i="14"/>
  <c r="O85" i="14"/>
  <c r="N85" i="14"/>
  <c r="U84" i="14"/>
  <c r="T84" i="14"/>
  <c r="S84" i="14"/>
  <c r="R84" i="14"/>
  <c r="Q84" i="14"/>
  <c r="P84" i="14"/>
  <c r="O84" i="14"/>
  <c r="N84" i="14"/>
  <c r="U83" i="14"/>
  <c r="T83" i="14"/>
  <c r="S83" i="14"/>
  <c r="R83" i="14"/>
  <c r="Q83" i="14"/>
  <c r="P83" i="14"/>
  <c r="O83" i="14"/>
  <c r="N83" i="14"/>
  <c r="U82" i="14"/>
  <c r="T82" i="14"/>
  <c r="S82" i="14"/>
  <c r="R82" i="14"/>
  <c r="Q82" i="14"/>
  <c r="P82" i="14"/>
  <c r="O82" i="14"/>
  <c r="N82" i="14"/>
  <c r="U81" i="14"/>
  <c r="T81" i="14"/>
  <c r="S81" i="14"/>
  <c r="R81" i="14"/>
  <c r="Q81" i="14"/>
  <c r="P81" i="14"/>
  <c r="O81" i="14"/>
  <c r="N81" i="14"/>
  <c r="U80" i="14"/>
  <c r="T80" i="14"/>
  <c r="S80" i="14"/>
  <c r="R80" i="14"/>
  <c r="Q80" i="14"/>
  <c r="P80" i="14"/>
  <c r="O80" i="14"/>
  <c r="N80" i="14"/>
  <c r="U79" i="14"/>
  <c r="T79" i="14"/>
  <c r="S79" i="14"/>
  <c r="R79" i="14"/>
  <c r="Q79" i="14"/>
  <c r="P79" i="14"/>
  <c r="O79" i="14"/>
  <c r="N79" i="14"/>
  <c r="U78" i="14"/>
  <c r="T78" i="14"/>
  <c r="S78" i="14"/>
  <c r="R78" i="14"/>
  <c r="Q78" i="14"/>
  <c r="P78" i="14"/>
  <c r="O78" i="14"/>
  <c r="N78" i="14"/>
  <c r="U77" i="14"/>
  <c r="T77" i="14"/>
  <c r="S77" i="14"/>
  <c r="R77" i="14"/>
  <c r="Q77" i="14"/>
  <c r="P77" i="14"/>
  <c r="O77" i="14"/>
  <c r="N77" i="14"/>
  <c r="U76" i="14"/>
  <c r="T76" i="14"/>
  <c r="S76" i="14"/>
  <c r="R76" i="14"/>
  <c r="Q76" i="14"/>
  <c r="P76" i="14"/>
  <c r="O76" i="14"/>
  <c r="N76" i="14"/>
  <c r="U75" i="14"/>
  <c r="T75" i="14"/>
  <c r="S75" i="14"/>
  <c r="R75" i="14"/>
  <c r="Q75" i="14"/>
  <c r="P75" i="14"/>
  <c r="O75" i="14"/>
  <c r="N75" i="14"/>
  <c r="U74" i="14"/>
  <c r="T74" i="14"/>
  <c r="S74" i="14"/>
  <c r="R74" i="14"/>
  <c r="Q74" i="14"/>
  <c r="P74" i="14"/>
  <c r="O74" i="14"/>
  <c r="N74" i="14"/>
  <c r="U73" i="14"/>
  <c r="T73" i="14"/>
  <c r="S73" i="14"/>
  <c r="R73" i="14"/>
  <c r="Q73" i="14"/>
  <c r="P73" i="14"/>
  <c r="O73" i="14"/>
  <c r="N73" i="14"/>
  <c r="U72" i="14"/>
  <c r="T72" i="14"/>
  <c r="S72" i="14"/>
  <c r="R72" i="14"/>
  <c r="Q72" i="14"/>
  <c r="P72" i="14"/>
  <c r="O72" i="14"/>
  <c r="N72" i="14"/>
  <c r="U71" i="14"/>
  <c r="T71" i="14"/>
  <c r="S71" i="14"/>
  <c r="R71" i="14"/>
  <c r="Q71" i="14"/>
  <c r="P71" i="14"/>
  <c r="O71" i="14"/>
  <c r="N71" i="14"/>
  <c r="U70" i="14"/>
  <c r="T70" i="14"/>
  <c r="S70" i="14"/>
  <c r="R70" i="14"/>
  <c r="Q70" i="14"/>
  <c r="P70" i="14"/>
  <c r="O70" i="14"/>
  <c r="N70" i="14"/>
  <c r="U69" i="14"/>
  <c r="T69" i="14"/>
  <c r="S69" i="14"/>
  <c r="R69" i="14"/>
  <c r="Q69" i="14"/>
  <c r="P69" i="14"/>
  <c r="O69" i="14"/>
  <c r="N69" i="14"/>
  <c r="U68" i="14"/>
  <c r="T68" i="14"/>
  <c r="S68" i="14"/>
  <c r="R68" i="14"/>
  <c r="Q68" i="14"/>
  <c r="P68" i="14"/>
  <c r="O68" i="14"/>
  <c r="N68" i="14"/>
  <c r="U67" i="14"/>
  <c r="T67" i="14"/>
  <c r="S67" i="14"/>
  <c r="R67" i="14"/>
  <c r="Q67" i="14"/>
  <c r="P67" i="14"/>
  <c r="O67" i="14"/>
  <c r="N67" i="14"/>
  <c r="U66" i="14"/>
  <c r="T66" i="14"/>
  <c r="S66" i="14"/>
  <c r="R66" i="14"/>
  <c r="Q66" i="14"/>
  <c r="P66" i="14"/>
  <c r="O66" i="14"/>
  <c r="N66" i="14"/>
  <c r="U65" i="14"/>
  <c r="T65" i="14"/>
  <c r="S65" i="14"/>
  <c r="R65" i="14"/>
  <c r="Q65" i="14"/>
  <c r="P65" i="14"/>
  <c r="O65" i="14"/>
  <c r="N65" i="14"/>
  <c r="U64" i="14"/>
  <c r="T64" i="14"/>
  <c r="S64" i="14"/>
  <c r="R64" i="14"/>
  <c r="Q64" i="14"/>
  <c r="P64" i="14"/>
  <c r="O64" i="14"/>
  <c r="N64" i="14"/>
  <c r="U63" i="14"/>
  <c r="T63" i="14"/>
  <c r="S63" i="14"/>
  <c r="R63" i="14"/>
  <c r="Q63" i="14"/>
  <c r="P63" i="14"/>
  <c r="O63" i="14"/>
  <c r="N63" i="14"/>
  <c r="U62" i="14"/>
  <c r="T62" i="14"/>
  <c r="S62" i="14"/>
  <c r="R62" i="14"/>
  <c r="Q62" i="14"/>
  <c r="P62" i="14"/>
  <c r="O62" i="14"/>
  <c r="N62" i="14"/>
  <c r="U61" i="14"/>
  <c r="T61" i="14"/>
  <c r="S61" i="14"/>
  <c r="R61" i="14"/>
  <c r="Q61" i="14"/>
  <c r="P61" i="14"/>
  <c r="O61" i="14"/>
  <c r="N61" i="14"/>
  <c r="U60" i="14"/>
  <c r="T60" i="14"/>
  <c r="S60" i="14"/>
  <c r="R60" i="14"/>
  <c r="Q60" i="14"/>
  <c r="P60" i="14"/>
  <c r="O60" i="14"/>
  <c r="N60" i="14"/>
  <c r="U59" i="14"/>
  <c r="T59" i="14"/>
  <c r="S59" i="14"/>
  <c r="R59" i="14"/>
  <c r="Q59" i="14"/>
  <c r="P59" i="14"/>
  <c r="O59" i="14"/>
  <c r="N59" i="14"/>
  <c r="U58" i="14"/>
  <c r="T58" i="14"/>
  <c r="S58" i="14"/>
  <c r="R58" i="14"/>
  <c r="Q58" i="14"/>
  <c r="P58" i="14"/>
  <c r="O58" i="14"/>
  <c r="N58" i="14"/>
  <c r="U57" i="14"/>
  <c r="T57" i="14"/>
  <c r="S57" i="14"/>
  <c r="R57" i="14"/>
  <c r="Q57" i="14"/>
  <c r="P57" i="14"/>
  <c r="O57" i="14"/>
  <c r="N57" i="14"/>
  <c r="U56" i="14"/>
  <c r="T56" i="14"/>
  <c r="S56" i="14"/>
  <c r="R56" i="14"/>
  <c r="Q56" i="14"/>
  <c r="P56" i="14"/>
  <c r="O56" i="14"/>
  <c r="N56" i="14"/>
  <c r="U55" i="14"/>
  <c r="T55" i="14"/>
  <c r="S55" i="14"/>
  <c r="R55" i="14"/>
  <c r="Q55" i="14"/>
  <c r="P55" i="14"/>
  <c r="O55" i="14"/>
  <c r="N55" i="14"/>
  <c r="U54" i="14"/>
  <c r="T54" i="14"/>
  <c r="S54" i="14"/>
  <c r="R54" i="14"/>
  <c r="Q54" i="14"/>
  <c r="P54" i="14"/>
  <c r="O54" i="14"/>
  <c r="N54" i="14"/>
  <c r="U53" i="14"/>
  <c r="T53" i="14"/>
  <c r="S53" i="14"/>
  <c r="R53" i="14"/>
  <c r="Q53" i="14"/>
  <c r="P53" i="14"/>
  <c r="O53" i="14"/>
  <c r="N53" i="14"/>
  <c r="U52" i="14"/>
  <c r="T52" i="14"/>
  <c r="S52" i="14"/>
  <c r="R52" i="14"/>
  <c r="Q52" i="14"/>
  <c r="P52" i="14"/>
  <c r="O52" i="14"/>
  <c r="N52" i="14"/>
  <c r="U51" i="14"/>
  <c r="T51" i="14"/>
  <c r="S51" i="14"/>
  <c r="R51" i="14"/>
  <c r="Q51" i="14"/>
  <c r="P51" i="14"/>
  <c r="O51" i="14"/>
  <c r="N51" i="14"/>
  <c r="U50" i="14"/>
  <c r="T50" i="14"/>
  <c r="S50" i="14"/>
  <c r="R50" i="14"/>
  <c r="Q50" i="14"/>
  <c r="P50" i="14"/>
  <c r="O50" i="14"/>
  <c r="N50" i="14"/>
  <c r="U49" i="14"/>
  <c r="T49" i="14"/>
  <c r="S49" i="14"/>
  <c r="R49" i="14"/>
  <c r="Q49" i="14"/>
  <c r="P49" i="14"/>
  <c r="O49" i="14"/>
  <c r="N49" i="14"/>
  <c r="U48" i="14"/>
  <c r="T48" i="14"/>
  <c r="S48" i="14"/>
  <c r="R48" i="14"/>
  <c r="Q48" i="14"/>
  <c r="P48" i="14"/>
  <c r="O48" i="14"/>
  <c r="N48" i="14"/>
  <c r="U47" i="14"/>
  <c r="T47" i="14"/>
  <c r="S47" i="14"/>
  <c r="R47" i="14"/>
  <c r="Q47" i="14"/>
  <c r="P47" i="14"/>
  <c r="O47" i="14"/>
  <c r="N47" i="14"/>
  <c r="U46" i="14"/>
  <c r="T46" i="14"/>
  <c r="S46" i="14"/>
  <c r="R46" i="14"/>
  <c r="Q46" i="14"/>
  <c r="P46" i="14"/>
  <c r="O46" i="14"/>
  <c r="N46" i="14"/>
  <c r="U45" i="14"/>
  <c r="T45" i="14"/>
  <c r="S45" i="14"/>
  <c r="R45" i="14"/>
  <c r="Q45" i="14"/>
  <c r="P45" i="14"/>
  <c r="O45" i="14"/>
  <c r="N45" i="14"/>
  <c r="U44" i="14"/>
  <c r="T44" i="14"/>
  <c r="S44" i="14"/>
  <c r="R44" i="14"/>
  <c r="Q44" i="14"/>
  <c r="P44" i="14"/>
  <c r="O44" i="14"/>
  <c r="N44" i="14"/>
  <c r="U43" i="14"/>
  <c r="T43" i="14"/>
  <c r="S43" i="14"/>
  <c r="R43" i="14"/>
  <c r="Q43" i="14"/>
  <c r="P43" i="14"/>
  <c r="O43" i="14"/>
  <c r="N43" i="14"/>
  <c r="U42" i="14"/>
  <c r="T42" i="14"/>
  <c r="S42" i="14"/>
  <c r="R42" i="14"/>
  <c r="Q42" i="14"/>
  <c r="P42" i="14"/>
  <c r="O42" i="14"/>
  <c r="N42" i="14"/>
  <c r="U41" i="14"/>
  <c r="T41" i="14"/>
  <c r="S41" i="14"/>
  <c r="R41" i="14"/>
  <c r="Q41" i="14"/>
  <c r="P41" i="14"/>
  <c r="O41" i="14"/>
  <c r="N41" i="14"/>
  <c r="U40" i="14"/>
  <c r="T40" i="14"/>
  <c r="S40" i="14"/>
  <c r="R40" i="14"/>
  <c r="Q40" i="14"/>
  <c r="P40" i="14"/>
  <c r="O40" i="14"/>
  <c r="N40" i="14"/>
  <c r="U39" i="14"/>
  <c r="T39" i="14"/>
  <c r="S39" i="14"/>
  <c r="R39" i="14"/>
  <c r="Q39" i="14"/>
  <c r="P39" i="14"/>
  <c r="O39" i="14"/>
  <c r="N39" i="14"/>
  <c r="U38" i="14"/>
  <c r="T38" i="14"/>
  <c r="S38" i="14"/>
  <c r="R38" i="14"/>
  <c r="Q38" i="14"/>
  <c r="P38" i="14"/>
  <c r="O38" i="14"/>
  <c r="N38" i="14"/>
  <c r="U37" i="14"/>
  <c r="T37" i="14"/>
  <c r="S37" i="14"/>
  <c r="R37" i="14"/>
  <c r="Q37" i="14"/>
  <c r="P37" i="14"/>
  <c r="O37" i="14"/>
  <c r="N37" i="14"/>
  <c r="U36" i="14"/>
  <c r="T36" i="14"/>
  <c r="S36" i="14"/>
  <c r="R36" i="14"/>
  <c r="Q36" i="14"/>
  <c r="P36" i="14"/>
  <c r="O36" i="14"/>
  <c r="N36" i="14"/>
  <c r="U35" i="14"/>
  <c r="T35" i="14"/>
  <c r="S35" i="14"/>
  <c r="R35" i="14"/>
  <c r="Q35" i="14"/>
  <c r="P35" i="14"/>
  <c r="O35" i="14"/>
  <c r="N35" i="14"/>
  <c r="U34" i="14"/>
  <c r="T34" i="14"/>
  <c r="S34" i="14"/>
  <c r="R34" i="14"/>
  <c r="Q34" i="14"/>
  <c r="P34" i="14"/>
  <c r="O34" i="14"/>
  <c r="N34" i="14"/>
  <c r="U33" i="14"/>
  <c r="T33" i="14"/>
  <c r="S33" i="14"/>
  <c r="R33" i="14"/>
  <c r="Q33" i="14"/>
  <c r="P33" i="14"/>
  <c r="O33" i="14"/>
  <c r="N33" i="14"/>
  <c r="U32" i="14"/>
  <c r="T32" i="14"/>
  <c r="S32" i="14"/>
  <c r="R32" i="14"/>
  <c r="Q32" i="14"/>
  <c r="P32" i="14"/>
  <c r="O32" i="14"/>
  <c r="N32" i="14"/>
  <c r="U31" i="14"/>
  <c r="T31" i="14"/>
  <c r="S31" i="14"/>
  <c r="R31" i="14"/>
  <c r="Q31" i="14"/>
  <c r="P31" i="14"/>
  <c r="O31" i="14"/>
  <c r="N31" i="14"/>
  <c r="U30" i="14"/>
  <c r="T30" i="14"/>
  <c r="S30" i="14"/>
  <c r="R30" i="14"/>
  <c r="Q30" i="14"/>
  <c r="P30" i="14"/>
  <c r="O30" i="14"/>
  <c r="N30" i="14"/>
  <c r="U29" i="14"/>
  <c r="T29" i="14"/>
  <c r="S29" i="14"/>
  <c r="R29" i="14"/>
  <c r="Q29" i="14"/>
  <c r="P29" i="14"/>
  <c r="O29" i="14"/>
  <c r="N29" i="14"/>
  <c r="U28" i="14"/>
  <c r="T28" i="14"/>
  <c r="S28" i="14"/>
  <c r="R28" i="14"/>
  <c r="Q28" i="14"/>
  <c r="P28" i="14"/>
  <c r="O28" i="14"/>
  <c r="N28" i="14"/>
  <c r="U27" i="14"/>
  <c r="T27" i="14"/>
  <c r="S27" i="14"/>
  <c r="R27" i="14"/>
  <c r="Q27" i="14"/>
  <c r="P27" i="14"/>
  <c r="O27" i="14"/>
  <c r="N27" i="14"/>
  <c r="U26" i="14"/>
  <c r="T26" i="14"/>
  <c r="S26" i="14"/>
  <c r="R26" i="14"/>
  <c r="Q26" i="14"/>
  <c r="P26" i="14"/>
  <c r="O26" i="14"/>
  <c r="N26" i="14"/>
  <c r="U25" i="14"/>
  <c r="T25" i="14"/>
  <c r="S25" i="14"/>
  <c r="R25" i="14"/>
  <c r="Q25" i="14"/>
  <c r="P25" i="14"/>
  <c r="O25" i="14"/>
  <c r="N25" i="14"/>
  <c r="U24" i="14"/>
  <c r="T24" i="14"/>
  <c r="S24" i="14"/>
  <c r="R24" i="14"/>
  <c r="Q24" i="14"/>
  <c r="P24" i="14"/>
  <c r="O24" i="14"/>
  <c r="N24" i="14"/>
  <c r="U23" i="14"/>
  <c r="T23" i="14"/>
  <c r="S23" i="14"/>
  <c r="R23" i="14"/>
  <c r="Q23" i="14"/>
  <c r="P23" i="14"/>
  <c r="O23" i="14"/>
  <c r="N23" i="14"/>
  <c r="U22" i="14"/>
  <c r="T22" i="14"/>
  <c r="S22" i="14"/>
  <c r="R22" i="14"/>
  <c r="Q22" i="14"/>
  <c r="P22" i="14"/>
  <c r="O22" i="14"/>
  <c r="N22" i="14"/>
  <c r="U21" i="14"/>
  <c r="T21" i="14"/>
  <c r="S21" i="14"/>
  <c r="R21" i="14"/>
  <c r="Q21" i="14"/>
  <c r="P21" i="14"/>
  <c r="O21" i="14"/>
  <c r="N21" i="14"/>
  <c r="U20" i="14"/>
  <c r="T20" i="14"/>
  <c r="S20" i="14"/>
  <c r="R20" i="14"/>
  <c r="Q20" i="14"/>
  <c r="P20" i="14"/>
  <c r="O20" i="14"/>
  <c r="N20" i="14"/>
  <c r="U19" i="14"/>
  <c r="T19" i="14"/>
  <c r="S19" i="14"/>
  <c r="R19" i="14"/>
  <c r="Q19" i="14"/>
  <c r="P19" i="14"/>
  <c r="O19" i="14"/>
  <c r="N19" i="14"/>
  <c r="U18" i="14"/>
  <c r="T18" i="14"/>
  <c r="S18" i="14"/>
  <c r="R18" i="14"/>
  <c r="Q18" i="14"/>
  <c r="P18" i="14"/>
  <c r="O18" i="14"/>
  <c r="N18" i="14"/>
  <c r="U17" i="14"/>
  <c r="T17" i="14"/>
  <c r="S17" i="14"/>
  <c r="R17" i="14"/>
  <c r="Q17" i="14"/>
  <c r="P17" i="14"/>
  <c r="O17" i="14"/>
  <c r="N17" i="14"/>
  <c r="U16" i="14"/>
  <c r="T16" i="14"/>
  <c r="S16" i="14"/>
  <c r="R16" i="14"/>
  <c r="Q16" i="14"/>
  <c r="P16" i="14"/>
  <c r="O16" i="14"/>
  <c r="N16" i="14"/>
  <c r="U15" i="14"/>
  <c r="T15" i="14"/>
  <c r="S15" i="14"/>
  <c r="R15" i="14"/>
  <c r="Q15" i="14"/>
  <c r="P15" i="14"/>
  <c r="O15" i="14"/>
  <c r="N15" i="14"/>
  <c r="U14" i="14"/>
  <c r="T14" i="14"/>
  <c r="S14" i="14"/>
  <c r="R14" i="14"/>
  <c r="Q14" i="14"/>
  <c r="P14" i="14"/>
  <c r="O14" i="14"/>
  <c r="N14" i="14"/>
  <c r="U13" i="14"/>
  <c r="T13" i="14"/>
  <c r="S13" i="14"/>
  <c r="R13" i="14"/>
  <c r="Q13" i="14"/>
  <c r="P13" i="14"/>
  <c r="O13" i="14"/>
  <c r="N13" i="14"/>
  <c r="U12" i="14"/>
  <c r="T12" i="14"/>
  <c r="S12" i="14"/>
  <c r="R12" i="14"/>
  <c r="Q12" i="14"/>
  <c r="P12" i="14"/>
  <c r="O12" i="14"/>
  <c r="N12" i="14"/>
  <c r="U11" i="14"/>
  <c r="T11" i="14"/>
  <c r="S11" i="14"/>
  <c r="R11" i="14"/>
  <c r="Q11" i="14"/>
  <c r="P11" i="14"/>
  <c r="O11" i="14"/>
  <c r="N11" i="14"/>
  <c r="H17" i="13"/>
  <c r="F17" i="13"/>
  <c r="E17" i="13"/>
  <c r="H16" i="13"/>
  <c r="F16" i="13"/>
  <c r="E16" i="13"/>
  <c r="H15" i="13"/>
  <c r="F15" i="13"/>
  <c r="E15" i="13"/>
  <c r="H14" i="13"/>
  <c r="F14" i="13"/>
  <c r="E14" i="13"/>
  <c r="H13" i="13"/>
  <c r="F13" i="13"/>
  <c r="E13" i="13"/>
  <c r="H12" i="13"/>
  <c r="F12" i="13"/>
  <c r="E12" i="13"/>
  <c r="H11" i="13"/>
  <c r="F11" i="13"/>
  <c r="E11" i="13"/>
  <c r="H10" i="13"/>
  <c r="F10" i="13"/>
  <c r="E10" i="13"/>
  <c r="J6" i="13"/>
  <c r="I6" i="13"/>
  <c r="H6" i="13"/>
  <c r="G6" i="13"/>
  <c r="F6" i="13"/>
  <c r="E6" i="13"/>
  <c r="D6" i="13"/>
  <c r="C6" i="13"/>
  <c r="B6" i="13"/>
  <c r="A6" i="13"/>
  <c r="J5" i="13"/>
  <c r="I5" i="13"/>
  <c r="D14" i="13" s="1"/>
  <c r="G14" i="13" s="1"/>
  <c r="H5" i="13"/>
  <c r="D13" i="13" s="1"/>
  <c r="G13" i="13" s="1"/>
  <c r="G5" i="13"/>
  <c r="D12" i="13" s="1"/>
  <c r="G12" i="13" s="1"/>
  <c r="F5" i="13"/>
  <c r="D11" i="13" s="1"/>
  <c r="G11" i="13" s="1"/>
  <c r="E5" i="13"/>
  <c r="D10" i="13" s="1"/>
  <c r="G10" i="13" s="1"/>
  <c r="D5" i="13"/>
  <c r="D15" i="13" s="1"/>
  <c r="G15" i="13" s="1"/>
  <c r="C5" i="13"/>
  <c r="B5" i="13"/>
  <c r="A5" i="13"/>
  <c r="F28" i="12"/>
  <c r="C28" i="12"/>
  <c r="E28" i="12" s="1"/>
  <c r="B28" i="12"/>
  <c r="F27" i="12"/>
  <c r="C27" i="12"/>
  <c r="E27" i="12" s="1"/>
  <c r="D30" i="12" s="1"/>
  <c r="B27" i="12"/>
  <c r="O21" i="12"/>
  <c r="N21" i="12"/>
  <c r="O20" i="12"/>
  <c r="N20" i="12"/>
  <c r="O19" i="12"/>
  <c r="N19" i="12"/>
  <c r="I38" i="15" s="1"/>
  <c r="O18" i="12"/>
  <c r="N18" i="12"/>
  <c r="I37" i="15" s="1"/>
  <c r="O17" i="12"/>
  <c r="N17" i="12"/>
  <c r="I36" i="15" s="1"/>
  <c r="O16" i="12"/>
  <c r="N16" i="12"/>
  <c r="I35" i="15" s="1"/>
  <c r="O15" i="12"/>
  <c r="N15" i="12"/>
  <c r="I34" i="15" s="1"/>
  <c r="O14" i="12"/>
  <c r="K6" i="13" s="1"/>
  <c r="N14" i="12"/>
  <c r="D27" i="12" s="1"/>
  <c r="O13" i="12"/>
  <c r="K5" i="13" s="1"/>
  <c r="D16" i="13" s="1"/>
  <c r="N13" i="12"/>
  <c r="D28" i="12" s="1"/>
  <c r="O12" i="12"/>
  <c r="N12" i="12"/>
  <c r="O11" i="12"/>
  <c r="N11" i="12"/>
  <c r="O10" i="12"/>
  <c r="N10" i="12"/>
  <c r="O9" i="12"/>
  <c r="N9" i="12"/>
  <c r="O8" i="12"/>
  <c r="N8" i="12"/>
  <c r="O7" i="12"/>
  <c r="N7" i="12"/>
  <c r="O6" i="12"/>
  <c r="N6" i="12"/>
  <c r="O5" i="12"/>
  <c r="N5" i="12"/>
  <c r="H34" i="11"/>
  <c r="I33" i="11"/>
  <c r="H33" i="11"/>
  <c r="I32" i="11"/>
  <c r="H32" i="11"/>
  <c r="C25" i="11"/>
  <c r="C24" i="11"/>
  <c r="C23" i="11"/>
  <c r="B14" i="11"/>
  <c r="B11" i="11"/>
  <c r="U409" i="10"/>
  <c r="T409" i="10"/>
  <c r="S409" i="10"/>
  <c r="R409" i="10"/>
  <c r="Q409" i="10"/>
  <c r="P409" i="10"/>
  <c r="O409" i="10"/>
  <c r="N409" i="10"/>
  <c r="U408" i="10"/>
  <c r="T408" i="10"/>
  <c r="S408" i="10"/>
  <c r="R408" i="10"/>
  <c r="Q408" i="10"/>
  <c r="P408" i="10"/>
  <c r="O408" i="10"/>
  <c r="N408" i="10"/>
  <c r="U407" i="10"/>
  <c r="T407" i="10"/>
  <c r="S407" i="10"/>
  <c r="R407" i="10"/>
  <c r="Q407" i="10"/>
  <c r="P407" i="10"/>
  <c r="O407" i="10"/>
  <c r="N407" i="10"/>
  <c r="U406" i="10"/>
  <c r="T406" i="10"/>
  <c r="S406" i="10"/>
  <c r="R406" i="10"/>
  <c r="Q406" i="10"/>
  <c r="P406" i="10"/>
  <c r="O406" i="10"/>
  <c r="N406" i="10"/>
  <c r="U405" i="10"/>
  <c r="T405" i="10"/>
  <c r="S405" i="10"/>
  <c r="R405" i="10"/>
  <c r="Q405" i="10"/>
  <c r="P405" i="10"/>
  <c r="O405" i="10"/>
  <c r="N405" i="10"/>
  <c r="U404" i="10"/>
  <c r="T404" i="10"/>
  <c r="S404" i="10"/>
  <c r="R404" i="10"/>
  <c r="Q404" i="10"/>
  <c r="P404" i="10"/>
  <c r="O404" i="10"/>
  <c r="N404" i="10"/>
  <c r="U403" i="10"/>
  <c r="T403" i="10"/>
  <c r="S403" i="10"/>
  <c r="R403" i="10"/>
  <c r="Q403" i="10"/>
  <c r="P403" i="10"/>
  <c r="O403" i="10"/>
  <c r="N403" i="10"/>
  <c r="U402" i="10"/>
  <c r="T402" i="10"/>
  <c r="S402" i="10"/>
  <c r="R402" i="10"/>
  <c r="Q402" i="10"/>
  <c r="P402" i="10"/>
  <c r="O402" i="10"/>
  <c r="N402" i="10"/>
  <c r="U401" i="10"/>
  <c r="T401" i="10"/>
  <c r="S401" i="10"/>
  <c r="R401" i="10"/>
  <c r="Q401" i="10"/>
  <c r="P401" i="10"/>
  <c r="O401" i="10"/>
  <c r="N401" i="10"/>
  <c r="U400" i="10"/>
  <c r="T400" i="10"/>
  <c r="S400" i="10"/>
  <c r="R400" i="10"/>
  <c r="Q400" i="10"/>
  <c r="P400" i="10"/>
  <c r="O400" i="10"/>
  <c r="N400" i="10"/>
  <c r="U399" i="10"/>
  <c r="T399" i="10"/>
  <c r="S399" i="10"/>
  <c r="R399" i="10"/>
  <c r="Q399" i="10"/>
  <c r="P399" i="10"/>
  <c r="O399" i="10"/>
  <c r="N399" i="10"/>
  <c r="U398" i="10"/>
  <c r="T398" i="10"/>
  <c r="S398" i="10"/>
  <c r="R398" i="10"/>
  <c r="Q398" i="10"/>
  <c r="P398" i="10"/>
  <c r="O398" i="10"/>
  <c r="N398" i="10"/>
  <c r="U397" i="10"/>
  <c r="T397" i="10"/>
  <c r="S397" i="10"/>
  <c r="R397" i="10"/>
  <c r="Q397" i="10"/>
  <c r="P397" i="10"/>
  <c r="O397" i="10"/>
  <c r="N397" i="10"/>
  <c r="U396" i="10"/>
  <c r="T396" i="10"/>
  <c r="S396" i="10"/>
  <c r="R396" i="10"/>
  <c r="Q396" i="10"/>
  <c r="P396" i="10"/>
  <c r="O396" i="10"/>
  <c r="N396" i="10"/>
  <c r="U395" i="10"/>
  <c r="T395" i="10"/>
  <c r="S395" i="10"/>
  <c r="R395" i="10"/>
  <c r="Q395" i="10"/>
  <c r="P395" i="10"/>
  <c r="O395" i="10"/>
  <c r="N395" i="10"/>
  <c r="U394" i="10"/>
  <c r="T394" i="10"/>
  <c r="S394" i="10"/>
  <c r="R394" i="10"/>
  <c r="Q394" i="10"/>
  <c r="P394" i="10"/>
  <c r="O394" i="10"/>
  <c r="N394" i="10"/>
  <c r="U393" i="10"/>
  <c r="T393" i="10"/>
  <c r="S393" i="10"/>
  <c r="R393" i="10"/>
  <c r="Q393" i="10"/>
  <c r="P393" i="10"/>
  <c r="O393" i="10"/>
  <c r="N393" i="10"/>
  <c r="U392" i="10"/>
  <c r="T392" i="10"/>
  <c r="S392" i="10"/>
  <c r="R392" i="10"/>
  <c r="Q392" i="10"/>
  <c r="P392" i="10"/>
  <c r="O392" i="10"/>
  <c r="N392" i="10"/>
  <c r="U391" i="10"/>
  <c r="T391" i="10"/>
  <c r="S391" i="10"/>
  <c r="R391" i="10"/>
  <c r="Q391" i="10"/>
  <c r="P391" i="10"/>
  <c r="O391" i="10"/>
  <c r="N391" i="10"/>
  <c r="U390" i="10"/>
  <c r="T390" i="10"/>
  <c r="S390" i="10"/>
  <c r="R390" i="10"/>
  <c r="Q390" i="10"/>
  <c r="P390" i="10"/>
  <c r="O390" i="10"/>
  <c r="N390" i="10"/>
  <c r="U389" i="10"/>
  <c r="T389" i="10"/>
  <c r="S389" i="10"/>
  <c r="R389" i="10"/>
  <c r="Q389" i="10"/>
  <c r="P389" i="10"/>
  <c r="O389" i="10"/>
  <c r="N389" i="10"/>
  <c r="U388" i="10"/>
  <c r="T388" i="10"/>
  <c r="S388" i="10"/>
  <c r="R388" i="10"/>
  <c r="Q388" i="10"/>
  <c r="P388" i="10"/>
  <c r="O388" i="10"/>
  <c r="N388" i="10"/>
  <c r="U387" i="10"/>
  <c r="T387" i="10"/>
  <c r="S387" i="10"/>
  <c r="R387" i="10"/>
  <c r="Q387" i="10"/>
  <c r="P387" i="10"/>
  <c r="O387" i="10"/>
  <c r="N387" i="10"/>
  <c r="U386" i="10"/>
  <c r="T386" i="10"/>
  <c r="S386" i="10"/>
  <c r="R386" i="10"/>
  <c r="Q386" i="10"/>
  <c r="P386" i="10"/>
  <c r="O386" i="10"/>
  <c r="N386" i="10"/>
  <c r="U385" i="10"/>
  <c r="T385" i="10"/>
  <c r="S385" i="10"/>
  <c r="R385" i="10"/>
  <c r="Q385" i="10"/>
  <c r="P385" i="10"/>
  <c r="O385" i="10"/>
  <c r="N385" i="10"/>
  <c r="U384" i="10"/>
  <c r="T384" i="10"/>
  <c r="S384" i="10"/>
  <c r="R384" i="10"/>
  <c r="Q384" i="10"/>
  <c r="P384" i="10"/>
  <c r="O384" i="10"/>
  <c r="N384" i="10"/>
  <c r="U383" i="10"/>
  <c r="T383" i="10"/>
  <c r="S383" i="10"/>
  <c r="R383" i="10"/>
  <c r="Q383" i="10"/>
  <c r="P383" i="10"/>
  <c r="O383" i="10"/>
  <c r="N383" i="10"/>
  <c r="U382" i="10"/>
  <c r="T382" i="10"/>
  <c r="S382" i="10"/>
  <c r="R382" i="10"/>
  <c r="Q382" i="10"/>
  <c r="P382" i="10"/>
  <c r="O382" i="10"/>
  <c r="N382" i="10"/>
  <c r="U381" i="10"/>
  <c r="T381" i="10"/>
  <c r="S381" i="10"/>
  <c r="R381" i="10"/>
  <c r="Q381" i="10"/>
  <c r="P381" i="10"/>
  <c r="O381" i="10"/>
  <c r="N381" i="10"/>
  <c r="U380" i="10"/>
  <c r="T380" i="10"/>
  <c r="S380" i="10"/>
  <c r="R380" i="10"/>
  <c r="Q380" i="10"/>
  <c r="P380" i="10"/>
  <c r="O380" i="10"/>
  <c r="N380" i="10"/>
  <c r="U379" i="10"/>
  <c r="T379" i="10"/>
  <c r="S379" i="10"/>
  <c r="R379" i="10"/>
  <c r="Q379" i="10"/>
  <c r="P379" i="10"/>
  <c r="O379" i="10"/>
  <c r="N379" i="10"/>
  <c r="U378" i="10"/>
  <c r="T378" i="10"/>
  <c r="S378" i="10"/>
  <c r="R378" i="10"/>
  <c r="Q378" i="10"/>
  <c r="P378" i="10"/>
  <c r="O378" i="10"/>
  <c r="N378" i="10"/>
  <c r="U377" i="10"/>
  <c r="T377" i="10"/>
  <c r="S377" i="10"/>
  <c r="R377" i="10"/>
  <c r="Q377" i="10"/>
  <c r="P377" i="10"/>
  <c r="O377" i="10"/>
  <c r="N377" i="10"/>
  <c r="U376" i="10"/>
  <c r="T376" i="10"/>
  <c r="S376" i="10"/>
  <c r="R376" i="10"/>
  <c r="Q376" i="10"/>
  <c r="P376" i="10"/>
  <c r="O376" i="10"/>
  <c r="N376" i="10"/>
  <c r="U375" i="10"/>
  <c r="T375" i="10"/>
  <c r="S375" i="10"/>
  <c r="R375" i="10"/>
  <c r="Q375" i="10"/>
  <c r="P375" i="10"/>
  <c r="O375" i="10"/>
  <c r="N375" i="10"/>
  <c r="U374" i="10"/>
  <c r="T374" i="10"/>
  <c r="S374" i="10"/>
  <c r="R374" i="10"/>
  <c r="Q374" i="10"/>
  <c r="P374" i="10"/>
  <c r="O374" i="10"/>
  <c r="N374" i="10"/>
  <c r="U373" i="10"/>
  <c r="T373" i="10"/>
  <c r="S373" i="10"/>
  <c r="R373" i="10"/>
  <c r="Q373" i="10"/>
  <c r="P373" i="10"/>
  <c r="O373" i="10"/>
  <c r="N373" i="10"/>
  <c r="U372" i="10"/>
  <c r="T372" i="10"/>
  <c r="S372" i="10"/>
  <c r="R372" i="10"/>
  <c r="Q372" i="10"/>
  <c r="P372" i="10"/>
  <c r="O372" i="10"/>
  <c r="N372" i="10"/>
  <c r="U371" i="10"/>
  <c r="T371" i="10"/>
  <c r="S371" i="10"/>
  <c r="R371" i="10"/>
  <c r="Q371" i="10"/>
  <c r="P371" i="10"/>
  <c r="O371" i="10"/>
  <c r="N371" i="10"/>
  <c r="U370" i="10"/>
  <c r="T370" i="10"/>
  <c r="S370" i="10"/>
  <c r="R370" i="10"/>
  <c r="Q370" i="10"/>
  <c r="P370" i="10"/>
  <c r="O370" i="10"/>
  <c r="N370" i="10"/>
  <c r="U369" i="10"/>
  <c r="T369" i="10"/>
  <c r="S369" i="10"/>
  <c r="R369" i="10"/>
  <c r="Q369" i="10"/>
  <c r="P369" i="10"/>
  <c r="O369" i="10"/>
  <c r="N369" i="10"/>
  <c r="U368" i="10"/>
  <c r="T368" i="10"/>
  <c r="S368" i="10"/>
  <c r="R368" i="10"/>
  <c r="Q368" i="10"/>
  <c r="P368" i="10"/>
  <c r="O368" i="10"/>
  <c r="N368" i="10"/>
  <c r="U367" i="10"/>
  <c r="T367" i="10"/>
  <c r="S367" i="10"/>
  <c r="R367" i="10"/>
  <c r="Q367" i="10"/>
  <c r="P367" i="10"/>
  <c r="O367" i="10"/>
  <c r="N367" i="10"/>
  <c r="U366" i="10"/>
  <c r="T366" i="10"/>
  <c r="S366" i="10"/>
  <c r="R366" i="10"/>
  <c r="Q366" i="10"/>
  <c r="P366" i="10"/>
  <c r="O366" i="10"/>
  <c r="N366" i="10"/>
  <c r="U365" i="10"/>
  <c r="T365" i="10"/>
  <c r="S365" i="10"/>
  <c r="R365" i="10"/>
  <c r="Q365" i="10"/>
  <c r="P365" i="10"/>
  <c r="O365" i="10"/>
  <c r="N365" i="10"/>
  <c r="U364" i="10"/>
  <c r="T364" i="10"/>
  <c r="S364" i="10"/>
  <c r="R364" i="10"/>
  <c r="Q364" i="10"/>
  <c r="P364" i="10"/>
  <c r="O364" i="10"/>
  <c r="N364" i="10"/>
  <c r="U363" i="10"/>
  <c r="T363" i="10"/>
  <c r="S363" i="10"/>
  <c r="R363" i="10"/>
  <c r="Q363" i="10"/>
  <c r="P363" i="10"/>
  <c r="O363" i="10"/>
  <c r="N363" i="10"/>
  <c r="U362" i="10"/>
  <c r="T362" i="10"/>
  <c r="S362" i="10"/>
  <c r="R362" i="10"/>
  <c r="Q362" i="10"/>
  <c r="P362" i="10"/>
  <c r="O362" i="10"/>
  <c r="N362" i="10"/>
  <c r="U361" i="10"/>
  <c r="T361" i="10"/>
  <c r="S361" i="10"/>
  <c r="R361" i="10"/>
  <c r="Q361" i="10"/>
  <c r="P361" i="10"/>
  <c r="O361" i="10"/>
  <c r="N361" i="10"/>
  <c r="U360" i="10"/>
  <c r="T360" i="10"/>
  <c r="S360" i="10"/>
  <c r="R360" i="10"/>
  <c r="Q360" i="10"/>
  <c r="P360" i="10"/>
  <c r="O360" i="10"/>
  <c r="N360" i="10"/>
  <c r="U359" i="10"/>
  <c r="T359" i="10"/>
  <c r="S359" i="10"/>
  <c r="R359" i="10"/>
  <c r="Q359" i="10"/>
  <c r="P359" i="10"/>
  <c r="O359" i="10"/>
  <c r="N359" i="10"/>
  <c r="U358" i="10"/>
  <c r="T358" i="10"/>
  <c r="S358" i="10"/>
  <c r="R358" i="10"/>
  <c r="Q358" i="10"/>
  <c r="P358" i="10"/>
  <c r="O358" i="10"/>
  <c r="N358" i="10"/>
  <c r="U357" i="10"/>
  <c r="T357" i="10"/>
  <c r="S357" i="10"/>
  <c r="R357" i="10"/>
  <c r="Q357" i="10"/>
  <c r="P357" i="10"/>
  <c r="O357" i="10"/>
  <c r="N357" i="10"/>
  <c r="U356" i="10"/>
  <c r="T356" i="10"/>
  <c r="S356" i="10"/>
  <c r="R356" i="10"/>
  <c r="Q356" i="10"/>
  <c r="P356" i="10"/>
  <c r="O356" i="10"/>
  <c r="N356" i="10"/>
  <c r="U355" i="10"/>
  <c r="T355" i="10"/>
  <c r="S355" i="10"/>
  <c r="R355" i="10"/>
  <c r="Q355" i="10"/>
  <c r="P355" i="10"/>
  <c r="O355" i="10"/>
  <c r="N355" i="10"/>
  <c r="U354" i="10"/>
  <c r="T354" i="10"/>
  <c r="S354" i="10"/>
  <c r="R354" i="10"/>
  <c r="Q354" i="10"/>
  <c r="P354" i="10"/>
  <c r="O354" i="10"/>
  <c r="N354" i="10"/>
  <c r="U353" i="10"/>
  <c r="T353" i="10"/>
  <c r="S353" i="10"/>
  <c r="R353" i="10"/>
  <c r="Q353" i="10"/>
  <c r="P353" i="10"/>
  <c r="O353" i="10"/>
  <c r="N353" i="10"/>
  <c r="U352" i="10"/>
  <c r="T352" i="10"/>
  <c r="S352" i="10"/>
  <c r="R352" i="10"/>
  <c r="Q352" i="10"/>
  <c r="P352" i="10"/>
  <c r="O352" i="10"/>
  <c r="N352" i="10"/>
  <c r="U351" i="10"/>
  <c r="T351" i="10"/>
  <c r="S351" i="10"/>
  <c r="R351" i="10"/>
  <c r="Q351" i="10"/>
  <c r="P351" i="10"/>
  <c r="O351" i="10"/>
  <c r="N351" i="10"/>
  <c r="U350" i="10"/>
  <c r="T350" i="10"/>
  <c r="S350" i="10"/>
  <c r="R350" i="10"/>
  <c r="Q350" i="10"/>
  <c r="P350" i="10"/>
  <c r="O350" i="10"/>
  <c r="N350" i="10"/>
  <c r="U349" i="10"/>
  <c r="T349" i="10"/>
  <c r="S349" i="10"/>
  <c r="R349" i="10"/>
  <c r="Q349" i="10"/>
  <c r="P349" i="10"/>
  <c r="O349" i="10"/>
  <c r="N349" i="10"/>
  <c r="U348" i="10"/>
  <c r="T348" i="10"/>
  <c r="S348" i="10"/>
  <c r="R348" i="10"/>
  <c r="Q348" i="10"/>
  <c r="P348" i="10"/>
  <c r="O348" i="10"/>
  <c r="N348" i="10"/>
  <c r="U347" i="10"/>
  <c r="T347" i="10"/>
  <c r="S347" i="10"/>
  <c r="R347" i="10"/>
  <c r="Q347" i="10"/>
  <c r="P347" i="10"/>
  <c r="O347" i="10"/>
  <c r="N347" i="10"/>
  <c r="U346" i="10"/>
  <c r="T346" i="10"/>
  <c r="S346" i="10"/>
  <c r="R346" i="10"/>
  <c r="Q346" i="10"/>
  <c r="P346" i="10"/>
  <c r="O346" i="10"/>
  <c r="N346" i="10"/>
  <c r="U345" i="10"/>
  <c r="T345" i="10"/>
  <c r="S345" i="10"/>
  <c r="R345" i="10"/>
  <c r="Q345" i="10"/>
  <c r="P345" i="10"/>
  <c r="O345" i="10"/>
  <c r="N345" i="10"/>
  <c r="U344" i="10"/>
  <c r="T344" i="10"/>
  <c r="S344" i="10"/>
  <c r="R344" i="10"/>
  <c r="Q344" i="10"/>
  <c r="P344" i="10"/>
  <c r="O344" i="10"/>
  <c r="N344" i="10"/>
  <c r="U343" i="10"/>
  <c r="T343" i="10"/>
  <c r="S343" i="10"/>
  <c r="R343" i="10"/>
  <c r="Q343" i="10"/>
  <c r="P343" i="10"/>
  <c r="O343" i="10"/>
  <c r="N343" i="10"/>
  <c r="U342" i="10"/>
  <c r="T342" i="10"/>
  <c r="S342" i="10"/>
  <c r="R342" i="10"/>
  <c r="Q342" i="10"/>
  <c r="P342" i="10"/>
  <c r="O342" i="10"/>
  <c r="N342" i="10"/>
  <c r="U341" i="10"/>
  <c r="T341" i="10"/>
  <c r="S341" i="10"/>
  <c r="R341" i="10"/>
  <c r="Q341" i="10"/>
  <c r="P341" i="10"/>
  <c r="O341" i="10"/>
  <c r="N341" i="10"/>
  <c r="U340" i="10"/>
  <c r="T340" i="10"/>
  <c r="S340" i="10"/>
  <c r="R340" i="10"/>
  <c r="Q340" i="10"/>
  <c r="P340" i="10"/>
  <c r="O340" i="10"/>
  <c r="N340" i="10"/>
  <c r="U339" i="10"/>
  <c r="T339" i="10"/>
  <c r="S339" i="10"/>
  <c r="R339" i="10"/>
  <c r="Q339" i="10"/>
  <c r="P339" i="10"/>
  <c r="O339" i="10"/>
  <c r="N339" i="10"/>
  <c r="U338" i="10"/>
  <c r="T338" i="10"/>
  <c r="S338" i="10"/>
  <c r="R338" i="10"/>
  <c r="Q338" i="10"/>
  <c r="P338" i="10"/>
  <c r="O338" i="10"/>
  <c r="N338" i="10"/>
  <c r="U337" i="10"/>
  <c r="T337" i="10"/>
  <c r="S337" i="10"/>
  <c r="R337" i="10"/>
  <c r="Q337" i="10"/>
  <c r="P337" i="10"/>
  <c r="O337" i="10"/>
  <c r="N337" i="10"/>
  <c r="U336" i="10"/>
  <c r="T336" i="10"/>
  <c r="S336" i="10"/>
  <c r="R336" i="10"/>
  <c r="Q336" i="10"/>
  <c r="P336" i="10"/>
  <c r="O336" i="10"/>
  <c r="N336" i="10"/>
  <c r="U335" i="10"/>
  <c r="T335" i="10"/>
  <c r="S335" i="10"/>
  <c r="R335" i="10"/>
  <c r="Q335" i="10"/>
  <c r="P335" i="10"/>
  <c r="O335" i="10"/>
  <c r="N335" i="10"/>
  <c r="U334" i="10"/>
  <c r="T334" i="10"/>
  <c r="S334" i="10"/>
  <c r="R334" i="10"/>
  <c r="Q334" i="10"/>
  <c r="P334" i="10"/>
  <c r="O334" i="10"/>
  <c r="N334" i="10"/>
  <c r="U333" i="10"/>
  <c r="T333" i="10"/>
  <c r="S333" i="10"/>
  <c r="R333" i="10"/>
  <c r="Q333" i="10"/>
  <c r="P333" i="10"/>
  <c r="O333" i="10"/>
  <c r="N333" i="10"/>
  <c r="U332" i="10"/>
  <c r="T332" i="10"/>
  <c r="S332" i="10"/>
  <c r="R332" i="10"/>
  <c r="Q332" i="10"/>
  <c r="P332" i="10"/>
  <c r="O332" i="10"/>
  <c r="N332" i="10"/>
  <c r="U331" i="10"/>
  <c r="T331" i="10"/>
  <c r="S331" i="10"/>
  <c r="R331" i="10"/>
  <c r="Q331" i="10"/>
  <c r="P331" i="10"/>
  <c r="O331" i="10"/>
  <c r="N331" i="10"/>
  <c r="U330" i="10"/>
  <c r="T330" i="10"/>
  <c r="S330" i="10"/>
  <c r="R330" i="10"/>
  <c r="Q330" i="10"/>
  <c r="P330" i="10"/>
  <c r="O330" i="10"/>
  <c r="N330" i="10"/>
  <c r="U329" i="10"/>
  <c r="T329" i="10"/>
  <c r="S329" i="10"/>
  <c r="R329" i="10"/>
  <c r="Q329" i="10"/>
  <c r="P329" i="10"/>
  <c r="O329" i="10"/>
  <c r="N329" i="10"/>
  <c r="U328" i="10"/>
  <c r="T328" i="10"/>
  <c r="S328" i="10"/>
  <c r="R328" i="10"/>
  <c r="Q328" i="10"/>
  <c r="P328" i="10"/>
  <c r="O328" i="10"/>
  <c r="N328" i="10"/>
  <c r="U327" i="10"/>
  <c r="T327" i="10"/>
  <c r="S327" i="10"/>
  <c r="R327" i="10"/>
  <c r="Q327" i="10"/>
  <c r="P327" i="10"/>
  <c r="O327" i="10"/>
  <c r="N327" i="10"/>
  <c r="U326" i="10"/>
  <c r="T326" i="10"/>
  <c r="S326" i="10"/>
  <c r="R326" i="10"/>
  <c r="Q326" i="10"/>
  <c r="P326" i="10"/>
  <c r="O326" i="10"/>
  <c r="N326" i="10"/>
  <c r="U325" i="10"/>
  <c r="T325" i="10"/>
  <c r="S325" i="10"/>
  <c r="R325" i="10"/>
  <c r="Q325" i="10"/>
  <c r="P325" i="10"/>
  <c r="O325" i="10"/>
  <c r="N325" i="10"/>
  <c r="U324" i="10"/>
  <c r="T324" i="10"/>
  <c r="S324" i="10"/>
  <c r="R324" i="10"/>
  <c r="Q324" i="10"/>
  <c r="P324" i="10"/>
  <c r="O324" i="10"/>
  <c r="N324" i="10"/>
  <c r="U323" i="10"/>
  <c r="T323" i="10"/>
  <c r="S323" i="10"/>
  <c r="R323" i="10"/>
  <c r="Q323" i="10"/>
  <c r="P323" i="10"/>
  <c r="O323" i="10"/>
  <c r="N323" i="10"/>
  <c r="U322" i="10"/>
  <c r="T322" i="10"/>
  <c r="S322" i="10"/>
  <c r="R322" i="10"/>
  <c r="Q322" i="10"/>
  <c r="P322" i="10"/>
  <c r="O322" i="10"/>
  <c r="N322" i="10"/>
  <c r="U321" i="10"/>
  <c r="T321" i="10"/>
  <c r="S321" i="10"/>
  <c r="R321" i="10"/>
  <c r="Q321" i="10"/>
  <c r="P321" i="10"/>
  <c r="O321" i="10"/>
  <c r="N321" i="10"/>
  <c r="U320" i="10"/>
  <c r="T320" i="10"/>
  <c r="S320" i="10"/>
  <c r="R320" i="10"/>
  <c r="Q320" i="10"/>
  <c r="P320" i="10"/>
  <c r="O320" i="10"/>
  <c r="N320" i="10"/>
  <c r="U319" i="10"/>
  <c r="T319" i="10"/>
  <c r="S319" i="10"/>
  <c r="R319" i="10"/>
  <c r="Q319" i="10"/>
  <c r="P319" i="10"/>
  <c r="O319" i="10"/>
  <c r="N319" i="10"/>
  <c r="U318" i="10"/>
  <c r="T318" i="10"/>
  <c r="S318" i="10"/>
  <c r="R318" i="10"/>
  <c r="Q318" i="10"/>
  <c r="P318" i="10"/>
  <c r="O318" i="10"/>
  <c r="N318" i="10"/>
  <c r="U317" i="10"/>
  <c r="T317" i="10"/>
  <c r="S317" i="10"/>
  <c r="R317" i="10"/>
  <c r="Q317" i="10"/>
  <c r="P317" i="10"/>
  <c r="O317" i="10"/>
  <c r="N317" i="10"/>
  <c r="U316" i="10"/>
  <c r="T316" i="10"/>
  <c r="S316" i="10"/>
  <c r="R316" i="10"/>
  <c r="Q316" i="10"/>
  <c r="P316" i="10"/>
  <c r="O316" i="10"/>
  <c r="N316" i="10"/>
  <c r="U315" i="10"/>
  <c r="T315" i="10"/>
  <c r="S315" i="10"/>
  <c r="R315" i="10"/>
  <c r="Q315" i="10"/>
  <c r="P315" i="10"/>
  <c r="O315" i="10"/>
  <c r="N315" i="10"/>
  <c r="U314" i="10"/>
  <c r="T314" i="10"/>
  <c r="S314" i="10"/>
  <c r="R314" i="10"/>
  <c r="Q314" i="10"/>
  <c r="P314" i="10"/>
  <c r="O314" i="10"/>
  <c r="N314" i="10"/>
  <c r="U313" i="10"/>
  <c r="T313" i="10"/>
  <c r="S313" i="10"/>
  <c r="R313" i="10"/>
  <c r="Q313" i="10"/>
  <c r="P313" i="10"/>
  <c r="O313" i="10"/>
  <c r="N313" i="10"/>
  <c r="U312" i="10"/>
  <c r="T312" i="10"/>
  <c r="S312" i="10"/>
  <c r="R312" i="10"/>
  <c r="Q312" i="10"/>
  <c r="P312" i="10"/>
  <c r="O312" i="10"/>
  <c r="N312" i="10"/>
  <c r="U311" i="10"/>
  <c r="T311" i="10"/>
  <c r="S311" i="10"/>
  <c r="R311" i="10"/>
  <c r="Q311" i="10"/>
  <c r="P311" i="10"/>
  <c r="O311" i="10"/>
  <c r="N311" i="10"/>
  <c r="U310" i="10"/>
  <c r="T310" i="10"/>
  <c r="S310" i="10"/>
  <c r="R310" i="10"/>
  <c r="Q310" i="10"/>
  <c r="P310" i="10"/>
  <c r="O310" i="10"/>
  <c r="N310" i="10"/>
  <c r="U309" i="10"/>
  <c r="T309" i="10"/>
  <c r="S309" i="10"/>
  <c r="R309" i="10"/>
  <c r="Q309" i="10"/>
  <c r="P309" i="10"/>
  <c r="O309" i="10"/>
  <c r="N309" i="10"/>
  <c r="U308" i="10"/>
  <c r="T308" i="10"/>
  <c r="S308" i="10"/>
  <c r="R308" i="10"/>
  <c r="Q308" i="10"/>
  <c r="P308" i="10"/>
  <c r="O308" i="10"/>
  <c r="N308" i="10"/>
  <c r="U307" i="10"/>
  <c r="T307" i="10"/>
  <c r="S307" i="10"/>
  <c r="R307" i="10"/>
  <c r="Q307" i="10"/>
  <c r="P307" i="10"/>
  <c r="O307" i="10"/>
  <c r="N307" i="10"/>
  <c r="U306" i="10"/>
  <c r="T306" i="10"/>
  <c r="S306" i="10"/>
  <c r="R306" i="10"/>
  <c r="Q306" i="10"/>
  <c r="P306" i="10"/>
  <c r="O306" i="10"/>
  <c r="N306" i="10"/>
  <c r="U305" i="10"/>
  <c r="T305" i="10"/>
  <c r="S305" i="10"/>
  <c r="R305" i="10"/>
  <c r="Q305" i="10"/>
  <c r="P305" i="10"/>
  <c r="O305" i="10"/>
  <c r="N305" i="10"/>
  <c r="U304" i="10"/>
  <c r="T304" i="10"/>
  <c r="S304" i="10"/>
  <c r="R304" i="10"/>
  <c r="Q304" i="10"/>
  <c r="P304" i="10"/>
  <c r="O304" i="10"/>
  <c r="N304" i="10"/>
  <c r="U303" i="10"/>
  <c r="T303" i="10"/>
  <c r="S303" i="10"/>
  <c r="R303" i="10"/>
  <c r="Q303" i="10"/>
  <c r="P303" i="10"/>
  <c r="O303" i="10"/>
  <c r="N303" i="10"/>
  <c r="U302" i="10"/>
  <c r="T302" i="10"/>
  <c r="S302" i="10"/>
  <c r="R302" i="10"/>
  <c r="Q302" i="10"/>
  <c r="P302" i="10"/>
  <c r="O302" i="10"/>
  <c r="N302" i="10"/>
  <c r="U301" i="10"/>
  <c r="T301" i="10"/>
  <c r="S301" i="10"/>
  <c r="R301" i="10"/>
  <c r="Q301" i="10"/>
  <c r="P301" i="10"/>
  <c r="O301" i="10"/>
  <c r="N301" i="10"/>
  <c r="U300" i="10"/>
  <c r="T300" i="10"/>
  <c r="S300" i="10"/>
  <c r="R300" i="10"/>
  <c r="Q300" i="10"/>
  <c r="P300" i="10"/>
  <c r="O300" i="10"/>
  <c r="N300" i="10"/>
  <c r="U299" i="10"/>
  <c r="T299" i="10"/>
  <c r="S299" i="10"/>
  <c r="R299" i="10"/>
  <c r="Q299" i="10"/>
  <c r="P299" i="10"/>
  <c r="O299" i="10"/>
  <c r="N299" i="10"/>
  <c r="U298" i="10"/>
  <c r="T298" i="10"/>
  <c r="S298" i="10"/>
  <c r="R298" i="10"/>
  <c r="Q298" i="10"/>
  <c r="P298" i="10"/>
  <c r="O298" i="10"/>
  <c r="N298" i="10"/>
  <c r="U297" i="10"/>
  <c r="T297" i="10"/>
  <c r="S297" i="10"/>
  <c r="R297" i="10"/>
  <c r="Q297" i="10"/>
  <c r="P297" i="10"/>
  <c r="O297" i="10"/>
  <c r="N297" i="10"/>
  <c r="U296" i="10"/>
  <c r="T296" i="10"/>
  <c r="S296" i="10"/>
  <c r="R296" i="10"/>
  <c r="Q296" i="10"/>
  <c r="P296" i="10"/>
  <c r="O296" i="10"/>
  <c r="N296" i="10"/>
  <c r="U295" i="10"/>
  <c r="T295" i="10"/>
  <c r="S295" i="10"/>
  <c r="R295" i="10"/>
  <c r="Q295" i="10"/>
  <c r="P295" i="10"/>
  <c r="O295" i="10"/>
  <c r="N295" i="10"/>
  <c r="U294" i="10"/>
  <c r="T294" i="10"/>
  <c r="S294" i="10"/>
  <c r="R294" i="10"/>
  <c r="Q294" i="10"/>
  <c r="P294" i="10"/>
  <c r="O294" i="10"/>
  <c r="N294" i="10"/>
  <c r="U293" i="10"/>
  <c r="T293" i="10"/>
  <c r="S293" i="10"/>
  <c r="R293" i="10"/>
  <c r="Q293" i="10"/>
  <c r="P293" i="10"/>
  <c r="O293" i="10"/>
  <c r="N293" i="10"/>
  <c r="U292" i="10"/>
  <c r="T292" i="10"/>
  <c r="S292" i="10"/>
  <c r="R292" i="10"/>
  <c r="Q292" i="10"/>
  <c r="P292" i="10"/>
  <c r="O292" i="10"/>
  <c r="N292" i="10"/>
  <c r="U291" i="10"/>
  <c r="T291" i="10"/>
  <c r="S291" i="10"/>
  <c r="R291" i="10"/>
  <c r="Q291" i="10"/>
  <c r="P291" i="10"/>
  <c r="O291" i="10"/>
  <c r="N291" i="10"/>
  <c r="U290" i="10"/>
  <c r="T290" i="10"/>
  <c r="S290" i="10"/>
  <c r="R290" i="10"/>
  <c r="Q290" i="10"/>
  <c r="P290" i="10"/>
  <c r="O290" i="10"/>
  <c r="N290" i="10"/>
  <c r="U289" i="10"/>
  <c r="T289" i="10"/>
  <c r="S289" i="10"/>
  <c r="R289" i="10"/>
  <c r="Q289" i="10"/>
  <c r="P289" i="10"/>
  <c r="O289" i="10"/>
  <c r="N289" i="10"/>
  <c r="U288" i="10"/>
  <c r="T288" i="10"/>
  <c r="S288" i="10"/>
  <c r="R288" i="10"/>
  <c r="Q288" i="10"/>
  <c r="P288" i="10"/>
  <c r="O288" i="10"/>
  <c r="N288" i="10"/>
  <c r="U287" i="10"/>
  <c r="T287" i="10"/>
  <c r="S287" i="10"/>
  <c r="R287" i="10"/>
  <c r="Q287" i="10"/>
  <c r="P287" i="10"/>
  <c r="O287" i="10"/>
  <c r="N287" i="10"/>
  <c r="U286" i="10"/>
  <c r="T286" i="10"/>
  <c r="S286" i="10"/>
  <c r="R286" i="10"/>
  <c r="Q286" i="10"/>
  <c r="P286" i="10"/>
  <c r="O286" i="10"/>
  <c r="N286" i="10"/>
  <c r="U285" i="10"/>
  <c r="T285" i="10"/>
  <c r="S285" i="10"/>
  <c r="R285" i="10"/>
  <c r="Q285" i="10"/>
  <c r="P285" i="10"/>
  <c r="O285" i="10"/>
  <c r="N285" i="10"/>
  <c r="U284" i="10"/>
  <c r="T284" i="10"/>
  <c r="S284" i="10"/>
  <c r="R284" i="10"/>
  <c r="Q284" i="10"/>
  <c r="P284" i="10"/>
  <c r="O284" i="10"/>
  <c r="N284" i="10"/>
  <c r="U283" i="10"/>
  <c r="T283" i="10"/>
  <c r="S283" i="10"/>
  <c r="R283" i="10"/>
  <c r="Q283" i="10"/>
  <c r="P283" i="10"/>
  <c r="O283" i="10"/>
  <c r="N283" i="10"/>
  <c r="U282" i="10"/>
  <c r="T282" i="10"/>
  <c r="S282" i="10"/>
  <c r="R282" i="10"/>
  <c r="Q282" i="10"/>
  <c r="P282" i="10"/>
  <c r="O282" i="10"/>
  <c r="N282" i="10"/>
  <c r="U281" i="10"/>
  <c r="T281" i="10"/>
  <c r="S281" i="10"/>
  <c r="R281" i="10"/>
  <c r="Q281" i="10"/>
  <c r="P281" i="10"/>
  <c r="O281" i="10"/>
  <c r="N281" i="10"/>
  <c r="U280" i="10"/>
  <c r="T280" i="10"/>
  <c r="S280" i="10"/>
  <c r="R280" i="10"/>
  <c r="Q280" i="10"/>
  <c r="P280" i="10"/>
  <c r="O280" i="10"/>
  <c r="N280" i="10"/>
  <c r="U279" i="10"/>
  <c r="T279" i="10"/>
  <c r="S279" i="10"/>
  <c r="R279" i="10"/>
  <c r="Q279" i="10"/>
  <c r="P279" i="10"/>
  <c r="O279" i="10"/>
  <c r="N279" i="10"/>
  <c r="U278" i="10"/>
  <c r="T278" i="10"/>
  <c r="S278" i="10"/>
  <c r="R278" i="10"/>
  <c r="Q278" i="10"/>
  <c r="P278" i="10"/>
  <c r="O278" i="10"/>
  <c r="N278" i="10"/>
  <c r="U277" i="10"/>
  <c r="T277" i="10"/>
  <c r="S277" i="10"/>
  <c r="R277" i="10"/>
  <c r="Q277" i="10"/>
  <c r="P277" i="10"/>
  <c r="O277" i="10"/>
  <c r="N277" i="10"/>
  <c r="U276" i="10"/>
  <c r="T276" i="10"/>
  <c r="S276" i="10"/>
  <c r="R276" i="10"/>
  <c r="Q276" i="10"/>
  <c r="P276" i="10"/>
  <c r="O276" i="10"/>
  <c r="N276" i="10"/>
  <c r="U275" i="10"/>
  <c r="T275" i="10"/>
  <c r="S275" i="10"/>
  <c r="R275" i="10"/>
  <c r="Q275" i="10"/>
  <c r="P275" i="10"/>
  <c r="O275" i="10"/>
  <c r="N275" i="10"/>
  <c r="U274" i="10"/>
  <c r="T274" i="10"/>
  <c r="S274" i="10"/>
  <c r="R274" i="10"/>
  <c r="Q274" i="10"/>
  <c r="P274" i="10"/>
  <c r="O274" i="10"/>
  <c r="N274" i="10"/>
  <c r="U273" i="10"/>
  <c r="T273" i="10"/>
  <c r="S273" i="10"/>
  <c r="R273" i="10"/>
  <c r="Q273" i="10"/>
  <c r="P273" i="10"/>
  <c r="O273" i="10"/>
  <c r="N273" i="10"/>
  <c r="U272" i="10"/>
  <c r="T272" i="10"/>
  <c r="S272" i="10"/>
  <c r="R272" i="10"/>
  <c r="Q272" i="10"/>
  <c r="P272" i="10"/>
  <c r="O272" i="10"/>
  <c r="N272" i="10"/>
  <c r="U271" i="10"/>
  <c r="T271" i="10"/>
  <c r="S271" i="10"/>
  <c r="R271" i="10"/>
  <c r="Q271" i="10"/>
  <c r="P271" i="10"/>
  <c r="O271" i="10"/>
  <c r="N271" i="10"/>
  <c r="U270" i="10"/>
  <c r="T270" i="10"/>
  <c r="S270" i="10"/>
  <c r="R270" i="10"/>
  <c r="Q270" i="10"/>
  <c r="P270" i="10"/>
  <c r="O270" i="10"/>
  <c r="N270" i="10"/>
  <c r="U269" i="10"/>
  <c r="T269" i="10"/>
  <c r="S269" i="10"/>
  <c r="R269" i="10"/>
  <c r="Q269" i="10"/>
  <c r="P269" i="10"/>
  <c r="O269" i="10"/>
  <c r="N269" i="10"/>
  <c r="U268" i="10"/>
  <c r="T268" i="10"/>
  <c r="S268" i="10"/>
  <c r="R268" i="10"/>
  <c r="Q268" i="10"/>
  <c r="P268" i="10"/>
  <c r="O268" i="10"/>
  <c r="N268" i="10"/>
  <c r="U267" i="10"/>
  <c r="T267" i="10"/>
  <c r="S267" i="10"/>
  <c r="R267" i="10"/>
  <c r="Q267" i="10"/>
  <c r="P267" i="10"/>
  <c r="O267" i="10"/>
  <c r="N267" i="10"/>
  <c r="U266" i="10"/>
  <c r="T266" i="10"/>
  <c r="S266" i="10"/>
  <c r="R266" i="10"/>
  <c r="Q266" i="10"/>
  <c r="P266" i="10"/>
  <c r="O266" i="10"/>
  <c r="N266" i="10"/>
  <c r="U265" i="10"/>
  <c r="T265" i="10"/>
  <c r="S265" i="10"/>
  <c r="R265" i="10"/>
  <c r="Q265" i="10"/>
  <c r="P265" i="10"/>
  <c r="O265" i="10"/>
  <c r="N265" i="10"/>
  <c r="U264" i="10"/>
  <c r="T264" i="10"/>
  <c r="S264" i="10"/>
  <c r="R264" i="10"/>
  <c r="Q264" i="10"/>
  <c r="P264" i="10"/>
  <c r="O264" i="10"/>
  <c r="N264" i="10"/>
  <c r="U263" i="10"/>
  <c r="T263" i="10"/>
  <c r="S263" i="10"/>
  <c r="R263" i="10"/>
  <c r="Q263" i="10"/>
  <c r="P263" i="10"/>
  <c r="O263" i="10"/>
  <c r="N263" i="10"/>
  <c r="U262" i="10"/>
  <c r="T262" i="10"/>
  <c r="S262" i="10"/>
  <c r="R262" i="10"/>
  <c r="Q262" i="10"/>
  <c r="P262" i="10"/>
  <c r="O262" i="10"/>
  <c r="N262" i="10"/>
  <c r="U261" i="10"/>
  <c r="T261" i="10"/>
  <c r="S261" i="10"/>
  <c r="R261" i="10"/>
  <c r="Q261" i="10"/>
  <c r="P261" i="10"/>
  <c r="O261" i="10"/>
  <c r="N261" i="10"/>
  <c r="U260" i="10"/>
  <c r="T260" i="10"/>
  <c r="S260" i="10"/>
  <c r="R260" i="10"/>
  <c r="Q260" i="10"/>
  <c r="P260" i="10"/>
  <c r="O260" i="10"/>
  <c r="N260" i="10"/>
  <c r="U259" i="10"/>
  <c r="T259" i="10"/>
  <c r="S259" i="10"/>
  <c r="R259" i="10"/>
  <c r="Q259" i="10"/>
  <c r="P259" i="10"/>
  <c r="O259" i="10"/>
  <c r="N259" i="10"/>
  <c r="U258" i="10"/>
  <c r="T258" i="10"/>
  <c r="S258" i="10"/>
  <c r="R258" i="10"/>
  <c r="Q258" i="10"/>
  <c r="P258" i="10"/>
  <c r="O258" i="10"/>
  <c r="N258" i="10"/>
  <c r="U257" i="10"/>
  <c r="T257" i="10"/>
  <c r="S257" i="10"/>
  <c r="R257" i="10"/>
  <c r="Q257" i="10"/>
  <c r="P257" i="10"/>
  <c r="O257" i="10"/>
  <c r="N257" i="10"/>
  <c r="U256" i="10"/>
  <c r="T256" i="10"/>
  <c r="S256" i="10"/>
  <c r="R256" i="10"/>
  <c r="Q256" i="10"/>
  <c r="P256" i="10"/>
  <c r="O256" i="10"/>
  <c r="N256" i="10"/>
  <c r="U255" i="10"/>
  <c r="T255" i="10"/>
  <c r="S255" i="10"/>
  <c r="R255" i="10"/>
  <c r="Q255" i="10"/>
  <c r="P255" i="10"/>
  <c r="O255" i="10"/>
  <c r="N255" i="10"/>
  <c r="U254" i="10"/>
  <c r="T254" i="10"/>
  <c r="S254" i="10"/>
  <c r="R254" i="10"/>
  <c r="Q254" i="10"/>
  <c r="P254" i="10"/>
  <c r="O254" i="10"/>
  <c r="N254" i="10"/>
  <c r="U253" i="10"/>
  <c r="T253" i="10"/>
  <c r="S253" i="10"/>
  <c r="R253" i="10"/>
  <c r="Q253" i="10"/>
  <c r="P253" i="10"/>
  <c r="O253" i="10"/>
  <c r="N253" i="10"/>
  <c r="U252" i="10"/>
  <c r="T252" i="10"/>
  <c r="S252" i="10"/>
  <c r="R252" i="10"/>
  <c r="Q252" i="10"/>
  <c r="P252" i="10"/>
  <c r="O252" i="10"/>
  <c r="N252" i="10"/>
  <c r="U251" i="10"/>
  <c r="T251" i="10"/>
  <c r="S251" i="10"/>
  <c r="R251" i="10"/>
  <c r="Q251" i="10"/>
  <c r="P251" i="10"/>
  <c r="O251" i="10"/>
  <c r="N251" i="10"/>
  <c r="U250" i="10"/>
  <c r="T250" i="10"/>
  <c r="S250" i="10"/>
  <c r="R250" i="10"/>
  <c r="Q250" i="10"/>
  <c r="P250" i="10"/>
  <c r="O250" i="10"/>
  <c r="N250" i="10"/>
  <c r="U249" i="10"/>
  <c r="T249" i="10"/>
  <c r="S249" i="10"/>
  <c r="R249" i="10"/>
  <c r="Q249" i="10"/>
  <c r="P249" i="10"/>
  <c r="O249" i="10"/>
  <c r="N249" i="10"/>
  <c r="U248" i="10"/>
  <c r="T248" i="10"/>
  <c r="S248" i="10"/>
  <c r="R248" i="10"/>
  <c r="Q248" i="10"/>
  <c r="P248" i="10"/>
  <c r="O248" i="10"/>
  <c r="N248" i="10"/>
  <c r="U247" i="10"/>
  <c r="T247" i="10"/>
  <c r="S247" i="10"/>
  <c r="R247" i="10"/>
  <c r="Q247" i="10"/>
  <c r="P247" i="10"/>
  <c r="O247" i="10"/>
  <c r="N247" i="10"/>
  <c r="U246" i="10"/>
  <c r="T246" i="10"/>
  <c r="S246" i="10"/>
  <c r="R246" i="10"/>
  <c r="Q246" i="10"/>
  <c r="P246" i="10"/>
  <c r="O246" i="10"/>
  <c r="N246" i="10"/>
  <c r="U245" i="10"/>
  <c r="T245" i="10"/>
  <c r="S245" i="10"/>
  <c r="R245" i="10"/>
  <c r="Q245" i="10"/>
  <c r="P245" i="10"/>
  <c r="O245" i="10"/>
  <c r="N245" i="10"/>
  <c r="U244" i="10"/>
  <c r="T244" i="10"/>
  <c r="S244" i="10"/>
  <c r="R244" i="10"/>
  <c r="Q244" i="10"/>
  <c r="P244" i="10"/>
  <c r="O244" i="10"/>
  <c r="N244" i="10"/>
  <c r="U243" i="10"/>
  <c r="T243" i="10"/>
  <c r="S243" i="10"/>
  <c r="R243" i="10"/>
  <c r="Q243" i="10"/>
  <c r="P243" i="10"/>
  <c r="O243" i="10"/>
  <c r="N243" i="10"/>
  <c r="U242" i="10"/>
  <c r="T242" i="10"/>
  <c r="S242" i="10"/>
  <c r="R242" i="10"/>
  <c r="Q242" i="10"/>
  <c r="P242" i="10"/>
  <c r="O242" i="10"/>
  <c r="N242" i="10"/>
  <c r="U241" i="10"/>
  <c r="T241" i="10"/>
  <c r="S241" i="10"/>
  <c r="R241" i="10"/>
  <c r="Q241" i="10"/>
  <c r="P241" i="10"/>
  <c r="O241" i="10"/>
  <c r="N241" i="10"/>
  <c r="U240" i="10"/>
  <c r="T240" i="10"/>
  <c r="S240" i="10"/>
  <c r="R240" i="10"/>
  <c r="Q240" i="10"/>
  <c r="P240" i="10"/>
  <c r="O240" i="10"/>
  <c r="N240" i="10"/>
  <c r="U239" i="10"/>
  <c r="T239" i="10"/>
  <c r="S239" i="10"/>
  <c r="R239" i="10"/>
  <c r="Q239" i="10"/>
  <c r="P239" i="10"/>
  <c r="O239" i="10"/>
  <c r="N239" i="10"/>
  <c r="U238" i="10"/>
  <c r="T238" i="10"/>
  <c r="S238" i="10"/>
  <c r="R238" i="10"/>
  <c r="Q238" i="10"/>
  <c r="P238" i="10"/>
  <c r="O238" i="10"/>
  <c r="N238" i="10"/>
  <c r="U237" i="10"/>
  <c r="T237" i="10"/>
  <c r="S237" i="10"/>
  <c r="R237" i="10"/>
  <c r="Q237" i="10"/>
  <c r="P237" i="10"/>
  <c r="O237" i="10"/>
  <c r="N237" i="10"/>
  <c r="U236" i="10"/>
  <c r="T236" i="10"/>
  <c r="S236" i="10"/>
  <c r="R236" i="10"/>
  <c r="Q236" i="10"/>
  <c r="P236" i="10"/>
  <c r="O236" i="10"/>
  <c r="N236" i="10"/>
  <c r="U235" i="10"/>
  <c r="T235" i="10"/>
  <c r="S235" i="10"/>
  <c r="R235" i="10"/>
  <c r="Q235" i="10"/>
  <c r="P235" i="10"/>
  <c r="O235" i="10"/>
  <c r="N235" i="10"/>
  <c r="U234" i="10"/>
  <c r="T234" i="10"/>
  <c r="S234" i="10"/>
  <c r="R234" i="10"/>
  <c r="Q234" i="10"/>
  <c r="P234" i="10"/>
  <c r="O234" i="10"/>
  <c r="N234" i="10"/>
  <c r="U233" i="10"/>
  <c r="T233" i="10"/>
  <c r="S233" i="10"/>
  <c r="R233" i="10"/>
  <c r="Q233" i="10"/>
  <c r="P233" i="10"/>
  <c r="O233" i="10"/>
  <c r="N233" i="10"/>
  <c r="U232" i="10"/>
  <c r="T232" i="10"/>
  <c r="S232" i="10"/>
  <c r="R232" i="10"/>
  <c r="Q232" i="10"/>
  <c r="P232" i="10"/>
  <c r="O232" i="10"/>
  <c r="N232" i="10"/>
  <c r="U231" i="10"/>
  <c r="T231" i="10"/>
  <c r="S231" i="10"/>
  <c r="R231" i="10"/>
  <c r="Q231" i="10"/>
  <c r="P231" i="10"/>
  <c r="O231" i="10"/>
  <c r="N231" i="10"/>
  <c r="U230" i="10"/>
  <c r="T230" i="10"/>
  <c r="S230" i="10"/>
  <c r="R230" i="10"/>
  <c r="Q230" i="10"/>
  <c r="P230" i="10"/>
  <c r="O230" i="10"/>
  <c r="N230" i="10"/>
  <c r="U229" i="10"/>
  <c r="T229" i="10"/>
  <c r="S229" i="10"/>
  <c r="R229" i="10"/>
  <c r="Q229" i="10"/>
  <c r="P229" i="10"/>
  <c r="O229" i="10"/>
  <c r="N229" i="10"/>
  <c r="U228" i="10"/>
  <c r="T228" i="10"/>
  <c r="S228" i="10"/>
  <c r="R228" i="10"/>
  <c r="Q228" i="10"/>
  <c r="P228" i="10"/>
  <c r="O228" i="10"/>
  <c r="N228" i="10"/>
  <c r="U227" i="10"/>
  <c r="T227" i="10"/>
  <c r="S227" i="10"/>
  <c r="R227" i="10"/>
  <c r="Q227" i="10"/>
  <c r="P227" i="10"/>
  <c r="O227" i="10"/>
  <c r="N227" i="10"/>
  <c r="U226" i="10"/>
  <c r="T226" i="10"/>
  <c r="S226" i="10"/>
  <c r="R226" i="10"/>
  <c r="Q226" i="10"/>
  <c r="P226" i="10"/>
  <c r="O226" i="10"/>
  <c r="N226" i="10"/>
  <c r="U225" i="10"/>
  <c r="T225" i="10"/>
  <c r="S225" i="10"/>
  <c r="R225" i="10"/>
  <c r="Q225" i="10"/>
  <c r="P225" i="10"/>
  <c r="O225" i="10"/>
  <c r="N225" i="10"/>
  <c r="U224" i="10"/>
  <c r="T224" i="10"/>
  <c r="S224" i="10"/>
  <c r="R224" i="10"/>
  <c r="Q224" i="10"/>
  <c r="P224" i="10"/>
  <c r="O224" i="10"/>
  <c r="N224" i="10"/>
  <c r="U223" i="10"/>
  <c r="T223" i="10"/>
  <c r="S223" i="10"/>
  <c r="R223" i="10"/>
  <c r="Q223" i="10"/>
  <c r="P223" i="10"/>
  <c r="O223" i="10"/>
  <c r="N223" i="10"/>
  <c r="U222" i="10"/>
  <c r="T222" i="10"/>
  <c r="S222" i="10"/>
  <c r="R222" i="10"/>
  <c r="Q222" i="10"/>
  <c r="P222" i="10"/>
  <c r="O222" i="10"/>
  <c r="N222" i="10"/>
  <c r="U221" i="10"/>
  <c r="T221" i="10"/>
  <c r="S221" i="10"/>
  <c r="R221" i="10"/>
  <c r="Q221" i="10"/>
  <c r="P221" i="10"/>
  <c r="O221" i="10"/>
  <c r="N221" i="10"/>
  <c r="U220" i="10"/>
  <c r="T220" i="10"/>
  <c r="S220" i="10"/>
  <c r="R220" i="10"/>
  <c r="Q220" i="10"/>
  <c r="P220" i="10"/>
  <c r="O220" i="10"/>
  <c r="N220" i="10"/>
  <c r="U219" i="10"/>
  <c r="T219" i="10"/>
  <c r="S219" i="10"/>
  <c r="R219" i="10"/>
  <c r="Q219" i="10"/>
  <c r="P219" i="10"/>
  <c r="O219" i="10"/>
  <c r="N219" i="10"/>
  <c r="U218" i="10"/>
  <c r="T218" i="10"/>
  <c r="S218" i="10"/>
  <c r="R218" i="10"/>
  <c r="Q218" i="10"/>
  <c r="P218" i="10"/>
  <c r="O218" i="10"/>
  <c r="N218" i="10"/>
  <c r="U217" i="10"/>
  <c r="T217" i="10"/>
  <c r="S217" i="10"/>
  <c r="R217" i="10"/>
  <c r="Q217" i="10"/>
  <c r="P217" i="10"/>
  <c r="O217" i="10"/>
  <c r="N217" i="10"/>
  <c r="U216" i="10"/>
  <c r="T216" i="10"/>
  <c r="S216" i="10"/>
  <c r="R216" i="10"/>
  <c r="Q216" i="10"/>
  <c r="P216" i="10"/>
  <c r="O216" i="10"/>
  <c r="N216" i="10"/>
  <c r="U215" i="10"/>
  <c r="T215" i="10"/>
  <c r="S215" i="10"/>
  <c r="R215" i="10"/>
  <c r="Q215" i="10"/>
  <c r="P215" i="10"/>
  <c r="O215" i="10"/>
  <c r="N215" i="10"/>
  <c r="U214" i="10"/>
  <c r="T214" i="10"/>
  <c r="S214" i="10"/>
  <c r="R214" i="10"/>
  <c r="Q214" i="10"/>
  <c r="P214" i="10"/>
  <c r="O214" i="10"/>
  <c r="N214" i="10"/>
  <c r="U213" i="10"/>
  <c r="T213" i="10"/>
  <c r="S213" i="10"/>
  <c r="R213" i="10"/>
  <c r="Q213" i="10"/>
  <c r="P213" i="10"/>
  <c r="O213" i="10"/>
  <c r="N213" i="10"/>
  <c r="U212" i="10"/>
  <c r="T212" i="10"/>
  <c r="S212" i="10"/>
  <c r="R212" i="10"/>
  <c r="Q212" i="10"/>
  <c r="P212" i="10"/>
  <c r="O212" i="10"/>
  <c r="N212" i="10"/>
  <c r="U211" i="10"/>
  <c r="T211" i="10"/>
  <c r="S211" i="10"/>
  <c r="R211" i="10"/>
  <c r="Q211" i="10"/>
  <c r="P211" i="10"/>
  <c r="O211" i="10"/>
  <c r="N211" i="10"/>
  <c r="U210" i="10"/>
  <c r="T210" i="10"/>
  <c r="S210" i="10"/>
  <c r="R210" i="10"/>
  <c r="Q210" i="10"/>
  <c r="P210" i="10"/>
  <c r="O210" i="10"/>
  <c r="N210" i="10"/>
  <c r="U209" i="10"/>
  <c r="T209" i="10"/>
  <c r="S209" i="10"/>
  <c r="R209" i="10"/>
  <c r="Q209" i="10"/>
  <c r="P209" i="10"/>
  <c r="O209" i="10"/>
  <c r="N209" i="10"/>
  <c r="U208" i="10"/>
  <c r="T208" i="10"/>
  <c r="S208" i="10"/>
  <c r="R208" i="10"/>
  <c r="Q208" i="10"/>
  <c r="P208" i="10"/>
  <c r="O208" i="10"/>
  <c r="N208" i="10"/>
  <c r="U207" i="10"/>
  <c r="T207" i="10"/>
  <c r="S207" i="10"/>
  <c r="R207" i="10"/>
  <c r="Q207" i="10"/>
  <c r="P207" i="10"/>
  <c r="O207" i="10"/>
  <c r="N207" i="10"/>
  <c r="U206" i="10"/>
  <c r="T206" i="10"/>
  <c r="S206" i="10"/>
  <c r="R206" i="10"/>
  <c r="Q206" i="10"/>
  <c r="P206" i="10"/>
  <c r="O206" i="10"/>
  <c r="N206" i="10"/>
  <c r="U205" i="10"/>
  <c r="T205" i="10"/>
  <c r="S205" i="10"/>
  <c r="R205" i="10"/>
  <c r="Q205" i="10"/>
  <c r="P205" i="10"/>
  <c r="O205" i="10"/>
  <c r="N205" i="10"/>
  <c r="U204" i="10"/>
  <c r="T204" i="10"/>
  <c r="S204" i="10"/>
  <c r="R204" i="10"/>
  <c r="Q204" i="10"/>
  <c r="P204" i="10"/>
  <c r="O204" i="10"/>
  <c r="N204" i="10"/>
  <c r="U203" i="10"/>
  <c r="T203" i="10"/>
  <c r="S203" i="10"/>
  <c r="R203" i="10"/>
  <c r="Q203" i="10"/>
  <c r="P203" i="10"/>
  <c r="O203" i="10"/>
  <c r="N203" i="10"/>
  <c r="U202" i="10"/>
  <c r="T202" i="10"/>
  <c r="S202" i="10"/>
  <c r="R202" i="10"/>
  <c r="Q202" i="10"/>
  <c r="P202" i="10"/>
  <c r="O202" i="10"/>
  <c r="N202" i="10"/>
  <c r="U201" i="10"/>
  <c r="T201" i="10"/>
  <c r="S201" i="10"/>
  <c r="R201" i="10"/>
  <c r="Q201" i="10"/>
  <c r="P201" i="10"/>
  <c r="O201" i="10"/>
  <c r="N201" i="10"/>
  <c r="U200" i="10"/>
  <c r="T200" i="10"/>
  <c r="S200" i="10"/>
  <c r="R200" i="10"/>
  <c r="Q200" i="10"/>
  <c r="P200" i="10"/>
  <c r="O200" i="10"/>
  <c r="N200" i="10"/>
  <c r="U199" i="10"/>
  <c r="T199" i="10"/>
  <c r="S199" i="10"/>
  <c r="R199" i="10"/>
  <c r="Q199" i="10"/>
  <c r="P199" i="10"/>
  <c r="O199" i="10"/>
  <c r="N199" i="10"/>
  <c r="U198" i="10"/>
  <c r="T198" i="10"/>
  <c r="S198" i="10"/>
  <c r="R198" i="10"/>
  <c r="Q198" i="10"/>
  <c r="P198" i="10"/>
  <c r="O198" i="10"/>
  <c r="N198" i="10"/>
  <c r="U197" i="10"/>
  <c r="T197" i="10"/>
  <c r="S197" i="10"/>
  <c r="R197" i="10"/>
  <c r="Q197" i="10"/>
  <c r="P197" i="10"/>
  <c r="O197" i="10"/>
  <c r="N197" i="10"/>
  <c r="U196" i="10"/>
  <c r="T196" i="10"/>
  <c r="S196" i="10"/>
  <c r="R196" i="10"/>
  <c r="Q196" i="10"/>
  <c r="P196" i="10"/>
  <c r="O196" i="10"/>
  <c r="N196" i="10"/>
  <c r="U195" i="10"/>
  <c r="T195" i="10"/>
  <c r="S195" i="10"/>
  <c r="R195" i="10"/>
  <c r="Q195" i="10"/>
  <c r="P195" i="10"/>
  <c r="O195" i="10"/>
  <c r="N195" i="10"/>
  <c r="U194" i="10"/>
  <c r="T194" i="10"/>
  <c r="S194" i="10"/>
  <c r="R194" i="10"/>
  <c r="Q194" i="10"/>
  <c r="P194" i="10"/>
  <c r="O194" i="10"/>
  <c r="N194" i="10"/>
  <c r="U193" i="10"/>
  <c r="T193" i="10"/>
  <c r="S193" i="10"/>
  <c r="R193" i="10"/>
  <c r="Q193" i="10"/>
  <c r="P193" i="10"/>
  <c r="O193" i="10"/>
  <c r="N193" i="10"/>
  <c r="U192" i="10"/>
  <c r="T192" i="10"/>
  <c r="S192" i="10"/>
  <c r="R192" i="10"/>
  <c r="Q192" i="10"/>
  <c r="P192" i="10"/>
  <c r="O192" i="10"/>
  <c r="N192" i="10"/>
  <c r="U191" i="10"/>
  <c r="T191" i="10"/>
  <c r="S191" i="10"/>
  <c r="R191" i="10"/>
  <c r="Q191" i="10"/>
  <c r="P191" i="10"/>
  <c r="O191" i="10"/>
  <c r="N191" i="10"/>
  <c r="U190" i="10"/>
  <c r="T190" i="10"/>
  <c r="S190" i="10"/>
  <c r="R190" i="10"/>
  <c r="Q190" i="10"/>
  <c r="P190" i="10"/>
  <c r="O190" i="10"/>
  <c r="N190" i="10"/>
  <c r="U189" i="10"/>
  <c r="T189" i="10"/>
  <c r="S189" i="10"/>
  <c r="R189" i="10"/>
  <c r="Q189" i="10"/>
  <c r="P189" i="10"/>
  <c r="O189" i="10"/>
  <c r="N189" i="10"/>
  <c r="U188" i="10"/>
  <c r="T188" i="10"/>
  <c r="S188" i="10"/>
  <c r="R188" i="10"/>
  <c r="Q188" i="10"/>
  <c r="P188" i="10"/>
  <c r="O188" i="10"/>
  <c r="N188" i="10"/>
  <c r="U187" i="10"/>
  <c r="T187" i="10"/>
  <c r="S187" i="10"/>
  <c r="R187" i="10"/>
  <c r="Q187" i="10"/>
  <c r="P187" i="10"/>
  <c r="O187" i="10"/>
  <c r="N187" i="10"/>
  <c r="U186" i="10"/>
  <c r="T186" i="10"/>
  <c r="S186" i="10"/>
  <c r="R186" i="10"/>
  <c r="Q186" i="10"/>
  <c r="P186" i="10"/>
  <c r="O186" i="10"/>
  <c r="N186" i="10"/>
  <c r="U185" i="10"/>
  <c r="T185" i="10"/>
  <c r="S185" i="10"/>
  <c r="R185" i="10"/>
  <c r="Q185" i="10"/>
  <c r="P185" i="10"/>
  <c r="O185" i="10"/>
  <c r="N185" i="10"/>
  <c r="U184" i="10"/>
  <c r="T184" i="10"/>
  <c r="S184" i="10"/>
  <c r="R184" i="10"/>
  <c r="Q184" i="10"/>
  <c r="P184" i="10"/>
  <c r="O184" i="10"/>
  <c r="N184" i="10"/>
  <c r="U183" i="10"/>
  <c r="T183" i="10"/>
  <c r="S183" i="10"/>
  <c r="R183" i="10"/>
  <c r="Q183" i="10"/>
  <c r="P183" i="10"/>
  <c r="O183" i="10"/>
  <c r="N183" i="10"/>
  <c r="U182" i="10"/>
  <c r="T182" i="10"/>
  <c r="S182" i="10"/>
  <c r="R182" i="10"/>
  <c r="Q182" i="10"/>
  <c r="P182" i="10"/>
  <c r="O182" i="10"/>
  <c r="N182" i="10"/>
  <c r="U181" i="10"/>
  <c r="T181" i="10"/>
  <c r="S181" i="10"/>
  <c r="R181" i="10"/>
  <c r="Q181" i="10"/>
  <c r="P181" i="10"/>
  <c r="O181" i="10"/>
  <c r="N181" i="10"/>
  <c r="U180" i="10"/>
  <c r="T180" i="10"/>
  <c r="S180" i="10"/>
  <c r="R180" i="10"/>
  <c r="Q180" i="10"/>
  <c r="P180" i="10"/>
  <c r="O180" i="10"/>
  <c r="N180" i="10"/>
  <c r="U179" i="10"/>
  <c r="T179" i="10"/>
  <c r="S179" i="10"/>
  <c r="R179" i="10"/>
  <c r="Q179" i="10"/>
  <c r="P179" i="10"/>
  <c r="O179" i="10"/>
  <c r="N179" i="10"/>
  <c r="U178" i="10"/>
  <c r="T178" i="10"/>
  <c r="S178" i="10"/>
  <c r="R178" i="10"/>
  <c r="Q178" i="10"/>
  <c r="P178" i="10"/>
  <c r="O178" i="10"/>
  <c r="N178" i="10"/>
  <c r="U177" i="10"/>
  <c r="T177" i="10"/>
  <c r="S177" i="10"/>
  <c r="R177" i="10"/>
  <c r="Q177" i="10"/>
  <c r="P177" i="10"/>
  <c r="O177" i="10"/>
  <c r="N177" i="10"/>
  <c r="U176" i="10"/>
  <c r="T176" i="10"/>
  <c r="S176" i="10"/>
  <c r="R176" i="10"/>
  <c r="Q176" i="10"/>
  <c r="P176" i="10"/>
  <c r="O176" i="10"/>
  <c r="N176" i="10"/>
  <c r="U175" i="10"/>
  <c r="T175" i="10"/>
  <c r="S175" i="10"/>
  <c r="R175" i="10"/>
  <c r="Q175" i="10"/>
  <c r="P175" i="10"/>
  <c r="O175" i="10"/>
  <c r="N175" i="10"/>
  <c r="U174" i="10"/>
  <c r="T174" i="10"/>
  <c r="S174" i="10"/>
  <c r="R174" i="10"/>
  <c r="Q174" i="10"/>
  <c r="P174" i="10"/>
  <c r="O174" i="10"/>
  <c r="N174" i="10"/>
  <c r="U173" i="10"/>
  <c r="T173" i="10"/>
  <c r="S173" i="10"/>
  <c r="R173" i="10"/>
  <c r="Q173" i="10"/>
  <c r="P173" i="10"/>
  <c r="O173" i="10"/>
  <c r="N173" i="10"/>
  <c r="U172" i="10"/>
  <c r="T172" i="10"/>
  <c r="S172" i="10"/>
  <c r="R172" i="10"/>
  <c r="Q172" i="10"/>
  <c r="P172" i="10"/>
  <c r="O172" i="10"/>
  <c r="N172" i="10"/>
  <c r="U171" i="10"/>
  <c r="T171" i="10"/>
  <c r="S171" i="10"/>
  <c r="R171" i="10"/>
  <c r="Q171" i="10"/>
  <c r="P171" i="10"/>
  <c r="O171" i="10"/>
  <c r="N171" i="10"/>
  <c r="U170" i="10"/>
  <c r="T170" i="10"/>
  <c r="S170" i="10"/>
  <c r="R170" i="10"/>
  <c r="Q170" i="10"/>
  <c r="P170" i="10"/>
  <c r="O170" i="10"/>
  <c r="N170" i="10"/>
  <c r="U169" i="10"/>
  <c r="T169" i="10"/>
  <c r="S169" i="10"/>
  <c r="R169" i="10"/>
  <c r="Q169" i="10"/>
  <c r="P169" i="10"/>
  <c r="O169" i="10"/>
  <c r="N169" i="10"/>
  <c r="U168" i="10"/>
  <c r="T168" i="10"/>
  <c r="S168" i="10"/>
  <c r="R168" i="10"/>
  <c r="Q168" i="10"/>
  <c r="P168" i="10"/>
  <c r="O168" i="10"/>
  <c r="N168" i="10"/>
  <c r="U167" i="10"/>
  <c r="T167" i="10"/>
  <c r="S167" i="10"/>
  <c r="R167" i="10"/>
  <c r="Q167" i="10"/>
  <c r="P167" i="10"/>
  <c r="O167" i="10"/>
  <c r="N167" i="10"/>
  <c r="U166" i="10"/>
  <c r="T166" i="10"/>
  <c r="S166" i="10"/>
  <c r="R166" i="10"/>
  <c r="Q166" i="10"/>
  <c r="P166" i="10"/>
  <c r="O166" i="10"/>
  <c r="N166" i="10"/>
  <c r="U165" i="10"/>
  <c r="T165" i="10"/>
  <c r="S165" i="10"/>
  <c r="R165" i="10"/>
  <c r="Q165" i="10"/>
  <c r="P165" i="10"/>
  <c r="O165" i="10"/>
  <c r="N165" i="10"/>
  <c r="U164" i="10"/>
  <c r="T164" i="10"/>
  <c r="S164" i="10"/>
  <c r="R164" i="10"/>
  <c r="Q164" i="10"/>
  <c r="P164" i="10"/>
  <c r="O164" i="10"/>
  <c r="N164" i="10"/>
  <c r="U163" i="10"/>
  <c r="T163" i="10"/>
  <c r="S163" i="10"/>
  <c r="R163" i="10"/>
  <c r="Q163" i="10"/>
  <c r="P163" i="10"/>
  <c r="O163" i="10"/>
  <c r="N163" i="10"/>
  <c r="U162" i="10"/>
  <c r="T162" i="10"/>
  <c r="S162" i="10"/>
  <c r="R162" i="10"/>
  <c r="Q162" i="10"/>
  <c r="P162" i="10"/>
  <c r="O162" i="10"/>
  <c r="N162" i="10"/>
  <c r="U161" i="10"/>
  <c r="T161" i="10"/>
  <c r="S161" i="10"/>
  <c r="R161" i="10"/>
  <c r="Q161" i="10"/>
  <c r="P161" i="10"/>
  <c r="O161" i="10"/>
  <c r="N161" i="10"/>
  <c r="U160" i="10"/>
  <c r="T160" i="10"/>
  <c r="S160" i="10"/>
  <c r="R160" i="10"/>
  <c r="Q160" i="10"/>
  <c r="P160" i="10"/>
  <c r="O160" i="10"/>
  <c r="N160" i="10"/>
  <c r="U159" i="10"/>
  <c r="T159" i="10"/>
  <c r="S159" i="10"/>
  <c r="R159" i="10"/>
  <c r="Q159" i="10"/>
  <c r="P159" i="10"/>
  <c r="O159" i="10"/>
  <c r="N159" i="10"/>
  <c r="U158" i="10"/>
  <c r="T158" i="10"/>
  <c r="S158" i="10"/>
  <c r="R158" i="10"/>
  <c r="Q158" i="10"/>
  <c r="P158" i="10"/>
  <c r="O158" i="10"/>
  <c r="N158" i="10"/>
  <c r="U157" i="10"/>
  <c r="T157" i="10"/>
  <c r="S157" i="10"/>
  <c r="R157" i="10"/>
  <c r="Q157" i="10"/>
  <c r="P157" i="10"/>
  <c r="O157" i="10"/>
  <c r="N157" i="10"/>
  <c r="U156" i="10"/>
  <c r="T156" i="10"/>
  <c r="S156" i="10"/>
  <c r="R156" i="10"/>
  <c r="Q156" i="10"/>
  <c r="P156" i="10"/>
  <c r="O156" i="10"/>
  <c r="N156" i="10"/>
  <c r="U155" i="10"/>
  <c r="T155" i="10"/>
  <c r="S155" i="10"/>
  <c r="R155" i="10"/>
  <c r="Q155" i="10"/>
  <c r="P155" i="10"/>
  <c r="O155" i="10"/>
  <c r="N155" i="10"/>
  <c r="U154" i="10"/>
  <c r="T154" i="10"/>
  <c r="S154" i="10"/>
  <c r="R154" i="10"/>
  <c r="Q154" i="10"/>
  <c r="P154" i="10"/>
  <c r="O154" i="10"/>
  <c r="N154" i="10"/>
  <c r="U153" i="10"/>
  <c r="T153" i="10"/>
  <c r="S153" i="10"/>
  <c r="R153" i="10"/>
  <c r="Q153" i="10"/>
  <c r="P153" i="10"/>
  <c r="O153" i="10"/>
  <c r="N153" i="10"/>
  <c r="U152" i="10"/>
  <c r="T152" i="10"/>
  <c r="S152" i="10"/>
  <c r="R152" i="10"/>
  <c r="Q152" i="10"/>
  <c r="P152" i="10"/>
  <c r="O152" i="10"/>
  <c r="N152" i="10"/>
  <c r="U151" i="10"/>
  <c r="T151" i="10"/>
  <c r="S151" i="10"/>
  <c r="R151" i="10"/>
  <c r="Q151" i="10"/>
  <c r="P151" i="10"/>
  <c r="O151" i="10"/>
  <c r="N151" i="10"/>
  <c r="U150" i="10"/>
  <c r="T150" i="10"/>
  <c r="S150" i="10"/>
  <c r="R150" i="10"/>
  <c r="Q150" i="10"/>
  <c r="P150" i="10"/>
  <c r="O150" i="10"/>
  <c r="N150" i="10"/>
  <c r="U149" i="10"/>
  <c r="T149" i="10"/>
  <c r="S149" i="10"/>
  <c r="R149" i="10"/>
  <c r="Q149" i="10"/>
  <c r="P149" i="10"/>
  <c r="O149" i="10"/>
  <c r="N149" i="10"/>
  <c r="U148" i="10"/>
  <c r="T148" i="10"/>
  <c r="S148" i="10"/>
  <c r="R148" i="10"/>
  <c r="Q148" i="10"/>
  <c r="P148" i="10"/>
  <c r="O148" i="10"/>
  <c r="N148" i="10"/>
  <c r="U147" i="10"/>
  <c r="T147" i="10"/>
  <c r="S147" i="10"/>
  <c r="R147" i="10"/>
  <c r="Q147" i="10"/>
  <c r="P147" i="10"/>
  <c r="O147" i="10"/>
  <c r="N147" i="10"/>
  <c r="U146" i="10"/>
  <c r="T146" i="10"/>
  <c r="S146" i="10"/>
  <c r="R146" i="10"/>
  <c r="Q146" i="10"/>
  <c r="P146" i="10"/>
  <c r="O146" i="10"/>
  <c r="N146" i="10"/>
  <c r="U145" i="10"/>
  <c r="T145" i="10"/>
  <c r="S145" i="10"/>
  <c r="R145" i="10"/>
  <c r="Q145" i="10"/>
  <c r="P145" i="10"/>
  <c r="O145" i="10"/>
  <c r="N145" i="10"/>
  <c r="U144" i="10"/>
  <c r="T144" i="10"/>
  <c r="S144" i="10"/>
  <c r="R144" i="10"/>
  <c r="Q144" i="10"/>
  <c r="P144" i="10"/>
  <c r="O144" i="10"/>
  <c r="N144" i="10"/>
  <c r="U143" i="10"/>
  <c r="T143" i="10"/>
  <c r="S143" i="10"/>
  <c r="R143" i="10"/>
  <c r="Q143" i="10"/>
  <c r="P143" i="10"/>
  <c r="O143" i="10"/>
  <c r="N143" i="10"/>
  <c r="U142" i="10"/>
  <c r="T142" i="10"/>
  <c r="S142" i="10"/>
  <c r="R142" i="10"/>
  <c r="Q142" i="10"/>
  <c r="P142" i="10"/>
  <c r="O142" i="10"/>
  <c r="N142" i="10"/>
  <c r="U141" i="10"/>
  <c r="T141" i="10"/>
  <c r="S141" i="10"/>
  <c r="R141" i="10"/>
  <c r="Q141" i="10"/>
  <c r="P141" i="10"/>
  <c r="O141" i="10"/>
  <c r="N141" i="10"/>
  <c r="U140" i="10"/>
  <c r="T140" i="10"/>
  <c r="S140" i="10"/>
  <c r="R140" i="10"/>
  <c r="Q140" i="10"/>
  <c r="P140" i="10"/>
  <c r="O140" i="10"/>
  <c r="N140" i="10"/>
  <c r="U139" i="10"/>
  <c r="T139" i="10"/>
  <c r="S139" i="10"/>
  <c r="R139" i="10"/>
  <c r="Q139" i="10"/>
  <c r="P139" i="10"/>
  <c r="O139" i="10"/>
  <c r="N139" i="10"/>
  <c r="U138" i="10"/>
  <c r="T138" i="10"/>
  <c r="S138" i="10"/>
  <c r="R138" i="10"/>
  <c r="Q138" i="10"/>
  <c r="P138" i="10"/>
  <c r="O138" i="10"/>
  <c r="N138" i="10"/>
  <c r="U137" i="10"/>
  <c r="T137" i="10"/>
  <c r="S137" i="10"/>
  <c r="R137" i="10"/>
  <c r="Q137" i="10"/>
  <c r="P137" i="10"/>
  <c r="O137" i="10"/>
  <c r="N137" i="10"/>
  <c r="U136" i="10"/>
  <c r="T136" i="10"/>
  <c r="S136" i="10"/>
  <c r="R136" i="10"/>
  <c r="Q136" i="10"/>
  <c r="P136" i="10"/>
  <c r="O136" i="10"/>
  <c r="N136" i="10"/>
  <c r="U135" i="10"/>
  <c r="T135" i="10"/>
  <c r="S135" i="10"/>
  <c r="R135" i="10"/>
  <c r="Q135" i="10"/>
  <c r="P135" i="10"/>
  <c r="O135" i="10"/>
  <c r="N135" i="10"/>
  <c r="U134" i="10"/>
  <c r="T134" i="10"/>
  <c r="S134" i="10"/>
  <c r="R134" i="10"/>
  <c r="Q134" i="10"/>
  <c r="P134" i="10"/>
  <c r="O134" i="10"/>
  <c r="N134" i="10"/>
  <c r="U133" i="10"/>
  <c r="T133" i="10"/>
  <c r="S133" i="10"/>
  <c r="R133" i="10"/>
  <c r="Q133" i="10"/>
  <c r="P133" i="10"/>
  <c r="O133" i="10"/>
  <c r="N133" i="10"/>
  <c r="U132" i="10"/>
  <c r="T132" i="10"/>
  <c r="S132" i="10"/>
  <c r="R132" i="10"/>
  <c r="Q132" i="10"/>
  <c r="P132" i="10"/>
  <c r="O132" i="10"/>
  <c r="N132" i="10"/>
  <c r="U131" i="10"/>
  <c r="T131" i="10"/>
  <c r="S131" i="10"/>
  <c r="R131" i="10"/>
  <c r="Q131" i="10"/>
  <c r="P131" i="10"/>
  <c r="O131" i="10"/>
  <c r="N131" i="10"/>
  <c r="U130" i="10"/>
  <c r="T130" i="10"/>
  <c r="S130" i="10"/>
  <c r="R130" i="10"/>
  <c r="Q130" i="10"/>
  <c r="P130" i="10"/>
  <c r="O130" i="10"/>
  <c r="N130" i="10"/>
  <c r="U129" i="10"/>
  <c r="T129" i="10"/>
  <c r="S129" i="10"/>
  <c r="R129" i="10"/>
  <c r="Q129" i="10"/>
  <c r="P129" i="10"/>
  <c r="O129" i="10"/>
  <c r="N129" i="10"/>
  <c r="U128" i="10"/>
  <c r="T128" i="10"/>
  <c r="S128" i="10"/>
  <c r="R128" i="10"/>
  <c r="Q128" i="10"/>
  <c r="P128" i="10"/>
  <c r="O128" i="10"/>
  <c r="N128" i="10"/>
  <c r="U127" i="10"/>
  <c r="T127" i="10"/>
  <c r="S127" i="10"/>
  <c r="R127" i="10"/>
  <c r="Q127" i="10"/>
  <c r="P127" i="10"/>
  <c r="O127" i="10"/>
  <c r="N127" i="10"/>
  <c r="U126" i="10"/>
  <c r="T126" i="10"/>
  <c r="S126" i="10"/>
  <c r="R126" i="10"/>
  <c r="Q126" i="10"/>
  <c r="P126" i="10"/>
  <c r="O126" i="10"/>
  <c r="N126" i="10"/>
  <c r="U125" i="10"/>
  <c r="T125" i="10"/>
  <c r="S125" i="10"/>
  <c r="R125" i="10"/>
  <c r="Q125" i="10"/>
  <c r="P125" i="10"/>
  <c r="O125" i="10"/>
  <c r="N125" i="10"/>
  <c r="U124" i="10"/>
  <c r="T124" i="10"/>
  <c r="S124" i="10"/>
  <c r="R124" i="10"/>
  <c r="Q124" i="10"/>
  <c r="P124" i="10"/>
  <c r="O124" i="10"/>
  <c r="N124" i="10"/>
  <c r="U123" i="10"/>
  <c r="T123" i="10"/>
  <c r="S123" i="10"/>
  <c r="R123" i="10"/>
  <c r="Q123" i="10"/>
  <c r="P123" i="10"/>
  <c r="O123" i="10"/>
  <c r="N123" i="10"/>
  <c r="U122" i="10"/>
  <c r="T122" i="10"/>
  <c r="S122" i="10"/>
  <c r="R122" i="10"/>
  <c r="Q122" i="10"/>
  <c r="P122" i="10"/>
  <c r="O122" i="10"/>
  <c r="N122" i="10"/>
  <c r="U121" i="10"/>
  <c r="T121" i="10"/>
  <c r="S121" i="10"/>
  <c r="R121" i="10"/>
  <c r="Q121" i="10"/>
  <c r="P121" i="10"/>
  <c r="O121" i="10"/>
  <c r="N121" i="10"/>
  <c r="U120" i="10"/>
  <c r="T120" i="10"/>
  <c r="S120" i="10"/>
  <c r="R120" i="10"/>
  <c r="Q120" i="10"/>
  <c r="P120" i="10"/>
  <c r="O120" i="10"/>
  <c r="N120" i="10"/>
  <c r="U119" i="10"/>
  <c r="T119" i="10"/>
  <c r="S119" i="10"/>
  <c r="R119" i="10"/>
  <c r="Q119" i="10"/>
  <c r="P119" i="10"/>
  <c r="O119" i="10"/>
  <c r="N119" i="10"/>
  <c r="U118" i="10"/>
  <c r="T118" i="10"/>
  <c r="S118" i="10"/>
  <c r="R118" i="10"/>
  <c r="Q118" i="10"/>
  <c r="P118" i="10"/>
  <c r="O118" i="10"/>
  <c r="N118" i="10"/>
  <c r="U117" i="10"/>
  <c r="T117" i="10"/>
  <c r="S117" i="10"/>
  <c r="R117" i="10"/>
  <c r="Q117" i="10"/>
  <c r="P117" i="10"/>
  <c r="O117" i="10"/>
  <c r="N117" i="10"/>
  <c r="U116" i="10"/>
  <c r="T116" i="10"/>
  <c r="S116" i="10"/>
  <c r="R116" i="10"/>
  <c r="Q116" i="10"/>
  <c r="P116" i="10"/>
  <c r="O116" i="10"/>
  <c r="N116" i="10"/>
  <c r="U115" i="10"/>
  <c r="T115" i="10"/>
  <c r="S115" i="10"/>
  <c r="R115" i="10"/>
  <c r="Q115" i="10"/>
  <c r="P115" i="10"/>
  <c r="O115" i="10"/>
  <c r="N115" i="10"/>
  <c r="U114" i="10"/>
  <c r="T114" i="10"/>
  <c r="S114" i="10"/>
  <c r="R114" i="10"/>
  <c r="Q114" i="10"/>
  <c r="P114" i="10"/>
  <c r="O114" i="10"/>
  <c r="N114" i="10"/>
  <c r="U113" i="10"/>
  <c r="T113" i="10"/>
  <c r="S113" i="10"/>
  <c r="R113" i="10"/>
  <c r="Q113" i="10"/>
  <c r="P113" i="10"/>
  <c r="O113" i="10"/>
  <c r="N113" i="10"/>
  <c r="U112" i="10"/>
  <c r="T112" i="10"/>
  <c r="S112" i="10"/>
  <c r="R112" i="10"/>
  <c r="Q112" i="10"/>
  <c r="P112" i="10"/>
  <c r="O112" i="10"/>
  <c r="N112" i="10"/>
  <c r="U111" i="10"/>
  <c r="T111" i="10"/>
  <c r="S111" i="10"/>
  <c r="R111" i="10"/>
  <c r="Q111" i="10"/>
  <c r="P111" i="10"/>
  <c r="O111" i="10"/>
  <c r="N111" i="10"/>
  <c r="U110" i="10"/>
  <c r="T110" i="10"/>
  <c r="S110" i="10"/>
  <c r="R110" i="10"/>
  <c r="Q110" i="10"/>
  <c r="P110" i="10"/>
  <c r="O110" i="10"/>
  <c r="N110" i="10"/>
  <c r="U109" i="10"/>
  <c r="T109" i="10"/>
  <c r="S109" i="10"/>
  <c r="R109" i="10"/>
  <c r="Q109" i="10"/>
  <c r="P109" i="10"/>
  <c r="O109" i="10"/>
  <c r="N109" i="10"/>
  <c r="U108" i="10"/>
  <c r="T108" i="10"/>
  <c r="S108" i="10"/>
  <c r="R108" i="10"/>
  <c r="Q108" i="10"/>
  <c r="P108" i="10"/>
  <c r="O108" i="10"/>
  <c r="N108" i="10"/>
  <c r="U107" i="10"/>
  <c r="T107" i="10"/>
  <c r="S107" i="10"/>
  <c r="R107" i="10"/>
  <c r="Q107" i="10"/>
  <c r="P107" i="10"/>
  <c r="O107" i="10"/>
  <c r="N107" i="10"/>
  <c r="U106" i="10"/>
  <c r="T106" i="10"/>
  <c r="S106" i="10"/>
  <c r="R106" i="10"/>
  <c r="Q106" i="10"/>
  <c r="P106" i="10"/>
  <c r="O106" i="10"/>
  <c r="N106" i="10"/>
  <c r="U105" i="10"/>
  <c r="T105" i="10"/>
  <c r="S105" i="10"/>
  <c r="R105" i="10"/>
  <c r="Q105" i="10"/>
  <c r="P105" i="10"/>
  <c r="O105" i="10"/>
  <c r="N105" i="10"/>
  <c r="U104" i="10"/>
  <c r="T104" i="10"/>
  <c r="S104" i="10"/>
  <c r="R104" i="10"/>
  <c r="Q104" i="10"/>
  <c r="P104" i="10"/>
  <c r="O104" i="10"/>
  <c r="N104" i="10"/>
  <c r="U103" i="10"/>
  <c r="T103" i="10"/>
  <c r="S103" i="10"/>
  <c r="R103" i="10"/>
  <c r="Q103" i="10"/>
  <c r="P103" i="10"/>
  <c r="O103" i="10"/>
  <c r="N103" i="10"/>
  <c r="U102" i="10"/>
  <c r="T102" i="10"/>
  <c r="S102" i="10"/>
  <c r="R102" i="10"/>
  <c r="Q102" i="10"/>
  <c r="P102" i="10"/>
  <c r="O102" i="10"/>
  <c r="N102" i="10"/>
  <c r="U101" i="10"/>
  <c r="T101" i="10"/>
  <c r="S101" i="10"/>
  <c r="R101" i="10"/>
  <c r="Q101" i="10"/>
  <c r="P101" i="10"/>
  <c r="O101" i="10"/>
  <c r="N101" i="10"/>
  <c r="U100" i="10"/>
  <c r="T100" i="10"/>
  <c r="S100" i="10"/>
  <c r="R100" i="10"/>
  <c r="Q100" i="10"/>
  <c r="P100" i="10"/>
  <c r="O100" i="10"/>
  <c r="N100" i="10"/>
  <c r="U99" i="10"/>
  <c r="T99" i="10"/>
  <c r="S99" i="10"/>
  <c r="R99" i="10"/>
  <c r="Q99" i="10"/>
  <c r="P99" i="10"/>
  <c r="O99" i="10"/>
  <c r="N99" i="10"/>
  <c r="U98" i="10"/>
  <c r="T98" i="10"/>
  <c r="S98" i="10"/>
  <c r="R98" i="10"/>
  <c r="Q98" i="10"/>
  <c r="P98" i="10"/>
  <c r="O98" i="10"/>
  <c r="N98" i="10"/>
  <c r="U97" i="10"/>
  <c r="T97" i="10"/>
  <c r="S97" i="10"/>
  <c r="R97" i="10"/>
  <c r="Q97" i="10"/>
  <c r="P97" i="10"/>
  <c r="O97" i="10"/>
  <c r="N97" i="10"/>
  <c r="U96" i="10"/>
  <c r="T96" i="10"/>
  <c r="S96" i="10"/>
  <c r="R96" i="10"/>
  <c r="Q96" i="10"/>
  <c r="P96" i="10"/>
  <c r="O96" i="10"/>
  <c r="N96" i="10"/>
  <c r="U95" i="10"/>
  <c r="T95" i="10"/>
  <c r="S95" i="10"/>
  <c r="R95" i="10"/>
  <c r="Q95" i="10"/>
  <c r="P95" i="10"/>
  <c r="O95" i="10"/>
  <c r="N95" i="10"/>
  <c r="U94" i="10"/>
  <c r="T94" i="10"/>
  <c r="S94" i="10"/>
  <c r="R94" i="10"/>
  <c r="Q94" i="10"/>
  <c r="P94" i="10"/>
  <c r="O94" i="10"/>
  <c r="N94" i="10"/>
  <c r="U93" i="10"/>
  <c r="T93" i="10"/>
  <c r="S93" i="10"/>
  <c r="R93" i="10"/>
  <c r="Q93" i="10"/>
  <c r="P93" i="10"/>
  <c r="O93" i="10"/>
  <c r="N93" i="10"/>
  <c r="U92" i="10"/>
  <c r="T92" i="10"/>
  <c r="S92" i="10"/>
  <c r="R92" i="10"/>
  <c r="Q92" i="10"/>
  <c r="P92" i="10"/>
  <c r="O92" i="10"/>
  <c r="N92" i="10"/>
  <c r="U91" i="10"/>
  <c r="T91" i="10"/>
  <c r="S91" i="10"/>
  <c r="R91" i="10"/>
  <c r="Q91" i="10"/>
  <c r="P91" i="10"/>
  <c r="O91" i="10"/>
  <c r="N91" i="10"/>
  <c r="U90" i="10"/>
  <c r="T90" i="10"/>
  <c r="S90" i="10"/>
  <c r="R90" i="10"/>
  <c r="Q90" i="10"/>
  <c r="P90" i="10"/>
  <c r="O90" i="10"/>
  <c r="N90" i="10"/>
  <c r="U89" i="10"/>
  <c r="T89" i="10"/>
  <c r="S89" i="10"/>
  <c r="R89" i="10"/>
  <c r="Q89" i="10"/>
  <c r="P89" i="10"/>
  <c r="O89" i="10"/>
  <c r="N89" i="10"/>
  <c r="U88" i="10"/>
  <c r="T88" i="10"/>
  <c r="S88" i="10"/>
  <c r="R88" i="10"/>
  <c r="Q88" i="10"/>
  <c r="P88" i="10"/>
  <c r="O88" i="10"/>
  <c r="N88" i="10"/>
  <c r="U87" i="10"/>
  <c r="T87" i="10"/>
  <c r="S87" i="10"/>
  <c r="R87" i="10"/>
  <c r="Q87" i="10"/>
  <c r="P87" i="10"/>
  <c r="O87" i="10"/>
  <c r="N87" i="10"/>
  <c r="U86" i="10"/>
  <c r="T86" i="10"/>
  <c r="S86" i="10"/>
  <c r="R86" i="10"/>
  <c r="Q86" i="10"/>
  <c r="P86" i="10"/>
  <c r="O86" i="10"/>
  <c r="N86" i="10"/>
  <c r="U85" i="10"/>
  <c r="T85" i="10"/>
  <c r="S85" i="10"/>
  <c r="R85" i="10"/>
  <c r="Q85" i="10"/>
  <c r="P85" i="10"/>
  <c r="O85" i="10"/>
  <c r="N85" i="10"/>
  <c r="U84" i="10"/>
  <c r="T84" i="10"/>
  <c r="S84" i="10"/>
  <c r="R84" i="10"/>
  <c r="Q84" i="10"/>
  <c r="P84" i="10"/>
  <c r="O84" i="10"/>
  <c r="N84" i="10"/>
  <c r="U83" i="10"/>
  <c r="T83" i="10"/>
  <c r="S83" i="10"/>
  <c r="R83" i="10"/>
  <c r="Q83" i="10"/>
  <c r="P83" i="10"/>
  <c r="O83" i="10"/>
  <c r="N83" i="10"/>
  <c r="U82" i="10"/>
  <c r="T82" i="10"/>
  <c r="S82" i="10"/>
  <c r="R82" i="10"/>
  <c r="Q82" i="10"/>
  <c r="P82" i="10"/>
  <c r="O82" i="10"/>
  <c r="N82" i="10"/>
  <c r="U81" i="10"/>
  <c r="T81" i="10"/>
  <c r="S81" i="10"/>
  <c r="R81" i="10"/>
  <c r="Q81" i="10"/>
  <c r="P81" i="10"/>
  <c r="O81" i="10"/>
  <c r="N81" i="10"/>
  <c r="U80" i="10"/>
  <c r="T80" i="10"/>
  <c r="S80" i="10"/>
  <c r="R80" i="10"/>
  <c r="Q80" i="10"/>
  <c r="P80" i="10"/>
  <c r="O80" i="10"/>
  <c r="N80" i="10"/>
  <c r="U79" i="10"/>
  <c r="T79" i="10"/>
  <c r="S79" i="10"/>
  <c r="R79" i="10"/>
  <c r="Q79" i="10"/>
  <c r="P79" i="10"/>
  <c r="O79" i="10"/>
  <c r="N79" i="10"/>
  <c r="U78" i="10"/>
  <c r="T78" i="10"/>
  <c r="S78" i="10"/>
  <c r="R78" i="10"/>
  <c r="Q78" i="10"/>
  <c r="P78" i="10"/>
  <c r="O78" i="10"/>
  <c r="N78" i="10"/>
  <c r="U77" i="10"/>
  <c r="T77" i="10"/>
  <c r="S77" i="10"/>
  <c r="R77" i="10"/>
  <c r="Q77" i="10"/>
  <c r="P77" i="10"/>
  <c r="O77" i="10"/>
  <c r="N77" i="10"/>
  <c r="U76" i="10"/>
  <c r="T76" i="10"/>
  <c r="S76" i="10"/>
  <c r="R76" i="10"/>
  <c r="Q76" i="10"/>
  <c r="P76" i="10"/>
  <c r="O76" i="10"/>
  <c r="N76" i="10"/>
  <c r="U75" i="10"/>
  <c r="T75" i="10"/>
  <c r="S75" i="10"/>
  <c r="R75" i="10"/>
  <c r="Q75" i="10"/>
  <c r="P75" i="10"/>
  <c r="O75" i="10"/>
  <c r="N75" i="10"/>
  <c r="U74" i="10"/>
  <c r="T74" i="10"/>
  <c r="S74" i="10"/>
  <c r="R74" i="10"/>
  <c r="Q74" i="10"/>
  <c r="P74" i="10"/>
  <c r="O74" i="10"/>
  <c r="N74" i="10"/>
  <c r="U73" i="10"/>
  <c r="T73" i="10"/>
  <c r="S73" i="10"/>
  <c r="R73" i="10"/>
  <c r="Q73" i="10"/>
  <c r="P73" i="10"/>
  <c r="O73" i="10"/>
  <c r="N73" i="10"/>
  <c r="U72" i="10"/>
  <c r="T72" i="10"/>
  <c r="S72" i="10"/>
  <c r="R72" i="10"/>
  <c r="Q72" i="10"/>
  <c r="P72" i="10"/>
  <c r="O72" i="10"/>
  <c r="N72" i="10"/>
  <c r="U71" i="10"/>
  <c r="T71" i="10"/>
  <c r="S71" i="10"/>
  <c r="R71" i="10"/>
  <c r="Q71" i="10"/>
  <c r="P71" i="10"/>
  <c r="O71" i="10"/>
  <c r="N71" i="10"/>
  <c r="U70" i="10"/>
  <c r="T70" i="10"/>
  <c r="S70" i="10"/>
  <c r="R70" i="10"/>
  <c r="Q70" i="10"/>
  <c r="P70" i="10"/>
  <c r="O70" i="10"/>
  <c r="N70" i="10"/>
  <c r="U69" i="10"/>
  <c r="T69" i="10"/>
  <c r="S69" i="10"/>
  <c r="R69" i="10"/>
  <c r="Q69" i="10"/>
  <c r="P69" i="10"/>
  <c r="O69" i="10"/>
  <c r="N69" i="10"/>
  <c r="U68" i="10"/>
  <c r="T68" i="10"/>
  <c r="S68" i="10"/>
  <c r="R68" i="10"/>
  <c r="Q68" i="10"/>
  <c r="P68" i="10"/>
  <c r="O68" i="10"/>
  <c r="N68" i="10"/>
  <c r="U67" i="10"/>
  <c r="T67" i="10"/>
  <c r="S67" i="10"/>
  <c r="R67" i="10"/>
  <c r="Q67" i="10"/>
  <c r="P67" i="10"/>
  <c r="O67" i="10"/>
  <c r="N67" i="10"/>
  <c r="U66" i="10"/>
  <c r="T66" i="10"/>
  <c r="S66" i="10"/>
  <c r="R66" i="10"/>
  <c r="Q66" i="10"/>
  <c r="P66" i="10"/>
  <c r="O66" i="10"/>
  <c r="N66" i="10"/>
  <c r="U65" i="10"/>
  <c r="T65" i="10"/>
  <c r="S65" i="10"/>
  <c r="R65" i="10"/>
  <c r="Q65" i="10"/>
  <c r="P65" i="10"/>
  <c r="O65" i="10"/>
  <c r="N65" i="10"/>
  <c r="U64" i="10"/>
  <c r="T64" i="10"/>
  <c r="S64" i="10"/>
  <c r="R64" i="10"/>
  <c r="Q64" i="10"/>
  <c r="P64" i="10"/>
  <c r="O64" i="10"/>
  <c r="N64" i="10"/>
  <c r="U63" i="10"/>
  <c r="T63" i="10"/>
  <c r="S63" i="10"/>
  <c r="R63" i="10"/>
  <c r="Q63" i="10"/>
  <c r="P63" i="10"/>
  <c r="O63" i="10"/>
  <c r="N63" i="10"/>
  <c r="U62" i="10"/>
  <c r="T62" i="10"/>
  <c r="S62" i="10"/>
  <c r="R62" i="10"/>
  <c r="Q62" i="10"/>
  <c r="P62" i="10"/>
  <c r="O62" i="10"/>
  <c r="N62" i="10"/>
  <c r="U61" i="10"/>
  <c r="T61" i="10"/>
  <c r="S61" i="10"/>
  <c r="R61" i="10"/>
  <c r="Q61" i="10"/>
  <c r="P61" i="10"/>
  <c r="O61" i="10"/>
  <c r="N61" i="10"/>
  <c r="U60" i="10"/>
  <c r="T60" i="10"/>
  <c r="S60" i="10"/>
  <c r="R60" i="10"/>
  <c r="Q60" i="10"/>
  <c r="P60" i="10"/>
  <c r="O60" i="10"/>
  <c r="N60" i="10"/>
  <c r="U59" i="10"/>
  <c r="T59" i="10"/>
  <c r="S59" i="10"/>
  <c r="R59" i="10"/>
  <c r="Q59" i="10"/>
  <c r="P59" i="10"/>
  <c r="O59" i="10"/>
  <c r="N59" i="10"/>
  <c r="U58" i="10"/>
  <c r="T58" i="10"/>
  <c r="S58" i="10"/>
  <c r="R58" i="10"/>
  <c r="Q58" i="10"/>
  <c r="P58" i="10"/>
  <c r="O58" i="10"/>
  <c r="N58" i="10"/>
  <c r="U57" i="10"/>
  <c r="T57" i="10"/>
  <c r="S57" i="10"/>
  <c r="R57" i="10"/>
  <c r="Q57" i="10"/>
  <c r="P57" i="10"/>
  <c r="O57" i="10"/>
  <c r="N57" i="10"/>
  <c r="U56" i="10"/>
  <c r="T56" i="10"/>
  <c r="S56" i="10"/>
  <c r="R56" i="10"/>
  <c r="Q56" i="10"/>
  <c r="P56" i="10"/>
  <c r="O56" i="10"/>
  <c r="N56" i="10"/>
  <c r="U55" i="10"/>
  <c r="T55" i="10"/>
  <c r="S55" i="10"/>
  <c r="R55" i="10"/>
  <c r="Q55" i="10"/>
  <c r="P55" i="10"/>
  <c r="O55" i="10"/>
  <c r="N55" i="10"/>
  <c r="U54" i="10"/>
  <c r="T54" i="10"/>
  <c r="S54" i="10"/>
  <c r="R54" i="10"/>
  <c r="Q54" i="10"/>
  <c r="P54" i="10"/>
  <c r="O54" i="10"/>
  <c r="N54" i="10"/>
  <c r="U53" i="10"/>
  <c r="T53" i="10"/>
  <c r="S53" i="10"/>
  <c r="R53" i="10"/>
  <c r="Q53" i="10"/>
  <c r="P53" i="10"/>
  <c r="O53" i="10"/>
  <c r="N53" i="10"/>
  <c r="U52" i="10"/>
  <c r="T52" i="10"/>
  <c r="S52" i="10"/>
  <c r="R52" i="10"/>
  <c r="Q52" i="10"/>
  <c r="P52" i="10"/>
  <c r="O52" i="10"/>
  <c r="N52" i="10"/>
  <c r="U51" i="10"/>
  <c r="T51" i="10"/>
  <c r="S51" i="10"/>
  <c r="R51" i="10"/>
  <c r="Q51" i="10"/>
  <c r="P51" i="10"/>
  <c r="O51" i="10"/>
  <c r="N51" i="10"/>
  <c r="U50" i="10"/>
  <c r="T50" i="10"/>
  <c r="S50" i="10"/>
  <c r="R50" i="10"/>
  <c r="Q50" i="10"/>
  <c r="P50" i="10"/>
  <c r="O50" i="10"/>
  <c r="N50" i="10"/>
  <c r="U49" i="10"/>
  <c r="T49" i="10"/>
  <c r="S49" i="10"/>
  <c r="R49" i="10"/>
  <c r="Q49" i="10"/>
  <c r="P49" i="10"/>
  <c r="O49" i="10"/>
  <c r="N49" i="10"/>
  <c r="U48" i="10"/>
  <c r="T48" i="10"/>
  <c r="S48" i="10"/>
  <c r="R48" i="10"/>
  <c r="Q48" i="10"/>
  <c r="P48" i="10"/>
  <c r="O48" i="10"/>
  <c r="N48" i="10"/>
  <c r="U47" i="10"/>
  <c r="T47" i="10"/>
  <c r="S47" i="10"/>
  <c r="R47" i="10"/>
  <c r="Q47" i="10"/>
  <c r="P47" i="10"/>
  <c r="O47" i="10"/>
  <c r="N47" i="10"/>
  <c r="U46" i="10"/>
  <c r="T46" i="10"/>
  <c r="S46" i="10"/>
  <c r="R46" i="10"/>
  <c r="Q46" i="10"/>
  <c r="P46" i="10"/>
  <c r="O46" i="10"/>
  <c r="N46" i="10"/>
  <c r="U45" i="10"/>
  <c r="T45" i="10"/>
  <c r="S45" i="10"/>
  <c r="R45" i="10"/>
  <c r="Q45" i="10"/>
  <c r="P45" i="10"/>
  <c r="O45" i="10"/>
  <c r="N45" i="10"/>
  <c r="U44" i="10"/>
  <c r="T44" i="10"/>
  <c r="S44" i="10"/>
  <c r="R44" i="10"/>
  <c r="Q44" i="10"/>
  <c r="P44" i="10"/>
  <c r="O44" i="10"/>
  <c r="N44" i="10"/>
  <c r="U43" i="10"/>
  <c r="T43" i="10"/>
  <c r="S43" i="10"/>
  <c r="R43" i="10"/>
  <c r="Q43" i="10"/>
  <c r="P43" i="10"/>
  <c r="O43" i="10"/>
  <c r="N43" i="10"/>
  <c r="U42" i="10"/>
  <c r="T42" i="10"/>
  <c r="S42" i="10"/>
  <c r="R42" i="10"/>
  <c r="Q42" i="10"/>
  <c r="P42" i="10"/>
  <c r="O42" i="10"/>
  <c r="N42" i="10"/>
  <c r="U41" i="10"/>
  <c r="T41" i="10"/>
  <c r="S41" i="10"/>
  <c r="R41" i="10"/>
  <c r="Q41" i="10"/>
  <c r="P41" i="10"/>
  <c r="O41" i="10"/>
  <c r="N41" i="10"/>
  <c r="U40" i="10"/>
  <c r="T40" i="10"/>
  <c r="S40" i="10"/>
  <c r="R40" i="10"/>
  <c r="Q40" i="10"/>
  <c r="P40" i="10"/>
  <c r="O40" i="10"/>
  <c r="N40" i="10"/>
  <c r="U39" i="10"/>
  <c r="T39" i="10"/>
  <c r="S39" i="10"/>
  <c r="R39" i="10"/>
  <c r="Q39" i="10"/>
  <c r="P39" i="10"/>
  <c r="O39" i="10"/>
  <c r="N39" i="10"/>
  <c r="U38" i="10"/>
  <c r="T38" i="10"/>
  <c r="S38" i="10"/>
  <c r="R38" i="10"/>
  <c r="Q38" i="10"/>
  <c r="P38" i="10"/>
  <c r="O38" i="10"/>
  <c r="N38" i="10"/>
  <c r="U37" i="10"/>
  <c r="T37" i="10"/>
  <c r="S37" i="10"/>
  <c r="R37" i="10"/>
  <c r="Q37" i="10"/>
  <c r="P37" i="10"/>
  <c r="O37" i="10"/>
  <c r="N37" i="10"/>
  <c r="U36" i="10"/>
  <c r="T36" i="10"/>
  <c r="S36" i="10"/>
  <c r="R36" i="10"/>
  <c r="Q36" i="10"/>
  <c r="P36" i="10"/>
  <c r="O36" i="10"/>
  <c r="N36" i="10"/>
  <c r="U35" i="10"/>
  <c r="T35" i="10"/>
  <c r="S35" i="10"/>
  <c r="R35" i="10"/>
  <c r="Q35" i="10"/>
  <c r="P35" i="10"/>
  <c r="O35" i="10"/>
  <c r="N35" i="10"/>
  <c r="U34" i="10"/>
  <c r="T34" i="10"/>
  <c r="S34" i="10"/>
  <c r="R34" i="10"/>
  <c r="Q34" i="10"/>
  <c r="P34" i="10"/>
  <c r="O34" i="10"/>
  <c r="N34" i="10"/>
  <c r="U33" i="10"/>
  <c r="T33" i="10"/>
  <c r="S33" i="10"/>
  <c r="R33" i="10"/>
  <c r="Q33" i="10"/>
  <c r="P33" i="10"/>
  <c r="O33" i="10"/>
  <c r="N33" i="10"/>
  <c r="U32" i="10"/>
  <c r="T32" i="10"/>
  <c r="S32" i="10"/>
  <c r="R32" i="10"/>
  <c r="Q32" i="10"/>
  <c r="P32" i="10"/>
  <c r="O32" i="10"/>
  <c r="N32" i="10"/>
  <c r="U31" i="10"/>
  <c r="T31" i="10"/>
  <c r="S31" i="10"/>
  <c r="R31" i="10"/>
  <c r="Q31" i="10"/>
  <c r="P31" i="10"/>
  <c r="O31" i="10"/>
  <c r="N31" i="10"/>
  <c r="U30" i="10"/>
  <c r="T30" i="10"/>
  <c r="S30" i="10"/>
  <c r="R30" i="10"/>
  <c r="Q30" i="10"/>
  <c r="P30" i="10"/>
  <c r="O30" i="10"/>
  <c r="N30" i="10"/>
  <c r="U29" i="10"/>
  <c r="T29" i="10"/>
  <c r="S29" i="10"/>
  <c r="R29" i="10"/>
  <c r="Q29" i="10"/>
  <c r="P29" i="10"/>
  <c r="O29" i="10"/>
  <c r="N29" i="10"/>
  <c r="U28" i="10"/>
  <c r="T28" i="10"/>
  <c r="S28" i="10"/>
  <c r="R28" i="10"/>
  <c r="Q28" i="10"/>
  <c r="P28" i="10"/>
  <c r="O28" i="10"/>
  <c r="N28" i="10"/>
  <c r="U27" i="10"/>
  <c r="T27" i="10"/>
  <c r="S27" i="10"/>
  <c r="R27" i="10"/>
  <c r="Q27" i="10"/>
  <c r="P27" i="10"/>
  <c r="O27" i="10"/>
  <c r="N27" i="10"/>
  <c r="U26" i="10"/>
  <c r="T26" i="10"/>
  <c r="S26" i="10"/>
  <c r="R26" i="10"/>
  <c r="Q26" i="10"/>
  <c r="P26" i="10"/>
  <c r="O26" i="10"/>
  <c r="N26" i="10"/>
  <c r="U25" i="10"/>
  <c r="T25" i="10"/>
  <c r="S25" i="10"/>
  <c r="R25" i="10"/>
  <c r="Q25" i="10"/>
  <c r="P25" i="10"/>
  <c r="O25" i="10"/>
  <c r="N25" i="10"/>
  <c r="U24" i="10"/>
  <c r="T24" i="10"/>
  <c r="S24" i="10"/>
  <c r="R24" i="10"/>
  <c r="Q24" i="10"/>
  <c r="P24" i="10"/>
  <c r="O24" i="10"/>
  <c r="N24" i="10"/>
  <c r="U23" i="10"/>
  <c r="T23" i="10"/>
  <c r="S23" i="10"/>
  <c r="R23" i="10"/>
  <c r="Q23" i="10"/>
  <c r="P23" i="10"/>
  <c r="O23" i="10"/>
  <c r="N23" i="10"/>
  <c r="U22" i="10"/>
  <c r="T22" i="10"/>
  <c r="S22" i="10"/>
  <c r="R22" i="10"/>
  <c r="Q22" i="10"/>
  <c r="P22" i="10"/>
  <c r="O22" i="10"/>
  <c r="N22" i="10"/>
  <c r="U21" i="10"/>
  <c r="T21" i="10"/>
  <c r="S21" i="10"/>
  <c r="R21" i="10"/>
  <c r="Q21" i="10"/>
  <c r="P21" i="10"/>
  <c r="O21" i="10"/>
  <c r="N21" i="10"/>
  <c r="U20" i="10"/>
  <c r="T20" i="10"/>
  <c r="S20" i="10"/>
  <c r="R20" i="10"/>
  <c r="Q20" i="10"/>
  <c r="P20" i="10"/>
  <c r="O20" i="10"/>
  <c r="N20" i="10"/>
  <c r="U19" i="10"/>
  <c r="T19" i="10"/>
  <c r="S19" i="10"/>
  <c r="R19" i="10"/>
  <c r="Q19" i="10"/>
  <c r="P19" i="10"/>
  <c r="O19" i="10"/>
  <c r="N19" i="10"/>
  <c r="U18" i="10"/>
  <c r="T18" i="10"/>
  <c r="S18" i="10"/>
  <c r="R18" i="10"/>
  <c r="Q18" i="10"/>
  <c r="P18" i="10"/>
  <c r="O18" i="10"/>
  <c r="N18" i="10"/>
  <c r="U17" i="10"/>
  <c r="T17" i="10"/>
  <c r="S17" i="10"/>
  <c r="R17" i="10"/>
  <c r="Q17" i="10"/>
  <c r="P17" i="10"/>
  <c r="O17" i="10"/>
  <c r="N17" i="10"/>
  <c r="U16" i="10"/>
  <c r="T16" i="10"/>
  <c r="S16" i="10"/>
  <c r="R16" i="10"/>
  <c r="Q16" i="10"/>
  <c r="P16" i="10"/>
  <c r="O16" i="10"/>
  <c r="N16" i="10"/>
  <c r="U15" i="10"/>
  <c r="T15" i="10"/>
  <c r="S15" i="10"/>
  <c r="R15" i="10"/>
  <c r="Q15" i="10"/>
  <c r="P15" i="10"/>
  <c r="O15" i="10"/>
  <c r="N15" i="10"/>
  <c r="U14" i="10"/>
  <c r="T14" i="10"/>
  <c r="S14" i="10"/>
  <c r="R14" i="10"/>
  <c r="Q14" i="10"/>
  <c r="P14" i="10"/>
  <c r="O14" i="10"/>
  <c r="N14" i="10"/>
  <c r="U13" i="10"/>
  <c r="T13" i="10"/>
  <c r="S13" i="10"/>
  <c r="R13" i="10"/>
  <c r="Q13" i="10"/>
  <c r="P13" i="10"/>
  <c r="O13" i="10"/>
  <c r="N13" i="10"/>
  <c r="U12" i="10"/>
  <c r="T12" i="10"/>
  <c r="S12" i="10"/>
  <c r="R12" i="10"/>
  <c r="Q12" i="10"/>
  <c r="P12" i="10"/>
  <c r="O12" i="10"/>
  <c r="N12" i="10"/>
  <c r="U11" i="10"/>
  <c r="T11" i="10"/>
  <c r="S11" i="10"/>
  <c r="R11" i="10"/>
  <c r="Q11" i="10"/>
  <c r="P11" i="10"/>
  <c r="O11" i="10"/>
  <c r="N11" i="10"/>
  <c r="H17" i="9"/>
  <c r="F17" i="9"/>
  <c r="E17" i="9"/>
  <c r="H16" i="9"/>
  <c r="F16" i="9"/>
  <c r="E16" i="9"/>
  <c r="H15" i="9"/>
  <c r="F15" i="9"/>
  <c r="E15" i="9"/>
  <c r="H14" i="9"/>
  <c r="F14" i="9"/>
  <c r="E14" i="9"/>
  <c r="H13" i="9"/>
  <c r="F13" i="9"/>
  <c r="E13" i="9"/>
  <c r="H12" i="9"/>
  <c r="F12" i="9"/>
  <c r="E12" i="9"/>
  <c r="H11" i="9"/>
  <c r="F11" i="9"/>
  <c r="E11" i="9"/>
  <c r="H10" i="9"/>
  <c r="F10" i="9"/>
  <c r="E10" i="9"/>
  <c r="J6" i="9"/>
  <c r="I6" i="9"/>
  <c r="H6" i="9"/>
  <c r="G6" i="9"/>
  <c r="F6" i="9"/>
  <c r="E6" i="9"/>
  <c r="D6" i="9"/>
  <c r="C6" i="9"/>
  <c r="B6" i="9"/>
  <c r="A6" i="9"/>
  <c r="J5" i="9"/>
  <c r="I5" i="9"/>
  <c r="D14" i="9" s="1"/>
  <c r="G14" i="9" s="1"/>
  <c r="H5" i="9"/>
  <c r="D13" i="9" s="1"/>
  <c r="G13" i="9" s="1"/>
  <c r="G5" i="9"/>
  <c r="D12" i="9" s="1"/>
  <c r="G12" i="9" s="1"/>
  <c r="F5" i="9"/>
  <c r="D11" i="9" s="1"/>
  <c r="G11" i="9" s="1"/>
  <c r="E5" i="9"/>
  <c r="D10" i="9" s="1"/>
  <c r="G10" i="9" s="1"/>
  <c r="D5" i="9"/>
  <c r="D15" i="9" s="1"/>
  <c r="G15" i="9" s="1"/>
  <c r="C5" i="9"/>
  <c r="B5" i="9"/>
  <c r="A5" i="9"/>
  <c r="F28" i="8"/>
  <c r="C28" i="8"/>
  <c r="E28" i="8" s="1"/>
  <c r="B28" i="8"/>
  <c r="F27" i="8"/>
  <c r="C27" i="8"/>
  <c r="E27" i="8" s="1"/>
  <c r="D30" i="8" s="1"/>
  <c r="B27" i="8"/>
  <c r="O21" i="8"/>
  <c r="N21" i="8"/>
  <c r="O20" i="8"/>
  <c r="N20" i="8"/>
  <c r="O19" i="8"/>
  <c r="N19" i="8"/>
  <c r="O18" i="8"/>
  <c r="N18" i="8"/>
  <c r="O17" i="8"/>
  <c r="N17" i="8"/>
  <c r="I34" i="11" s="1"/>
  <c r="O16" i="8"/>
  <c r="N16" i="8"/>
  <c r="O15" i="8"/>
  <c r="N15" i="8"/>
  <c r="O14" i="8"/>
  <c r="K6" i="9" s="1"/>
  <c r="N14" i="8"/>
  <c r="D27" i="8" s="1"/>
  <c r="O13" i="8"/>
  <c r="K5" i="9" s="1"/>
  <c r="D16" i="9" s="1"/>
  <c r="N13" i="8"/>
  <c r="D28" i="8" s="1"/>
  <c r="O12" i="8"/>
  <c r="N12" i="8"/>
  <c r="O11" i="8"/>
  <c r="N11" i="8"/>
  <c r="O10" i="8"/>
  <c r="N10" i="8"/>
  <c r="O9" i="8"/>
  <c r="N9" i="8"/>
  <c r="O8" i="8"/>
  <c r="N8" i="8"/>
  <c r="O7" i="8"/>
  <c r="N7" i="8"/>
  <c r="O6" i="8"/>
  <c r="N6" i="8"/>
  <c r="O5" i="8"/>
  <c r="N5" i="8"/>
  <c r="I38" i="7"/>
  <c r="H38" i="7"/>
  <c r="I37" i="7"/>
  <c r="H37" i="7"/>
  <c r="I36" i="7"/>
  <c r="H36" i="7"/>
  <c r="I35" i="7"/>
  <c r="H35" i="7"/>
  <c r="I34" i="7"/>
  <c r="H34" i="7"/>
  <c r="C27" i="7"/>
  <c r="C26" i="7"/>
  <c r="C25" i="7"/>
  <c r="C24" i="7"/>
  <c r="C23" i="7"/>
  <c r="B14" i="7"/>
  <c r="B11" i="7"/>
  <c r="U481" i="6"/>
  <c r="T481" i="6"/>
  <c r="S481" i="6"/>
  <c r="R481" i="6"/>
  <c r="Q481" i="6"/>
  <c r="P481" i="6"/>
  <c r="O481" i="6"/>
  <c r="N481" i="6"/>
  <c r="U480" i="6"/>
  <c r="T480" i="6"/>
  <c r="S480" i="6"/>
  <c r="R480" i="6"/>
  <c r="Q480" i="6"/>
  <c r="P480" i="6"/>
  <c r="O480" i="6"/>
  <c r="N480" i="6"/>
  <c r="U479" i="6"/>
  <c r="T479" i="6"/>
  <c r="S479" i="6"/>
  <c r="R479" i="6"/>
  <c r="Q479" i="6"/>
  <c r="P479" i="6"/>
  <c r="O479" i="6"/>
  <c r="N479" i="6"/>
  <c r="U478" i="6"/>
  <c r="T478" i="6"/>
  <c r="S478" i="6"/>
  <c r="R478" i="6"/>
  <c r="Q478" i="6"/>
  <c r="P478" i="6"/>
  <c r="O478" i="6"/>
  <c r="N478" i="6"/>
  <c r="U477" i="6"/>
  <c r="T477" i="6"/>
  <c r="S477" i="6"/>
  <c r="R477" i="6"/>
  <c r="Q477" i="6"/>
  <c r="P477" i="6"/>
  <c r="O477" i="6"/>
  <c r="N477" i="6"/>
  <c r="U476" i="6"/>
  <c r="T476" i="6"/>
  <c r="S476" i="6"/>
  <c r="R476" i="6"/>
  <c r="Q476" i="6"/>
  <c r="P476" i="6"/>
  <c r="O476" i="6"/>
  <c r="N476" i="6"/>
  <c r="U475" i="6"/>
  <c r="T475" i="6"/>
  <c r="S475" i="6"/>
  <c r="R475" i="6"/>
  <c r="Q475" i="6"/>
  <c r="P475" i="6"/>
  <c r="O475" i="6"/>
  <c r="N475" i="6"/>
  <c r="U474" i="6"/>
  <c r="T474" i="6"/>
  <c r="S474" i="6"/>
  <c r="R474" i="6"/>
  <c r="Q474" i="6"/>
  <c r="P474" i="6"/>
  <c r="O474" i="6"/>
  <c r="N474" i="6"/>
  <c r="U473" i="6"/>
  <c r="T473" i="6"/>
  <c r="S473" i="6"/>
  <c r="R473" i="6"/>
  <c r="Q473" i="6"/>
  <c r="P473" i="6"/>
  <c r="O473" i="6"/>
  <c r="N473" i="6"/>
  <c r="U472" i="6"/>
  <c r="T472" i="6"/>
  <c r="S472" i="6"/>
  <c r="R472" i="6"/>
  <c r="Q472" i="6"/>
  <c r="P472" i="6"/>
  <c r="O472" i="6"/>
  <c r="N472" i="6"/>
  <c r="U471" i="6"/>
  <c r="T471" i="6"/>
  <c r="S471" i="6"/>
  <c r="R471" i="6"/>
  <c r="Q471" i="6"/>
  <c r="P471" i="6"/>
  <c r="O471" i="6"/>
  <c r="N471" i="6"/>
  <c r="U470" i="6"/>
  <c r="T470" i="6"/>
  <c r="S470" i="6"/>
  <c r="R470" i="6"/>
  <c r="Q470" i="6"/>
  <c r="P470" i="6"/>
  <c r="O470" i="6"/>
  <c r="N470" i="6"/>
  <c r="U469" i="6"/>
  <c r="T469" i="6"/>
  <c r="S469" i="6"/>
  <c r="R469" i="6"/>
  <c r="Q469" i="6"/>
  <c r="P469" i="6"/>
  <c r="O469" i="6"/>
  <c r="N469" i="6"/>
  <c r="U468" i="6"/>
  <c r="T468" i="6"/>
  <c r="S468" i="6"/>
  <c r="R468" i="6"/>
  <c r="Q468" i="6"/>
  <c r="P468" i="6"/>
  <c r="O468" i="6"/>
  <c r="N468" i="6"/>
  <c r="U467" i="6"/>
  <c r="T467" i="6"/>
  <c r="S467" i="6"/>
  <c r="R467" i="6"/>
  <c r="Q467" i="6"/>
  <c r="P467" i="6"/>
  <c r="O467" i="6"/>
  <c r="N467" i="6"/>
  <c r="U466" i="6"/>
  <c r="T466" i="6"/>
  <c r="S466" i="6"/>
  <c r="R466" i="6"/>
  <c r="Q466" i="6"/>
  <c r="P466" i="6"/>
  <c r="O466" i="6"/>
  <c r="N466" i="6"/>
  <c r="U465" i="6"/>
  <c r="T465" i="6"/>
  <c r="S465" i="6"/>
  <c r="R465" i="6"/>
  <c r="Q465" i="6"/>
  <c r="P465" i="6"/>
  <c r="O465" i="6"/>
  <c r="N465" i="6"/>
  <c r="U464" i="6"/>
  <c r="T464" i="6"/>
  <c r="S464" i="6"/>
  <c r="R464" i="6"/>
  <c r="Q464" i="6"/>
  <c r="P464" i="6"/>
  <c r="O464" i="6"/>
  <c r="N464" i="6"/>
  <c r="U463" i="6"/>
  <c r="T463" i="6"/>
  <c r="S463" i="6"/>
  <c r="R463" i="6"/>
  <c r="Q463" i="6"/>
  <c r="P463" i="6"/>
  <c r="O463" i="6"/>
  <c r="N463" i="6"/>
  <c r="U462" i="6"/>
  <c r="T462" i="6"/>
  <c r="S462" i="6"/>
  <c r="R462" i="6"/>
  <c r="Q462" i="6"/>
  <c r="P462" i="6"/>
  <c r="O462" i="6"/>
  <c r="N462" i="6"/>
  <c r="U461" i="6"/>
  <c r="T461" i="6"/>
  <c r="S461" i="6"/>
  <c r="R461" i="6"/>
  <c r="Q461" i="6"/>
  <c r="P461" i="6"/>
  <c r="O461" i="6"/>
  <c r="N461" i="6"/>
  <c r="U460" i="6"/>
  <c r="T460" i="6"/>
  <c r="S460" i="6"/>
  <c r="R460" i="6"/>
  <c r="Q460" i="6"/>
  <c r="P460" i="6"/>
  <c r="O460" i="6"/>
  <c r="N460" i="6"/>
  <c r="U459" i="6"/>
  <c r="T459" i="6"/>
  <c r="S459" i="6"/>
  <c r="R459" i="6"/>
  <c r="Q459" i="6"/>
  <c r="P459" i="6"/>
  <c r="O459" i="6"/>
  <c r="N459" i="6"/>
  <c r="U458" i="6"/>
  <c r="T458" i="6"/>
  <c r="S458" i="6"/>
  <c r="R458" i="6"/>
  <c r="Q458" i="6"/>
  <c r="P458" i="6"/>
  <c r="O458" i="6"/>
  <c r="N458" i="6"/>
  <c r="U457" i="6"/>
  <c r="T457" i="6"/>
  <c r="S457" i="6"/>
  <c r="R457" i="6"/>
  <c r="Q457" i="6"/>
  <c r="P457" i="6"/>
  <c r="O457" i="6"/>
  <c r="N457" i="6"/>
  <c r="U456" i="6"/>
  <c r="T456" i="6"/>
  <c r="S456" i="6"/>
  <c r="R456" i="6"/>
  <c r="Q456" i="6"/>
  <c r="P456" i="6"/>
  <c r="O456" i="6"/>
  <c r="N456" i="6"/>
  <c r="U455" i="6"/>
  <c r="T455" i="6"/>
  <c r="S455" i="6"/>
  <c r="R455" i="6"/>
  <c r="Q455" i="6"/>
  <c r="P455" i="6"/>
  <c r="O455" i="6"/>
  <c r="N455" i="6"/>
  <c r="U454" i="6"/>
  <c r="T454" i="6"/>
  <c r="S454" i="6"/>
  <c r="R454" i="6"/>
  <c r="Q454" i="6"/>
  <c r="P454" i="6"/>
  <c r="O454" i="6"/>
  <c r="N454" i="6"/>
  <c r="U453" i="6"/>
  <c r="T453" i="6"/>
  <c r="S453" i="6"/>
  <c r="R453" i="6"/>
  <c r="Q453" i="6"/>
  <c r="P453" i="6"/>
  <c r="O453" i="6"/>
  <c r="N453" i="6"/>
  <c r="U452" i="6"/>
  <c r="T452" i="6"/>
  <c r="S452" i="6"/>
  <c r="R452" i="6"/>
  <c r="Q452" i="6"/>
  <c r="P452" i="6"/>
  <c r="O452" i="6"/>
  <c r="N452" i="6"/>
  <c r="U451" i="6"/>
  <c r="T451" i="6"/>
  <c r="S451" i="6"/>
  <c r="R451" i="6"/>
  <c r="Q451" i="6"/>
  <c r="P451" i="6"/>
  <c r="O451" i="6"/>
  <c r="N451" i="6"/>
  <c r="U450" i="6"/>
  <c r="T450" i="6"/>
  <c r="S450" i="6"/>
  <c r="R450" i="6"/>
  <c r="Q450" i="6"/>
  <c r="P450" i="6"/>
  <c r="O450" i="6"/>
  <c r="N450" i="6"/>
  <c r="U449" i="6"/>
  <c r="T449" i="6"/>
  <c r="S449" i="6"/>
  <c r="R449" i="6"/>
  <c r="Q449" i="6"/>
  <c r="P449" i="6"/>
  <c r="O449" i="6"/>
  <c r="N449" i="6"/>
  <c r="U448" i="6"/>
  <c r="T448" i="6"/>
  <c r="S448" i="6"/>
  <c r="R448" i="6"/>
  <c r="Q448" i="6"/>
  <c r="P448" i="6"/>
  <c r="O448" i="6"/>
  <c r="N448" i="6"/>
  <c r="U447" i="6"/>
  <c r="T447" i="6"/>
  <c r="S447" i="6"/>
  <c r="R447" i="6"/>
  <c r="Q447" i="6"/>
  <c r="P447" i="6"/>
  <c r="O447" i="6"/>
  <c r="N447" i="6"/>
  <c r="U446" i="6"/>
  <c r="T446" i="6"/>
  <c r="S446" i="6"/>
  <c r="R446" i="6"/>
  <c r="Q446" i="6"/>
  <c r="P446" i="6"/>
  <c r="O446" i="6"/>
  <c r="N446" i="6"/>
  <c r="U445" i="6"/>
  <c r="T445" i="6"/>
  <c r="S445" i="6"/>
  <c r="R445" i="6"/>
  <c r="Q445" i="6"/>
  <c r="P445" i="6"/>
  <c r="O445" i="6"/>
  <c r="N445" i="6"/>
  <c r="U444" i="6"/>
  <c r="T444" i="6"/>
  <c r="S444" i="6"/>
  <c r="R444" i="6"/>
  <c r="Q444" i="6"/>
  <c r="P444" i="6"/>
  <c r="O444" i="6"/>
  <c r="N444" i="6"/>
  <c r="U443" i="6"/>
  <c r="T443" i="6"/>
  <c r="S443" i="6"/>
  <c r="R443" i="6"/>
  <c r="Q443" i="6"/>
  <c r="P443" i="6"/>
  <c r="O443" i="6"/>
  <c r="N443" i="6"/>
  <c r="U442" i="6"/>
  <c r="T442" i="6"/>
  <c r="S442" i="6"/>
  <c r="R442" i="6"/>
  <c r="Q442" i="6"/>
  <c r="P442" i="6"/>
  <c r="O442" i="6"/>
  <c r="N442" i="6"/>
  <c r="U441" i="6"/>
  <c r="T441" i="6"/>
  <c r="S441" i="6"/>
  <c r="R441" i="6"/>
  <c r="Q441" i="6"/>
  <c r="P441" i="6"/>
  <c r="O441" i="6"/>
  <c r="N441" i="6"/>
  <c r="U440" i="6"/>
  <c r="T440" i="6"/>
  <c r="S440" i="6"/>
  <c r="R440" i="6"/>
  <c r="Q440" i="6"/>
  <c r="P440" i="6"/>
  <c r="O440" i="6"/>
  <c r="N440" i="6"/>
  <c r="U439" i="6"/>
  <c r="T439" i="6"/>
  <c r="S439" i="6"/>
  <c r="R439" i="6"/>
  <c r="Q439" i="6"/>
  <c r="P439" i="6"/>
  <c r="O439" i="6"/>
  <c r="N439" i="6"/>
  <c r="U438" i="6"/>
  <c r="T438" i="6"/>
  <c r="S438" i="6"/>
  <c r="R438" i="6"/>
  <c r="Q438" i="6"/>
  <c r="P438" i="6"/>
  <c r="O438" i="6"/>
  <c r="N438" i="6"/>
  <c r="U437" i="6"/>
  <c r="T437" i="6"/>
  <c r="S437" i="6"/>
  <c r="R437" i="6"/>
  <c r="Q437" i="6"/>
  <c r="P437" i="6"/>
  <c r="O437" i="6"/>
  <c r="N437" i="6"/>
  <c r="U436" i="6"/>
  <c r="T436" i="6"/>
  <c r="S436" i="6"/>
  <c r="R436" i="6"/>
  <c r="Q436" i="6"/>
  <c r="P436" i="6"/>
  <c r="O436" i="6"/>
  <c r="N436" i="6"/>
  <c r="U435" i="6"/>
  <c r="T435" i="6"/>
  <c r="S435" i="6"/>
  <c r="R435" i="6"/>
  <c r="Q435" i="6"/>
  <c r="P435" i="6"/>
  <c r="O435" i="6"/>
  <c r="N435" i="6"/>
  <c r="U434" i="6"/>
  <c r="T434" i="6"/>
  <c r="S434" i="6"/>
  <c r="R434" i="6"/>
  <c r="Q434" i="6"/>
  <c r="P434" i="6"/>
  <c r="O434" i="6"/>
  <c r="N434" i="6"/>
  <c r="U433" i="6"/>
  <c r="T433" i="6"/>
  <c r="S433" i="6"/>
  <c r="R433" i="6"/>
  <c r="Q433" i="6"/>
  <c r="P433" i="6"/>
  <c r="O433" i="6"/>
  <c r="N433" i="6"/>
  <c r="U432" i="6"/>
  <c r="T432" i="6"/>
  <c r="S432" i="6"/>
  <c r="R432" i="6"/>
  <c r="Q432" i="6"/>
  <c r="P432" i="6"/>
  <c r="O432" i="6"/>
  <c r="N432" i="6"/>
  <c r="U431" i="6"/>
  <c r="T431" i="6"/>
  <c r="S431" i="6"/>
  <c r="R431" i="6"/>
  <c r="Q431" i="6"/>
  <c r="P431" i="6"/>
  <c r="O431" i="6"/>
  <c r="N431" i="6"/>
  <c r="U430" i="6"/>
  <c r="T430" i="6"/>
  <c r="S430" i="6"/>
  <c r="R430" i="6"/>
  <c r="Q430" i="6"/>
  <c r="P430" i="6"/>
  <c r="O430" i="6"/>
  <c r="N430" i="6"/>
  <c r="U429" i="6"/>
  <c r="T429" i="6"/>
  <c r="S429" i="6"/>
  <c r="R429" i="6"/>
  <c r="Q429" i="6"/>
  <c r="P429" i="6"/>
  <c r="O429" i="6"/>
  <c r="N429" i="6"/>
  <c r="U428" i="6"/>
  <c r="T428" i="6"/>
  <c r="S428" i="6"/>
  <c r="R428" i="6"/>
  <c r="Q428" i="6"/>
  <c r="P428" i="6"/>
  <c r="O428" i="6"/>
  <c r="N428" i="6"/>
  <c r="U427" i="6"/>
  <c r="T427" i="6"/>
  <c r="S427" i="6"/>
  <c r="R427" i="6"/>
  <c r="Q427" i="6"/>
  <c r="P427" i="6"/>
  <c r="O427" i="6"/>
  <c r="N427" i="6"/>
  <c r="U426" i="6"/>
  <c r="T426" i="6"/>
  <c r="S426" i="6"/>
  <c r="R426" i="6"/>
  <c r="Q426" i="6"/>
  <c r="P426" i="6"/>
  <c r="O426" i="6"/>
  <c r="N426" i="6"/>
  <c r="U425" i="6"/>
  <c r="T425" i="6"/>
  <c r="S425" i="6"/>
  <c r="R425" i="6"/>
  <c r="Q425" i="6"/>
  <c r="P425" i="6"/>
  <c r="O425" i="6"/>
  <c r="N425" i="6"/>
  <c r="U424" i="6"/>
  <c r="T424" i="6"/>
  <c r="S424" i="6"/>
  <c r="R424" i="6"/>
  <c r="Q424" i="6"/>
  <c r="P424" i="6"/>
  <c r="O424" i="6"/>
  <c r="N424" i="6"/>
  <c r="U423" i="6"/>
  <c r="T423" i="6"/>
  <c r="S423" i="6"/>
  <c r="R423" i="6"/>
  <c r="Q423" i="6"/>
  <c r="P423" i="6"/>
  <c r="O423" i="6"/>
  <c r="N423" i="6"/>
  <c r="U422" i="6"/>
  <c r="T422" i="6"/>
  <c r="S422" i="6"/>
  <c r="R422" i="6"/>
  <c r="Q422" i="6"/>
  <c r="P422" i="6"/>
  <c r="O422" i="6"/>
  <c r="N422" i="6"/>
  <c r="U421" i="6"/>
  <c r="T421" i="6"/>
  <c r="S421" i="6"/>
  <c r="R421" i="6"/>
  <c r="Q421" i="6"/>
  <c r="P421" i="6"/>
  <c r="O421" i="6"/>
  <c r="N421" i="6"/>
  <c r="U420" i="6"/>
  <c r="T420" i="6"/>
  <c r="S420" i="6"/>
  <c r="R420" i="6"/>
  <c r="Q420" i="6"/>
  <c r="P420" i="6"/>
  <c r="O420" i="6"/>
  <c r="N420" i="6"/>
  <c r="U419" i="6"/>
  <c r="T419" i="6"/>
  <c r="S419" i="6"/>
  <c r="R419" i="6"/>
  <c r="Q419" i="6"/>
  <c r="P419" i="6"/>
  <c r="O419" i="6"/>
  <c r="N419" i="6"/>
  <c r="U418" i="6"/>
  <c r="T418" i="6"/>
  <c r="S418" i="6"/>
  <c r="R418" i="6"/>
  <c r="Q418" i="6"/>
  <c r="P418" i="6"/>
  <c r="O418" i="6"/>
  <c r="N418" i="6"/>
  <c r="U417" i="6"/>
  <c r="T417" i="6"/>
  <c r="S417" i="6"/>
  <c r="R417" i="6"/>
  <c r="Q417" i="6"/>
  <c r="P417" i="6"/>
  <c r="O417" i="6"/>
  <c r="N417" i="6"/>
  <c r="U416" i="6"/>
  <c r="T416" i="6"/>
  <c r="S416" i="6"/>
  <c r="R416" i="6"/>
  <c r="Q416" i="6"/>
  <c r="P416" i="6"/>
  <c r="O416" i="6"/>
  <c r="N416" i="6"/>
  <c r="U415" i="6"/>
  <c r="T415" i="6"/>
  <c r="S415" i="6"/>
  <c r="R415" i="6"/>
  <c r="Q415" i="6"/>
  <c r="P415" i="6"/>
  <c r="O415" i="6"/>
  <c r="N415" i="6"/>
  <c r="U414" i="6"/>
  <c r="T414" i="6"/>
  <c r="S414" i="6"/>
  <c r="R414" i="6"/>
  <c r="Q414" i="6"/>
  <c r="P414" i="6"/>
  <c r="O414" i="6"/>
  <c r="N414" i="6"/>
  <c r="U413" i="6"/>
  <c r="T413" i="6"/>
  <c r="S413" i="6"/>
  <c r="R413" i="6"/>
  <c r="Q413" i="6"/>
  <c r="P413" i="6"/>
  <c r="O413" i="6"/>
  <c r="N413" i="6"/>
  <c r="U412" i="6"/>
  <c r="T412" i="6"/>
  <c r="S412" i="6"/>
  <c r="R412" i="6"/>
  <c r="Q412" i="6"/>
  <c r="P412" i="6"/>
  <c r="O412" i="6"/>
  <c r="N412" i="6"/>
  <c r="U411" i="6"/>
  <c r="T411" i="6"/>
  <c r="S411" i="6"/>
  <c r="R411" i="6"/>
  <c r="Q411" i="6"/>
  <c r="P411" i="6"/>
  <c r="O411" i="6"/>
  <c r="N411" i="6"/>
  <c r="U410" i="6"/>
  <c r="T410" i="6"/>
  <c r="S410" i="6"/>
  <c r="R410" i="6"/>
  <c r="Q410" i="6"/>
  <c r="P410" i="6"/>
  <c r="O410" i="6"/>
  <c r="N410" i="6"/>
  <c r="U409" i="6"/>
  <c r="T409" i="6"/>
  <c r="S409" i="6"/>
  <c r="R409" i="6"/>
  <c r="Q409" i="6"/>
  <c r="P409" i="6"/>
  <c r="O409" i="6"/>
  <c r="N409" i="6"/>
  <c r="U408" i="6"/>
  <c r="T408" i="6"/>
  <c r="S408" i="6"/>
  <c r="R408" i="6"/>
  <c r="Q408" i="6"/>
  <c r="P408" i="6"/>
  <c r="O408" i="6"/>
  <c r="N408" i="6"/>
  <c r="U407" i="6"/>
  <c r="T407" i="6"/>
  <c r="S407" i="6"/>
  <c r="R407" i="6"/>
  <c r="Q407" i="6"/>
  <c r="P407" i="6"/>
  <c r="O407" i="6"/>
  <c r="N407" i="6"/>
  <c r="U406" i="6"/>
  <c r="T406" i="6"/>
  <c r="S406" i="6"/>
  <c r="R406" i="6"/>
  <c r="Q406" i="6"/>
  <c r="P406" i="6"/>
  <c r="O406" i="6"/>
  <c r="N406" i="6"/>
  <c r="U405" i="6"/>
  <c r="T405" i="6"/>
  <c r="S405" i="6"/>
  <c r="R405" i="6"/>
  <c r="Q405" i="6"/>
  <c r="P405" i="6"/>
  <c r="O405" i="6"/>
  <c r="N405" i="6"/>
  <c r="U404" i="6"/>
  <c r="T404" i="6"/>
  <c r="S404" i="6"/>
  <c r="R404" i="6"/>
  <c r="Q404" i="6"/>
  <c r="P404" i="6"/>
  <c r="O404" i="6"/>
  <c r="N404" i="6"/>
  <c r="U403" i="6"/>
  <c r="T403" i="6"/>
  <c r="S403" i="6"/>
  <c r="R403" i="6"/>
  <c r="Q403" i="6"/>
  <c r="P403" i="6"/>
  <c r="O403" i="6"/>
  <c r="N403" i="6"/>
  <c r="U402" i="6"/>
  <c r="T402" i="6"/>
  <c r="S402" i="6"/>
  <c r="R402" i="6"/>
  <c r="Q402" i="6"/>
  <c r="P402" i="6"/>
  <c r="O402" i="6"/>
  <c r="N402" i="6"/>
  <c r="U401" i="6"/>
  <c r="T401" i="6"/>
  <c r="S401" i="6"/>
  <c r="R401" i="6"/>
  <c r="Q401" i="6"/>
  <c r="P401" i="6"/>
  <c r="O401" i="6"/>
  <c r="N401" i="6"/>
  <c r="U400" i="6"/>
  <c r="T400" i="6"/>
  <c r="S400" i="6"/>
  <c r="R400" i="6"/>
  <c r="Q400" i="6"/>
  <c r="P400" i="6"/>
  <c r="O400" i="6"/>
  <c r="N400" i="6"/>
  <c r="U399" i="6"/>
  <c r="T399" i="6"/>
  <c r="S399" i="6"/>
  <c r="R399" i="6"/>
  <c r="Q399" i="6"/>
  <c r="P399" i="6"/>
  <c r="O399" i="6"/>
  <c r="N399" i="6"/>
  <c r="U398" i="6"/>
  <c r="T398" i="6"/>
  <c r="S398" i="6"/>
  <c r="R398" i="6"/>
  <c r="Q398" i="6"/>
  <c r="P398" i="6"/>
  <c r="O398" i="6"/>
  <c r="N398" i="6"/>
  <c r="U397" i="6"/>
  <c r="T397" i="6"/>
  <c r="S397" i="6"/>
  <c r="R397" i="6"/>
  <c r="Q397" i="6"/>
  <c r="P397" i="6"/>
  <c r="O397" i="6"/>
  <c r="N397" i="6"/>
  <c r="U396" i="6"/>
  <c r="T396" i="6"/>
  <c r="S396" i="6"/>
  <c r="R396" i="6"/>
  <c r="Q396" i="6"/>
  <c r="P396" i="6"/>
  <c r="O396" i="6"/>
  <c r="N396" i="6"/>
  <c r="U395" i="6"/>
  <c r="T395" i="6"/>
  <c r="S395" i="6"/>
  <c r="R395" i="6"/>
  <c r="Q395" i="6"/>
  <c r="P395" i="6"/>
  <c r="O395" i="6"/>
  <c r="N395" i="6"/>
  <c r="U394" i="6"/>
  <c r="T394" i="6"/>
  <c r="S394" i="6"/>
  <c r="R394" i="6"/>
  <c r="Q394" i="6"/>
  <c r="P394" i="6"/>
  <c r="O394" i="6"/>
  <c r="N394" i="6"/>
  <c r="U393" i="6"/>
  <c r="T393" i="6"/>
  <c r="S393" i="6"/>
  <c r="R393" i="6"/>
  <c r="Q393" i="6"/>
  <c r="P393" i="6"/>
  <c r="O393" i="6"/>
  <c r="N393" i="6"/>
  <c r="U392" i="6"/>
  <c r="T392" i="6"/>
  <c r="S392" i="6"/>
  <c r="R392" i="6"/>
  <c r="Q392" i="6"/>
  <c r="P392" i="6"/>
  <c r="O392" i="6"/>
  <c r="N392" i="6"/>
  <c r="U391" i="6"/>
  <c r="T391" i="6"/>
  <c r="S391" i="6"/>
  <c r="R391" i="6"/>
  <c r="Q391" i="6"/>
  <c r="P391" i="6"/>
  <c r="O391" i="6"/>
  <c r="N391" i="6"/>
  <c r="U390" i="6"/>
  <c r="T390" i="6"/>
  <c r="S390" i="6"/>
  <c r="R390" i="6"/>
  <c r="Q390" i="6"/>
  <c r="P390" i="6"/>
  <c r="O390" i="6"/>
  <c r="N390" i="6"/>
  <c r="U389" i="6"/>
  <c r="T389" i="6"/>
  <c r="S389" i="6"/>
  <c r="R389" i="6"/>
  <c r="Q389" i="6"/>
  <c r="P389" i="6"/>
  <c r="O389" i="6"/>
  <c r="N389" i="6"/>
  <c r="U388" i="6"/>
  <c r="T388" i="6"/>
  <c r="S388" i="6"/>
  <c r="R388" i="6"/>
  <c r="Q388" i="6"/>
  <c r="P388" i="6"/>
  <c r="O388" i="6"/>
  <c r="N388" i="6"/>
  <c r="U387" i="6"/>
  <c r="T387" i="6"/>
  <c r="S387" i="6"/>
  <c r="R387" i="6"/>
  <c r="Q387" i="6"/>
  <c r="P387" i="6"/>
  <c r="O387" i="6"/>
  <c r="N387" i="6"/>
  <c r="U386" i="6"/>
  <c r="T386" i="6"/>
  <c r="S386" i="6"/>
  <c r="R386" i="6"/>
  <c r="Q386" i="6"/>
  <c r="P386" i="6"/>
  <c r="O386" i="6"/>
  <c r="N386" i="6"/>
  <c r="U385" i="6"/>
  <c r="T385" i="6"/>
  <c r="S385" i="6"/>
  <c r="R385" i="6"/>
  <c r="Q385" i="6"/>
  <c r="P385" i="6"/>
  <c r="O385" i="6"/>
  <c r="N385" i="6"/>
  <c r="U384" i="6"/>
  <c r="T384" i="6"/>
  <c r="S384" i="6"/>
  <c r="R384" i="6"/>
  <c r="Q384" i="6"/>
  <c r="P384" i="6"/>
  <c r="O384" i="6"/>
  <c r="N384" i="6"/>
  <c r="U383" i="6"/>
  <c r="T383" i="6"/>
  <c r="S383" i="6"/>
  <c r="R383" i="6"/>
  <c r="Q383" i="6"/>
  <c r="P383" i="6"/>
  <c r="O383" i="6"/>
  <c r="N383" i="6"/>
  <c r="U382" i="6"/>
  <c r="T382" i="6"/>
  <c r="S382" i="6"/>
  <c r="R382" i="6"/>
  <c r="Q382" i="6"/>
  <c r="P382" i="6"/>
  <c r="O382" i="6"/>
  <c r="N382" i="6"/>
  <c r="U381" i="6"/>
  <c r="T381" i="6"/>
  <c r="S381" i="6"/>
  <c r="R381" i="6"/>
  <c r="Q381" i="6"/>
  <c r="P381" i="6"/>
  <c r="O381" i="6"/>
  <c r="N381" i="6"/>
  <c r="U380" i="6"/>
  <c r="T380" i="6"/>
  <c r="S380" i="6"/>
  <c r="R380" i="6"/>
  <c r="Q380" i="6"/>
  <c r="P380" i="6"/>
  <c r="O380" i="6"/>
  <c r="N380" i="6"/>
  <c r="U379" i="6"/>
  <c r="T379" i="6"/>
  <c r="S379" i="6"/>
  <c r="R379" i="6"/>
  <c r="Q379" i="6"/>
  <c r="P379" i="6"/>
  <c r="O379" i="6"/>
  <c r="N379" i="6"/>
  <c r="U378" i="6"/>
  <c r="T378" i="6"/>
  <c r="S378" i="6"/>
  <c r="R378" i="6"/>
  <c r="Q378" i="6"/>
  <c r="P378" i="6"/>
  <c r="O378" i="6"/>
  <c r="N378" i="6"/>
  <c r="U377" i="6"/>
  <c r="T377" i="6"/>
  <c r="S377" i="6"/>
  <c r="R377" i="6"/>
  <c r="Q377" i="6"/>
  <c r="P377" i="6"/>
  <c r="O377" i="6"/>
  <c r="N377" i="6"/>
  <c r="U376" i="6"/>
  <c r="T376" i="6"/>
  <c r="S376" i="6"/>
  <c r="R376" i="6"/>
  <c r="Q376" i="6"/>
  <c r="P376" i="6"/>
  <c r="O376" i="6"/>
  <c r="N376" i="6"/>
  <c r="U375" i="6"/>
  <c r="T375" i="6"/>
  <c r="S375" i="6"/>
  <c r="R375" i="6"/>
  <c r="Q375" i="6"/>
  <c r="P375" i="6"/>
  <c r="O375" i="6"/>
  <c r="N375" i="6"/>
  <c r="U374" i="6"/>
  <c r="T374" i="6"/>
  <c r="S374" i="6"/>
  <c r="R374" i="6"/>
  <c r="Q374" i="6"/>
  <c r="P374" i="6"/>
  <c r="O374" i="6"/>
  <c r="N374" i="6"/>
  <c r="U373" i="6"/>
  <c r="T373" i="6"/>
  <c r="S373" i="6"/>
  <c r="R373" i="6"/>
  <c r="Q373" i="6"/>
  <c r="P373" i="6"/>
  <c r="O373" i="6"/>
  <c r="N373" i="6"/>
  <c r="U372" i="6"/>
  <c r="T372" i="6"/>
  <c r="S372" i="6"/>
  <c r="R372" i="6"/>
  <c r="Q372" i="6"/>
  <c r="P372" i="6"/>
  <c r="O372" i="6"/>
  <c r="N372" i="6"/>
  <c r="U371" i="6"/>
  <c r="T371" i="6"/>
  <c r="S371" i="6"/>
  <c r="R371" i="6"/>
  <c r="Q371" i="6"/>
  <c r="P371" i="6"/>
  <c r="O371" i="6"/>
  <c r="N371" i="6"/>
  <c r="U370" i="6"/>
  <c r="T370" i="6"/>
  <c r="S370" i="6"/>
  <c r="R370" i="6"/>
  <c r="Q370" i="6"/>
  <c r="P370" i="6"/>
  <c r="O370" i="6"/>
  <c r="N370" i="6"/>
  <c r="U369" i="6"/>
  <c r="T369" i="6"/>
  <c r="S369" i="6"/>
  <c r="R369" i="6"/>
  <c r="Q369" i="6"/>
  <c r="P369" i="6"/>
  <c r="O369" i="6"/>
  <c r="N369" i="6"/>
  <c r="U368" i="6"/>
  <c r="T368" i="6"/>
  <c r="S368" i="6"/>
  <c r="R368" i="6"/>
  <c r="Q368" i="6"/>
  <c r="P368" i="6"/>
  <c r="O368" i="6"/>
  <c r="N368" i="6"/>
  <c r="U367" i="6"/>
  <c r="T367" i="6"/>
  <c r="S367" i="6"/>
  <c r="R367" i="6"/>
  <c r="Q367" i="6"/>
  <c r="P367" i="6"/>
  <c r="O367" i="6"/>
  <c r="N367" i="6"/>
  <c r="U366" i="6"/>
  <c r="T366" i="6"/>
  <c r="S366" i="6"/>
  <c r="R366" i="6"/>
  <c r="Q366" i="6"/>
  <c r="P366" i="6"/>
  <c r="O366" i="6"/>
  <c r="N366" i="6"/>
  <c r="U365" i="6"/>
  <c r="T365" i="6"/>
  <c r="S365" i="6"/>
  <c r="R365" i="6"/>
  <c r="Q365" i="6"/>
  <c r="P365" i="6"/>
  <c r="O365" i="6"/>
  <c r="N365" i="6"/>
  <c r="U364" i="6"/>
  <c r="T364" i="6"/>
  <c r="S364" i="6"/>
  <c r="R364" i="6"/>
  <c r="Q364" i="6"/>
  <c r="P364" i="6"/>
  <c r="O364" i="6"/>
  <c r="N364" i="6"/>
  <c r="U363" i="6"/>
  <c r="T363" i="6"/>
  <c r="S363" i="6"/>
  <c r="R363" i="6"/>
  <c r="Q363" i="6"/>
  <c r="P363" i="6"/>
  <c r="O363" i="6"/>
  <c r="N363" i="6"/>
  <c r="U362" i="6"/>
  <c r="T362" i="6"/>
  <c r="S362" i="6"/>
  <c r="R362" i="6"/>
  <c r="Q362" i="6"/>
  <c r="P362" i="6"/>
  <c r="O362" i="6"/>
  <c r="N362" i="6"/>
  <c r="U361" i="6"/>
  <c r="T361" i="6"/>
  <c r="S361" i="6"/>
  <c r="R361" i="6"/>
  <c r="Q361" i="6"/>
  <c r="P361" i="6"/>
  <c r="O361" i="6"/>
  <c r="N361" i="6"/>
  <c r="U360" i="6"/>
  <c r="T360" i="6"/>
  <c r="S360" i="6"/>
  <c r="R360" i="6"/>
  <c r="Q360" i="6"/>
  <c r="P360" i="6"/>
  <c r="O360" i="6"/>
  <c r="N360" i="6"/>
  <c r="U359" i="6"/>
  <c r="T359" i="6"/>
  <c r="S359" i="6"/>
  <c r="R359" i="6"/>
  <c r="Q359" i="6"/>
  <c r="P359" i="6"/>
  <c r="O359" i="6"/>
  <c r="N359" i="6"/>
  <c r="U358" i="6"/>
  <c r="T358" i="6"/>
  <c r="S358" i="6"/>
  <c r="R358" i="6"/>
  <c r="Q358" i="6"/>
  <c r="P358" i="6"/>
  <c r="O358" i="6"/>
  <c r="N358" i="6"/>
  <c r="U357" i="6"/>
  <c r="T357" i="6"/>
  <c r="S357" i="6"/>
  <c r="R357" i="6"/>
  <c r="Q357" i="6"/>
  <c r="P357" i="6"/>
  <c r="O357" i="6"/>
  <c r="N357" i="6"/>
  <c r="U356" i="6"/>
  <c r="T356" i="6"/>
  <c r="S356" i="6"/>
  <c r="R356" i="6"/>
  <c r="Q356" i="6"/>
  <c r="P356" i="6"/>
  <c r="O356" i="6"/>
  <c r="N356" i="6"/>
  <c r="U355" i="6"/>
  <c r="T355" i="6"/>
  <c r="S355" i="6"/>
  <c r="R355" i="6"/>
  <c r="Q355" i="6"/>
  <c r="P355" i="6"/>
  <c r="O355" i="6"/>
  <c r="N355" i="6"/>
  <c r="U354" i="6"/>
  <c r="T354" i="6"/>
  <c r="S354" i="6"/>
  <c r="R354" i="6"/>
  <c r="Q354" i="6"/>
  <c r="P354" i="6"/>
  <c r="O354" i="6"/>
  <c r="N354" i="6"/>
  <c r="U353" i="6"/>
  <c r="T353" i="6"/>
  <c r="S353" i="6"/>
  <c r="R353" i="6"/>
  <c r="Q353" i="6"/>
  <c r="P353" i="6"/>
  <c r="O353" i="6"/>
  <c r="N353" i="6"/>
  <c r="U352" i="6"/>
  <c r="T352" i="6"/>
  <c r="S352" i="6"/>
  <c r="R352" i="6"/>
  <c r="Q352" i="6"/>
  <c r="P352" i="6"/>
  <c r="O352" i="6"/>
  <c r="N352" i="6"/>
  <c r="U351" i="6"/>
  <c r="T351" i="6"/>
  <c r="S351" i="6"/>
  <c r="R351" i="6"/>
  <c r="Q351" i="6"/>
  <c r="P351" i="6"/>
  <c r="O351" i="6"/>
  <c r="N351" i="6"/>
  <c r="U350" i="6"/>
  <c r="T350" i="6"/>
  <c r="S350" i="6"/>
  <c r="R350" i="6"/>
  <c r="Q350" i="6"/>
  <c r="P350" i="6"/>
  <c r="O350" i="6"/>
  <c r="N350" i="6"/>
  <c r="U349" i="6"/>
  <c r="T349" i="6"/>
  <c r="S349" i="6"/>
  <c r="R349" i="6"/>
  <c r="Q349" i="6"/>
  <c r="P349" i="6"/>
  <c r="O349" i="6"/>
  <c r="N349" i="6"/>
  <c r="U348" i="6"/>
  <c r="T348" i="6"/>
  <c r="S348" i="6"/>
  <c r="R348" i="6"/>
  <c r="Q348" i="6"/>
  <c r="P348" i="6"/>
  <c r="O348" i="6"/>
  <c r="N348" i="6"/>
  <c r="U347" i="6"/>
  <c r="T347" i="6"/>
  <c r="S347" i="6"/>
  <c r="R347" i="6"/>
  <c r="Q347" i="6"/>
  <c r="P347" i="6"/>
  <c r="O347" i="6"/>
  <c r="N347" i="6"/>
  <c r="U346" i="6"/>
  <c r="T346" i="6"/>
  <c r="S346" i="6"/>
  <c r="R346" i="6"/>
  <c r="Q346" i="6"/>
  <c r="P346" i="6"/>
  <c r="O346" i="6"/>
  <c r="N346" i="6"/>
  <c r="U345" i="6"/>
  <c r="T345" i="6"/>
  <c r="S345" i="6"/>
  <c r="R345" i="6"/>
  <c r="Q345" i="6"/>
  <c r="P345" i="6"/>
  <c r="O345" i="6"/>
  <c r="N345" i="6"/>
  <c r="U344" i="6"/>
  <c r="T344" i="6"/>
  <c r="S344" i="6"/>
  <c r="R344" i="6"/>
  <c r="Q344" i="6"/>
  <c r="P344" i="6"/>
  <c r="O344" i="6"/>
  <c r="N344" i="6"/>
  <c r="U343" i="6"/>
  <c r="T343" i="6"/>
  <c r="S343" i="6"/>
  <c r="R343" i="6"/>
  <c r="Q343" i="6"/>
  <c r="P343" i="6"/>
  <c r="O343" i="6"/>
  <c r="N343" i="6"/>
  <c r="U342" i="6"/>
  <c r="T342" i="6"/>
  <c r="S342" i="6"/>
  <c r="R342" i="6"/>
  <c r="Q342" i="6"/>
  <c r="P342" i="6"/>
  <c r="O342" i="6"/>
  <c r="N342" i="6"/>
  <c r="U341" i="6"/>
  <c r="T341" i="6"/>
  <c r="S341" i="6"/>
  <c r="R341" i="6"/>
  <c r="Q341" i="6"/>
  <c r="P341" i="6"/>
  <c r="O341" i="6"/>
  <c r="N341" i="6"/>
  <c r="U340" i="6"/>
  <c r="T340" i="6"/>
  <c r="S340" i="6"/>
  <c r="R340" i="6"/>
  <c r="Q340" i="6"/>
  <c r="P340" i="6"/>
  <c r="O340" i="6"/>
  <c r="N340" i="6"/>
  <c r="U339" i="6"/>
  <c r="T339" i="6"/>
  <c r="S339" i="6"/>
  <c r="R339" i="6"/>
  <c r="Q339" i="6"/>
  <c r="P339" i="6"/>
  <c r="O339" i="6"/>
  <c r="N339" i="6"/>
  <c r="U338" i="6"/>
  <c r="T338" i="6"/>
  <c r="S338" i="6"/>
  <c r="R338" i="6"/>
  <c r="Q338" i="6"/>
  <c r="P338" i="6"/>
  <c r="O338" i="6"/>
  <c r="N338" i="6"/>
  <c r="U337" i="6"/>
  <c r="T337" i="6"/>
  <c r="S337" i="6"/>
  <c r="R337" i="6"/>
  <c r="Q337" i="6"/>
  <c r="P337" i="6"/>
  <c r="O337" i="6"/>
  <c r="N337" i="6"/>
  <c r="U336" i="6"/>
  <c r="T336" i="6"/>
  <c r="S336" i="6"/>
  <c r="R336" i="6"/>
  <c r="Q336" i="6"/>
  <c r="P336" i="6"/>
  <c r="O336" i="6"/>
  <c r="N336" i="6"/>
  <c r="U335" i="6"/>
  <c r="T335" i="6"/>
  <c r="S335" i="6"/>
  <c r="R335" i="6"/>
  <c r="Q335" i="6"/>
  <c r="P335" i="6"/>
  <c r="O335" i="6"/>
  <c r="N335" i="6"/>
  <c r="U334" i="6"/>
  <c r="T334" i="6"/>
  <c r="S334" i="6"/>
  <c r="R334" i="6"/>
  <c r="Q334" i="6"/>
  <c r="P334" i="6"/>
  <c r="O334" i="6"/>
  <c r="N334" i="6"/>
  <c r="U333" i="6"/>
  <c r="T333" i="6"/>
  <c r="S333" i="6"/>
  <c r="R333" i="6"/>
  <c r="Q333" i="6"/>
  <c r="P333" i="6"/>
  <c r="O333" i="6"/>
  <c r="N333" i="6"/>
  <c r="U332" i="6"/>
  <c r="T332" i="6"/>
  <c r="S332" i="6"/>
  <c r="R332" i="6"/>
  <c r="Q332" i="6"/>
  <c r="P332" i="6"/>
  <c r="O332" i="6"/>
  <c r="N332" i="6"/>
  <c r="U331" i="6"/>
  <c r="T331" i="6"/>
  <c r="S331" i="6"/>
  <c r="R331" i="6"/>
  <c r="Q331" i="6"/>
  <c r="P331" i="6"/>
  <c r="O331" i="6"/>
  <c r="N331" i="6"/>
  <c r="U330" i="6"/>
  <c r="T330" i="6"/>
  <c r="S330" i="6"/>
  <c r="R330" i="6"/>
  <c r="Q330" i="6"/>
  <c r="P330" i="6"/>
  <c r="O330" i="6"/>
  <c r="N330" i="6"/>
  <c r="U329" i="6"/>
  <c r="T329" i="6"/>
  <c r="S329" i="6"/>
  <c r="R329" i="6"/>
  <c r="Q329" i="6"/>
  <c r="P329" i="6"/>
  <c r="O329" i="6"/>
  <c r="N329" i="6"/>
  <c r="U328" i="6"/>
  <c r="T328" i="6"/>
  <c r="S328" i="6"/>
  <c r="R328" i="6"/>
  <c r="Q328" i="6"/>
  <c r="P328" i="6"/>
  <c r="O328" i="6"/>
  <c r="N328" i="6"/>
  <c r="U327" i="6"/>
  <c r="T327" i="6"/>
  <c r="S327" i="6"/>
  <c r="R327" i="6"/>
  <c r="Q327" i="6"/>
  <c r="P327" i="6"/>
  <c r="O327" i="6"/>
  <c r="N327" i="6"/>
  <c r="U326" i="6"/>
  <c r="T326" i="6"/>
  <c r="S326" i="6"/>
  <c r="R326" i="6"/>
  <c r="Q326" i="6"/>
  <c r="P326" i="6"/>
  <c r="O326" i="6"/>
  <c r="N326" i="6"/>
  <c r="U325" i="6"/>
  <c r="T325" i="6"/>
  <c r="S325" i="6"/>
  <c r="R325" i="6"/>
  <c r="Q325" i="6"/>
  <c r="P325" i="6"/>
  <c r="O325" i="6"/>
  <c r="N325" i="6"/>
  <c r="U324" i="6"/>
  <c r="T324" i="6"/>
  <c r="S324" i="6"/>
  <c r="R324" i="6"/>
  <c r="Q324" i="6"/>
  <c r="P324" i="6"/>
  <c r="O324" i="6"/>
  <c r="N324" i="6"/>
  <c r="U323" i="6"/>
  <c r="T323" i="6"/>
  <c r="S323" i="6"/>
  <c r="R323" i="6"/>
  <c r="Q323" i="6"/>
  <c r="P323" i="6"/>
  <c r="O323" i="6"/>
  <c r="N323" i="6"/>
  <c r="U322" i="6"/>
  <c r="T322" i="6"/>
  <c r="S322" i="6"/>
  <c r="R322" i="6"/>
  <c r="Q322" i="6"/>
  <c r="P322" i="6"/>
  <c r="O322" i="6"/>
  <c r="N322" i="6"/>
  <c r="U321" i="6"/>
  <c r="T321" i="6"/>
  <c r="S321" i="6"/>
  <c r="R321" i="6"/>
  <c r="Q321" i="6"/>
  <c r="P321" i="6"/>
  <c r="O321" i="6"/>
  <c r="N321" i="6"/>
  <c r="U320" i="6"/>
  <c r="T320" i="6"/>
  <c r="S320" i="6"/>
  <c r="R320" i="6"/>
  <c r="Q320" i="6"/>
  <c r="P320" i="6"/>
  <c r="O320" i="6"/>
  <c r="N320" i="6"/>
  <c r="U319" i="6"/>
  <c r="T319" i="6"/>
  <c r="S319" i="6"/>
  <c r="R319" i="6"/>
  <c r="Q319" i="6"/>
  <c r="P319" i="6"/>
  <c r="O319" i="6"/>
  <c r="N319" i="6"/>
  <c r="U318" i="6"/>
  <c r="T318" i="6"/>
  <c r="S318" i="6"/>
  <c r="R318" i="6"/>
  <c r="Q318" i="6"/>
  <c r="P318" i="6"/>
  <c r="O318" i="6"/>
  <c r="N318" i="6"/>
  <c r="U317" i="6"/>
  <c r="T317" i="6"/>
  <c r="S317" i="6"/>
  <c r="R317" i="6"/>
  <c r="Q317" i="6"/>
  <c r="P317" i="6"/>
  <c r="O317" i="6"/>
  <c r="N317" i="6"/>
  <c r="U316" i="6"/>
  <c r="T316" i="6"/>
  <c r="S316" i="6"/>
  <c r="R316" i="6"/>
  <c r="Q316" i="6"/>
  <c r="P316" i="6"/>
  <c r="O316" i="6"/>
  <c r="N316" i="6"/>
  <c r="U315" i="6"/>
  <c r="T315" i="6"/>
  <c r="S315" i="6"/>
  <c r="R315" i="6"/>
  <c r="Q315" i="6"/>
  <c r="P315" i="6"/>
  <c r="O315" i="6"/>
  <c r="N315" i="6"/>
  <c r="U314" i="6"/>
  <c r="T314" i="6"/>
  <c r="S314" i="6"/>
  <c r="R314" i="6"/>
  <c r="Q314" i="6"/>
  <c r="P314" i="6"/>
  <c r="O314" i="6"/>
  <c r="N314" i="6"/>
  <c r="U313" i="6"/>
  <c r="T313" i="6"/>
  <c r="S313" i="6"/>
  <c r="R313" i="6"/>
  <c r="Q313" i="6"/>
  <c r="P313" i="6"/>
  <c r="O313" i="6"/>
  <c r="N313" i="6"/>
  <c r="U312" i="6"/>
  <c r="T312" i="6"/>
  <c r="S312" i="6"/>
  <c r="R312" i="6"/>
  <c r="Q312" i="6"/>
  <c r="P312" i="6"/>
  <c r="O312" i="6"/>
  <c r="N312" i="6"/>
  <c r="U311" i="6"/>
  <c r="T311" i="6"/>
  <c r="S311" i="6"/>
  <c r="R311" i="6"/>
  <c r="Q311" i="6"/>
  <c r="P311" i="6"/>
  <c r="O311" i="6"/>
  <c r="N311" i="6"/>
  <c r="U310" i="6"/>
  <c r="T310" i="6"/>
  <c r="S310" i="6"/>
  <c r="R310" i="6"/>
  <c r="Q310" i="6"/>
  <c r="P310" i="6"/>
  <c r="O310" i="6"/>
  <c r="N310" i="6"/>
  <c r="U309" i="6"/>
  <c r="T309" i="6"/>
  <c r="S309" i="6"/>
  <c r="R309" i="6"/>
  <c r="Q309" i="6"/>
  <c r="P309" i="6"/>
  <c r="O309" i="6"/>
  <c r="N309" i="6"/>
  <c r="U308" i="6"/>
  <c r="T308" i="6"/>
  <c r="S308" i="6"/>
  <c r="R308" i="6"/>
  <c r="Q308" i="6"/>
  <c r="P308" i="6"/>
  <c r="O308" i="6"/>
  <c r="N308" i="6"/>
  <c r="U307" i="6"/>
  <c r="T307" i="6"/>
  <c r="S307" i="6"/>
  <c r="R307" i="6"/>
  <c r="Q307" i="6"/>
  <c r="P307" i="6"/>
  <c r="O307" i="6"/>
  <c r="N307" i="6"/>
  <c r="U306" i="6"/>
  <c r="T306" i="6"/>
  <c r="S306" i="6"/>
  <c r="R306" i="6"/>
  <c r="Q306" i="6"/>
  <c r="P306" i="6"/>
  <c r="O306" i="6"/>
  <c r="N306" i="6"/>
  <c r="U305" i="6"/>
  <c r="T305" i="6"/>
  <c r="S305" i="6"/>
  <c r="R305" i="6"/>
  <c r="Q305" i="6"/>
  <c r="P305" i="6"/>
  <c r="O305" i="6"/>
  <c r="N305" i="6"/>
  <c r="U304" i="6"/>
  <c r="T304" i="6"/>
  <c r="S304" i="6"/>
  <c r="R304" i="6"/>
  <c r="Q304" i="6"/>
  <c r="P304" i="6"/>
  <c r="O304" i="6"/>
  <c r="N304" i="6"/>
  <c r="U303" i="6"/>
  <c r="T303" i="6"/>
  <c r="S303" i="6"/>
  <c r="R303" i="6"/>
  <c r="Q303" i="6"/>
  <c r="P303" i="6"/>
  <c r="O303" i="6"/>
  <c r="N303" i="6"/>
  <c r="U302" i="6"/>
  <c r="T302" i="6"/>
  <c r="S302" i="6"/>
  <c r="R302" i="6"/>
  <c r="Q302" i="6"/>
  <c r="P302" i="6"/>
  <c r="O302" i="6"/>
  <c r="N302" i="6"/>
  <c r="U301" i="6"/>
  <c r="T301" i="6"/>
  <c r="S301" i="6"/>
  <c r="R301" i="6"/>
  <c r="Q301" i="6"/>
  <c r="P301" i="6"/>
  <c r="O301" i="6"/>
  <c r="N301" i="6"/>
  <c r="U300" i="6"/>
  <c r="T300" i="6"/>
  <c r="S300" i="6"/>
  <c r="R300" i="6"/>
  <c r="Q300" i="6"/>
  <c r="P300" i="6"/>
  <c r="O300" i="6"/>
  <c r="N300" i="6"/>
  <c r="U299" i="6"/>
  <c r="T299" i="6"/>
  <c r="S299" i="6"/>
  <c r="R299" i="6"/>
  <c r="Q299" i="6"/>
  <c r="P299" i="6"/>
  <c r="O299" i="6"/>
  <c r="N299" i="6"/>
  <c r="U298" i="6"/>
  <c r="T298" i="6"/>
  <c r="S298" i="6"/>
  <c r="R298" i="6"/>
  <c r="Q298" i="6"/>
  <c r="P298" i="6"/>
  <c r="O298" i="6"/>
  <c r="N298" i="6"/>
  <c r="U297" i="6"/>
  <c r="T297" i="6"/>
  <c r="S297" i="6"/>
  <c r="R297" i="6"/>
  <c r="Q297" i="6"/>
  <c r="P297" i="6"/>
  <c r="O297" i="6"/>
  <c r="N297" i="6"/>
  <c r="U296" i="6"/>
  <c r="T296" i="6"/>
  <c r="S296" i="6"/>
  <c r="R296" i="6"/>
  <c r="Q296" i="6"/>
  <c r="P296" i="6"/>
  <c r="O296" i="6"/>
  <c r="N296" i="6"/>
  <c r="U295" i="6"/>
  <c r="T295" i="6"/>
  <c r="S295" i="6"/>
  <c r="R295" i="6"/>
  <c r="Q295" i="6"/>
  <c r="P295" i="6"/>
  <c r="O295" i="6"/>
  <c r="N295" i="6"/>
  <c r="U294" i="6"/>
  <c r="T294" i="6"/>
  <c r="S294" i="6"/>
  <c r="R294" i="6"/>
  <c r="Q294" i="6"/>
  <c r="P294" i="6"/>
  <c r="O294" i="6"/>
  <c r="N294" i="6"/>
  <c r="U293" i="6"/>
  <c r="T293" i="6"/>
  <c r="S293" i="6"/>
  <c r="R293" i="6"/>
  <c r="Q293" i="6"/>
  <c r="P293" i="6"/>
  <c r="O293" i="6"/>
  <c r="N293" i="6"/>
  <c r="U292" i="6"/>
  <c r="T292" i="6"/>
  <c r="S292" i="6"/>
  <c r="R292" i="6"/>
  <c r="Q292" i="6"/>
  <c r="P292" i="6"/>
  <c r="O292" i="6"/>
  <c r="N292" i="6"/>
  <c r="U291" i="6"/>
  <c r="T291" i="6"/>
  <c r="S291" i="6"/>
  <c r="R291" i="6"/>
  <c r="Q291" i="6"/>
  <c r="P291" i="6"/>
  <c r="O291" i="6"/>
  <c r="N291" i="6"/>
  <c r="U290" i="6"/>
  <c r="T290" i="6"/>
  <c r="S290" i="6"/>
  <c r="R290" i="6"/>
  <c r="Q290" i="6"/>
  <c r="P290" i="6"/>
  <c r="O290" i="6"/>
  <c r="N290" i="6"/>
  <c r="U289" i="6"/>
  <c r="T289" i="6"/>
  <c r="S289" i="6"/>
  <c r="R289" i="6"/>
  <c r="Q289" i="6"/>
  <c r="P289" i="6"/>
  <c r="O289" i="6"/>
  <c r="N289" i="6"/>
  <c r="U288" i="6"/>
  <c r="T288" i="6"/>
  <c r="S288" i="6"/>
  <c r="R288" i="6"/>
  <c r="Q288" i="6"/>
  <c r="P288" i="6"/>
  <c r="O288" i="6"/>
  <c r="N288" i="6"/>
  <c r="U287" i="6"/>
  <c r="T287" i="6"/>
  <c r="S287" i="6"/>
  <c r="R287" i="6"/>
  <c r="Q287" i="6"/>
  <c r="P287" i="6"/>
  <c r="O287" i="6"/>
  <c r="N287" i="6"/>
  <c r="U286" i="6"/>
  <c r="T286" i="6"/>
  <c r="S286" i="6"/>
  <c r="R286" i="6"/>
  <c r="Q286" i="6"/>
  <c r="P286" i="6"/>
  <c r="O286" i="6"/>
  <c r="N286" i="6"/>
  <c r="U285" i="6"/>
  <c r="T285" i="6"/>
  <c r="S285" i="6"/>
  <c r="R285" i="6"/>
  <c r="Q285" i="6"/>
  <c r="P285" i="6"/>
  <c r="O285" i="6"/>
  <c r="N285" i="6"/>
  <c r="U284" i="6"/>
  <c r="T284" i="6"/>
  <c r="S284" i="6"/>
  <c r="R284" i="6"/>
  <c r="Q284" i="6"/>
  <c r="P284" i="6"/>
  <c r="O284" i="6"/>
  <c r="N284" i="6"/>
  <c r="U283" i="6"/>
  <c r="T283" i="6"/>
  <c r="S283" i="6"/>
  <c r="R283" i="6"/>
  <c r="Q283" i="6"/>
  <c r="P283" i="6"/>
  <c r="O283" i="6"/>
  <c r="N283" i="6"/>
  <c r="U282" i="6"/>
  <c r="T282" i="6"/>
  <c r="S282" i="6"/>
  <c r="R282" i="6"/>
  <c r="Q282" i="6"/>
  <c r="P282" i="6"/>
  <c r="O282" i="6"/>
  <c r="N282" i="6"/>
  <c r="U281" i="6"/>
  <c r="T281" i="6"/>
  <c r="S281" i="6"/>
  <c r="R281" i="6"/>
  <c r="Q281" i="6"/>
  <c r="P281" i="6"/>
  <c r="O281" i="6"/>
  <c r="N281" i="6"/>
  <c r="U280" i="6"/>
  <c r="T280" i="6"/>
  <c r="S280" i="6"/>
  <c r="R280" i="6"/>
  <c r="Q280" i="6"/>
  <c r="P280" i="6"/>
  <c r="O280" i="6"/>
  <c r="N280" i="6"/>
  <c r="U279" i="6"/>
  <c r="T279" i="6"/>
  <c r="S279" i="6"/>
  <c r="R279" i="6"/>
  <c r="Q279" i="6"/>
  <c r="P279" i="6"/>
  <c r="O279" i="6"/>
  <c r="N279" i="6"/>
  <c r="U278" i="6"/>
  <c r="T278" i="6"/>
  <c r="S278" i="6"/>
  <c r="R278" i="6"/>
  <c r="Q278" i="6"/>
  <c r="P278" i="6"/>
  <c r="O278" i="6"/>
  <c r="N278" i="6"/>
  <c r="U277" i="6"/>
  <c r="T277" i="6"/>
  <c r="S277" i="6"/>
  <c r="R277" i="6"/>
  <c r="Q277" i="6"/>
  <c r="P277" i="6"/>
  <c r="O277" i="6"/>
  <c r="N277" i="6"/>
  <c r="U276" i="6"/>
  <c r="T276" i="6"/>
  <c r="S276" i="6"/>
  <c r="R276" i="6"/>
  <c r="Q276" i="6"/>
  <c r="P276" i="6"/>
  <c r="O276" i="6"/>
  <c r="N276" i="6"/>
  <c r="U275" i="6"/>
  <c r="T275" i="6"/>
  <c r="S275" i="6"/>
  <c r="R275" i="6"/>
  <c r="Q275" i="6"/>
  <c r="P275" i="6"/>
  <c r="O275" i="6"/>
  <c r="N275" i="6"/>
  <c r="U274" i="6"/>
  <c r="T274" i="6"/>
  <c r="S274" i="6"/>
  <c r="R274" i="6"/>
  <c r="Q274" i="6"/>
  <c r="P274" i="6"/>
  <c r="O274" i="6"/>
  <c r="N274" i="6"/>
  <c r="U273" i="6"/>
  <c r="T273" i="6"/>
  <c r="S273" i="6"/>
  <c r="R273" i="6"/>
  <c r="Q273" i="6"/>
  <c r="P273" i="6"/>
  <c r="O273" i="6"/>
  <c r="N273" i="6"/>
  <c r="U272" i="6"/>
  <c r="T272" i="6"/>
  <c r="S272" i="6"/>
  <c r="R272" i="6"/>
  <c r="Q272" i="6"/>
  <c r="P272" i="6"/>
  <c r="O272" i="6"/>
  <c r="N272" i="6"/>
  <c r="U271" i="6"/>
  <c r="T271" i="6"/>
  <c r="S271" i="6"/>
  <c r="R271" i="6"/>
  <c r="Q271" i="6"/>
  <c r="P271" i="6"/>
  <c r="O271" i="6"/>
  <c r="N271" i="6"/>
  <c r="U270" i="6"/>
  <c r="T270" i="6"/>
  <c r="S270" i="6"/>
  <c r="R270" i="6"/>
  <c r="Q270" i="6"/>
  <c r="P270" i="6"/>
  <c r="O270" i="6"/>
  <c r="N270" i="6"/>
  <c r="U269" i="6"/>
  <c r="T269" i="6"/>
  <c r="S269" i="6"/>
  <c r="R269" i="6"/>
  <c r="Q269" i="6"/>
  <c r="P269" i="6"/>
  <c r="O269" i="6"/>
  <c r="N269" i="6"/>
  <c r="U268" i="6"/>
  <c r="T268" i="6"/>
  <c r="S268" i="6"/>
  <c r="R268" i="6"/>
  <c r="Q268" i="6"/>
  <c r="P268" i="6"/>
  <c r="O268" i="6"/>
  <c r="N268" i="6"/>
  <c r="U267" i="6"/>
  <c r="T267" i="6"/>
  <c r="S267" i="6"/>
  <c r="R267" i="6"/>
  <c r="Q267" i="6"/>
  <c r="P267" i="6"/>
  <c r="O267" i="6"/>
  <c r="N267" i="6"/>
  <c r="U266" i="6"/>
  <c r="T266" i="6"/>
  <c r="S266" i="6"/>
  <c r="R266" i="6"/>
  <c r="Q266" i="6"/>
  <c r="P266" i="6"/>
  <c r="O266" i="6"/>
  <c r="N266" i="6"/>
  <c r="U265" i="6"/>
  <c r="T265" i="6"/>
  <c r="S265" i="6"/>
  <c r="R265" i="6"/>
  <c r="Q265" i="6"/>
  <c r="P265" i="6"/>
  <c r="O265" i="6"/>
  <c r="N265" i="6"/>
  <c r="U264" i="6"/>
  <c r="T264" i="6"/>
  <c r="S264" i="6"/>
  <c r="R264" i="6"/>
  <c r="Q264" i="6"/>
  <c r="P264" i="6"/>
  <c r="O264" i="6"/>
  <c r="N264" i="6"/>
  <c r="U263" i="6"/>
  <c r="T263" i="6"/>
  <c r="S263" i="6"/>
  <c r="R263" i="6"/>
  <c r="Q263" i="6"/>
  <c r="P263" i="6"/>
  <c r="O263" i="6"/>
  <c r="N263" i="6"/>
  <c r="U262" i="6"/>
  <c r="T262" i="6"/>
  <c r="S262" i="6"/>
  <c r="R262" i="6"/>
  <c r="Q262" i="6"/>
  <c r="P262" i="6"/>
  <c r="O262" i="6"/>
  <c r="N262" i="6"/>
  <c r="U261" i="6"/>
  <c r="T261" i="6"/>
  <c r="S261" i="6"/>
  <c r="R261" i="6"/>
  <c r="Q261" i="6"/>
  <c r="P261" i="6"/>
  <c r="O261" i="6"/>
  <c r="N261" i="6"/>
  <c r="U260" i="6"/>
  <c r="T260" i="6"/>
  <c r="S260" i="6"/>
  <c r="R260" i="6"/>
  <c r="Q260" i="6"/>
  <c r="P260" i="6"/>
  <c r="O260" i="6"/>
  <c r="N260" i="6"/>
  <c r="U259" i="6"/>
  <c r="T259" i="6"/>
  <c r="S259" i="6"/>
  <c r="R259" i="6"/>
  <c r="Q259" i="6"/>
  <c r="P259" i="6"/>
  <c r="O259" i="6"/>
  <c r="N259" i="6"/>
  <c r="U258" i="6"/>
  <c r="T258" i="6"/>
  <c r="S258" i="6"/>
  <c r="R258" i="6"/>
  <c r="Q258" i="6"/>
  <c r="P258" i="6"/>
  <c r="O258" i="6"/>
  <c r="N258" i="6"/>
  <c r="U257" i="6"/>
  <c r="T257" i="6"/>
  <c r="S257" i="6"/>
  <c r="R257" i="6"/>
  <c r="Q257" i="6"/>
  <c r="P257" i="6"/>
  <c r="O257" i="6"/>
  <c r="N257" i="6"/>
  <c r="U256" i="6"/>
  <c r="T256" i="6"/>
  <c r="S256" i="6"/>
  <c r="R256" i="6"/>
  <c r="Q256" i="6"/>
  <c r="P256" i="6"/>
  <c r="O256" i="6"/>
  <c r="N256" i="6"/>
  <c r="U255" i="6"/>
  <c r="T255" i="6"/>
  <c r="S255" i="6"/>
  <c r="R255" i="6"/>
  <c r="Q255" i="6"/>
  <c r="P255" i="6"/>
  <c r="O255" i="6"/>
  <c r="N255" i="6"/>
  <c r="U254" i="6"/>
  <c r="T254" i="6"/>
  <c r="S254" i="6"/>
  <c r="R254" i="6"/>
  <c r="Q254" i="6"/>
  <c r="P254" i="6"/>
  <c r="O254" i="6"/>
  <c r="N254" i="6"/>
  <c r="U253" i="6"/>
  <c r="T253" i="6"/>
  <c r="S253" i="6"/>
  <c r="R253" i="6"/>
  <c r="Q253" i="6"/>
  <c r="P253" i="6"/>
  <c r="O253" i="6"/>
  <c r="N253" i="6"/>
  <c r="U252" i="6"/>
  <c r="T252" i="6"/>
  <c r="S252" i="6"/>
  <c r="R252" i="6"/>
  <c r="Q252" i="6"/>
  <c r="P252" i="6"/>
  <c r="O252" i="6"/>
  <c r="N252" i="6"/>
  <c r="U251" i="6"/>
  <c r="T251" i="6"/>
  <c r="S251" i="6"/>
  <c r="R251" i="6"/>
  <c r="Q251" i="6"/>
  <c r="P251" i="6"/>
  <c r="O251" i="6"/>
  <c r="N251" i="6"/>
  <c r="U250" i="6"/>
  <c r="T250" i="6"/>
  <c r="S250" i="6"/>
  <c r="R250" i="6"/>
  <c r="Q250" i="6"/>
  <c r="P250" i="6"/>
  <c r="O250" i="6"/>
  <c r="N250" i="6"/>
  <c r="U249" i="6"/>
  <c r="T249" i="6"/>
  <c r="S249" i="6"/>
  <c r="R249" i="6"/>
  <c r="Q249" i="6"/>
  <c r="P249" i="6"/>
  <c r="O249" i="6"/>
  <c r="N249" i="6"/>
  <c r="U248" i="6"/>
  <c r="T248" i="6"/>
  <c r="S248" i="6"/>
  <c r="R248" i="6"/>
  <c r="Q248" i="6"/>
  <c r="P248" i="6"/>
  <c r="O248" i="6"/>
  <c r="N248" i="6"/>
  <c r="U247" i="6"/>
  <c r="T247" i="6"/>
  <c r="S247" i="6"/>
  <c r="R247" i="6"/>
  <c r="Q247" i="6"/>
  <c r="P247" i="6"/>
  <c r="O247" i="6"/>
  <c r="N247" i="6"/>
  <c r="U246" i="6"/>
  <c r="T246" i="6"/>
  <c r="S246" i="6"/>
  <c r="R246" i="6"/>
  <c r="Q246" i="6"/>
  <c r="P246" i="6"/>
  <c r="O246" i="6"/>
  <c r="N246" i="6"/>
  <c r="U245" i="6"/>
  <c r="T245" i="6"/>
  <c r="S245" i="6"/>
  <c r="R245" i="6"/>
  <c r="Q245" i="6"/>
  <c r="P245" i="6"/>
  <c r="O245" i="6"/>
  <c r="N245" i="6"/>
  <c r="U244" i="6"/>
  <c r="T244" i="6"/>
  <c r="S244" i="6"/>
  <c r="R244" i="6"/>
  <c r="Q244" i="6"/>
  <c r="P244" i="6"/>
  <c r="O244" i="6"/>
  <c r="N244" i="6"/>
  <c r="U243" i="6"/>
  <c r="T243" i="6"/>
  <c r="S243" i="6"/>
  <c r="R243" i="6"/>
  <c r="Q243" i="6"/>
  <c r="P243" i="6"/>
  <c r="O243" i="6"/>
  <c r="N243" i="6"/>
  <c r="U242" i="6"/>
  <c r="T242" i="6"/>
  <c r="S242" i="6"/>
  <c r="R242" i="6"/>
  <c r="Q242" i="6"/>
  <c r="P242" i="6"/>
  <c r="O242" i="6"/>
  <c r="N242" i="6"/>
  <c r="U241" i="6"/>
  <c r="T241" i="6"/>
  <c r="S241" i="6"/>
  <c r="R241" i="6"/>
  <c r="Q241" i="6"/>
  <c r="P241" i="6"/>
  <c r="O241" i="6"/>
  <c r="N241" i="6"/>
  <c r="U240" i="6"/>
  <c r="T240" i="6"/>
  <c r="S240" i="6"/>
  <c r="R240" i="6"/>
  <c r="Q240" i="6"/>
  <c r="P240" i="6"/>
  <c r="O240" i="6"/>
  <c r="N240" i="6"/>
  <c r="U239" i="6"/>
  <c r="T239" i="6"/>
  <c r="S239" i="6"/>
  <c r="R239" i="6"/>
  <c r="Q239" i="6"/>
  <c r="P239" i="6"/>
  <c r="O239" i="6"/>
  <c r="N239" i="6"/>
  <c r="U238" i="6"/>
  <c r="T238" i="6"/>
  <c r="S238" i="6"/>
  <c r="R238" i="6"/>
  <c r="Q238" i="6"/>
  <c r="P238" i="6"/>
  <c r="O238" i="6"/>
  <c r="N238" i="6"/>
  <c r="U237" i="6"/>
  <c r="T237" i="6"/>
  <c r="S237" i="6"/>
  <c r="R237" i="6"/>
  <c r="Q237" i="6"/>
  <c r="P237" i="6"/>
  <c r="O237" i="6"/>
  <c r="N237" i="6"/>
  <c r="U236" i="6"/>
  <c r="T236" i="6"/>
  <c r="S236" i="6"/>
  <c r="R236" i="6"/>
  <c r="Q236" i="6"/>
  <c r="P236" i="6"/>
  <c r="O236" i="6"/>
  <c r="N236" i="6"/>
  <c r="U235" i="6"/>
  <c r="T235" i="6"/>
  <c r="S235" i="6"/>
  <c r="R235" i="6"/>
  <c r="Q235" i="6"/>
  <c r="P235" i="6"/>
  <c r="O235" i="6"/>
  <c r="N235" i="6"/>
  <c r="U234" i="6"/>
  <c r="T234" i="6"/>
  <c r="S234" i="6"/>
  <c r="R234" i="6"/>
  <c r="Q234" i="6"/>
  <c r="P234" i="6"/>
  <c r="O234" i="6"/>
  <c r="N234" i="6"/>
  <c r="U233" i="6"/>
  <c r="T233" i="6"/>
  <c r="S233" i="6"/>
  <c r="R233" i="6"/>
  <c r="Q233" i="6"/>
  <c r="P233" i="6"/>
  <c r="O233" i="6"/>
  <c r="N233" i="6"/>
  <c r="U232" i="6"/>
  <c r="T232" i="6"/>
  <c r="S232" i="6"/>
  <c r="R232" i="6"/>
  <c r="Q232" i="6"/>
  <c r="P232" i="6"/>
  <c r="O232" i="6"/>
  <c r="N232" i="6"/>
  <c r="U231" i="6"/>
  <c r="T231" i="6"/>
  <c r="S231" i="6"/>
  <c r="R231" i="6"/>
  <c r="Q231" i="6"/>
  <c r="P231" i="6"/>
  <c r="O231" i="6"/>
  <c r="N231" i="6"/>
  <c r="U230" i="6"/>
  <c r="T230" i="6"/>
  <c r="S230" i="6"/>
  <c r="R230" i="6"/>
  <c r="Q230" i="6"/>
  <c r="P230" i="6"/>
  <c r="O230" i="6"/>
  <c r="N230" i="6"/>
  <c r="U229" i="6"/>
  <c r="T229" i="6"/>
  <c r="S229" i="6"/>
  <c r="R229" i="6"/>
  <c r="Q229" i="6"/>
  <c r="P229" i="6"/>
  <c r="O229" i="6"/>
  <c r="N229" i="6"/>
  <c r="U228" i="6"/>
  <c r="T228" i="6"/>
  <c r="S228" i="6"/>
  <c r="R228" i="6"/>
  <c r="Q228" i="6"/>
  <c r="P228" i="6"/>
  <c r="O228" i="6"/>
  <c r="N228" i="6"/>
  <c r="U227" i="6"/>
  <c r="T227" i="6"/>
  <c r="S227" i="6"/>
  <c r="R227" i="6"/>
  <c r="Q227" i="6"/>
  <c r="P227" i="6"/>
  <c r="O227" i="6"/>
  <c r="N227" i="6"/>
  <c r="U226" i="6"/>
  <c r="T226" i="6"/>
  <c r="S226" i="6"/>
  <c r="R226" i="6"/>
  <c r="Q226" i="6"/>
  <c r="P226" i="6"/>
  <c r="O226" i="6"/>
  <c r="N226" i="6"/>
  <c r="U225" i="6"/>
  <c r="T225" i="6"/>
  <c r="S225" i="6"/>
  <c r="R225" i="6"/>
  <c r="Q225" i="6"/>
  <c r="P225" i="6"/>
  <c r="O225" i="6"/>
  <c r="N225" i="6"/>
  <c r="U224" i="6"/>
  <c r="T224" i="6"/>
  <c r="S224" i="6"/>
  <c r="R224" i="6"/>
  <c r="Q224" i="6"/>
  <c r="P224" i="6"/>
  <c r="O224" i="6"/>
  <c r="N224" i="6"/>
  <c r="U223" i="6"/>
  <c r="T223" i="6"/>
  <c r="S223" i="6"/>
  <c r="R223" i="6"/>
  <c r="Q223" i="6"/>
  <c r="P223" i="6"/>
  <c r="O223" i="6"/>
  <c r="N223" i="6"/>
  <c r="U222" i="6"/>
  <c r="T222" i="6"/>
  <c r="S222" i="6"/>
  <c r="R222" i="6"/>
  <c r="Q222" i="6"/>
  <c r="P222" i="6"/>
  <c r="O222" i="6"/>
  <c r="N222" i="6"/>
  <c r="U221" i="6"/>
  <c r="T221" i="6"/>
  <c r="S221" i="6"/>
  <c r="R221" i="6"/>
  <c r="Q221" i="6"/>
  <c r="P221" i="6"/>
  <c r="O221" i="6"/>
  <c r="N221" i="6"/>
  <c r="U220" i="6"/>
  <c r="T220" i="6"/>
  <c r="S220" i="6"/>
  <c r="R220" i="6"/>
  <c r="Q220" i="6"/>
  <c r="P220" i="6"/>
  <c r="O220" i="6"/>
  <c r="N220" i="6"/>
  <c r="U219" i="6"/>
  <c r="T219" i="6"/>
  <c r="S219" i="6"/>
  <c r="R219" i="6"/>
  <c r="Q219" i="6"/>
  <c r="P219" i="6"/>
  <c r="O219" i="6"/>
  <c r="N219" i="6"/>
  <c r="U218" i="6"/>
  <c r="T218" i="6"/>
  <c r="S218" i="6"/>
  <c r="R218" i="6"/>
  <c r="Q218" i="6"/>
  <c r="P218" i="6"/>
  <c r="O218" i="6"/>
  <c r="N218" i="6"/>
  <c r="U217" i="6"/>
  <c r="T217" i="6"/>
  <c r="S217" i="6"/>
  <c r="R217" i="6"/>
  <c r="Q217" i="6"/>
  <c r="P217" i="6"/>
  <c r="O217" i="6"/>
  <c r="N217" i="6"/>
  <c r="U216" i="6"/>
  <c r="T216" i="6"/>
  <c r="S216" i="6"/>
  <c r="R216" i="6"/>
  <c r="Q216" i="6"/>
  <c r="P216" i="6"/>
  <c r="O216" i="6"/>
  <c r="N216" i="6"/>
  <c r="U215" i="6"/>
  <c r="T215" i="6"/>
  <c r="S215" i="6"/>
  <c r="R215" i="6"/>
  <c r="Q215" i="6"/>
  <c r="P215" i="6"/>
  <c r="O215" i="6"/>
  <c r="N215" i="6"/>
  <c r="U214" i="6"/>
  <c r="T214" i="6"/>
  <c r="S214" i="6"/>
  <c r="R214" i="6"/>
  <c r="Q214" i="6"/>
  <c r="P214" i="6"/>
  <c r="O214" i="6"/>
  <c r="N214" i="6"/>
  <c r="U213" i="6"/>
  <c r="T213" i="6"/>
  <c r="S213" i="6"/>
  <c r="R213" i="6"/>
  <c r="Q213" i="6"/>
  <c r="P213" i="6"/>
  <c r="O213" i="6"/>
  <c r="N213" i="6"/>
  <c r="U212" i="6"/>
  <c r="T212" i="6"/>
  <c r="S212" i="6"/>
  <c r="R212" i="6"/>
  <c r="Q212" i="6"/>
  <c r="P212" i="6"/>
  <c r="O212" i="6"/>
  <c r="N212" i="6"/>
  <c r="U211" i="6"/>
  <c r="T211" i="6"/>
  <c r="S211" i="6"/>
  <c r="R211" i="6"/>
  <c r="Q211" i="6"/>
  <c r="P211" i="6"/>
  <c r="O211" i="6"/>
  <c r="N211" i="6"/>
  <c r="U210" i="6"/>
  <c r="T210" i="6"/>
  <c r="S210" i="6"/>
  <c r="R210" i="6"/>
  <c r="Q210" i="6"/>
  <c r="P210" i="6"/>
  <c r="O210" i="6"/>
  <c r="N210" i="6"/>
  <c r="U209" i="6"/>
  <c r="T209" i="6"/>
  <c r="S209" i="6"/>
  <c r="R209" i="6"/>
  <c r="Q209" i="6"/>
  <c r="P209" i="6"/>
  <c r="O209" i="6"/>
  <c r="N209" i="6"/>
  <c r="U208" i="6"/>
  <c r="T208" i="6"/>
  <c r="S208" i="6"/>
  <c r="R208" i="6"/>
  <c r="Q208" i="6"/>
  <c r="P208" i="6"/>
  <c r="O208" i="6"/>
  <c r="N208" i="6"/>
  <c r="U207" i="6"/>
  <c r="T207" i="6"/>
  <c r="S207" i="6"/>
  <c r="R207" i="6"/>
  <c r="Q207" i="6"/>
  <c r="P207" i="6"/>
  <c r="O207" i="6"/>
  <c r="N207" i="6"/>
  <c r="U206" i="6"/>
  <c r="T206" i="6"/>
  <c r="S206" i="6"/>
  <c r="R206" i="6"/>
  <c r="Q206" i="6"/>
  <c r="P206" i="6"/>
  <c r="O206" i="6"/>
  <c r="N206" i="6"/>
  <c r="U205" i="6"/>
  <c r="T205" i="6"/>
  <c r="S205" i="6"/>
  <c r="R205" i="6"/>
  <c r="Q205" i="6"/>
  <c r="P205" i="6"/>
  <c r="O205" i="6"/>
  <c r="N205" i="6"/>
  <c r="U204" i="6"/>
  <c r="T204" i="6"/>
  <c r="S204" i="6"/>
  <c r="R204" i="6"/>
  <c r="Q204" i="6"/>
  <c r="P204" i="6"/>
  <c r="O204" i="6"/>
  <c r="N204" i="6"/>
  <c r="U203" i="6"/>
  <c r="T203" i="6"/>
  <c r="S203" i="6"/>
  <c r="R203" i="6"/>
  <c r="Q203" i="6"/>
  <c r="P203" i="6"/>
  <c r="O203" i="6"/>
  <c r="N203" i="6"/>
  <c r="U202" i="6"/>
  <c r="T202" i="6"/>
  <c r="S202" i="6"/>
  <c r="R202" i="6"/>
  <c r="Q202" i="6"/>
  <c r="P202" i="6"/>
  <c r="O202" i="6"/>
  <c r="N202" i="6"/>
  <c r="U201" i="6"/>
  <c r="T201" i="6"/>
  <c r="S201" i="6"/>
  <c r="R201" i="6"/>
  <c r="Q201" i="6"/>
  <c r="P201" i="6"/>
  <c r="O201" i="6"/>
  <c r="N201" i="6"/>
  <c r="U200" i="6"/>
  <c r="T200" i="6"/>
  <c r="S200" i="6"/>
  <c r="R200" i="6"/>
  <c r="Q200" i="6"/>
  <c r="P200" i="6"/>
  <c r="O200" i="6"/>
  <c r="N200" i="6"/>
  <c r="U199" i="6"/>
  <c r="T199" i="6"/>
  <c r="S199" i="6"/>
  <c r="R199" i="6"/>
  <c r="Q199" i="6"/>
  <c r="P199" i="6"/>
  <c r="O199" i="6"/>
  <c r="N199" i="6"/>
  <c r="U198" i="6"/>
  <c r="T198" i="6"/>
  <c r="S198" i="6"/>
  <c r="R198" i="6"/>
  <c r="Q198" i="6"/>
  <c r="P198" i="6"/>
  <c r="O198" i="6"/>
  <c r="N198" i="6"/>
  <c r="U197" i="6"/>
  <c r="T197" i="6"/>
  <c r="S197" i="6"/>
  <c r="R197" i="6"/>
  <c r="Q197" i="6"/>
  <c r="P197" i="6"/>
  <c r="O197" i="6"/>
  <c r="N197" i="6"/>
  <c r="U196" i="6"/>
  <c r="T196" i="6"/>
  <c r="S196" i="6"/>
  <c r="R196" i="6"/>
  <c r="Q196" i="6"/>
  <c r="P196" i="6"/>
  <c r="O196" i="6"/>
  <c r="N196" i="6"/>
  <c r="U195" i="6"/>
  <c r="T195" i="6"/>
  <c r="S195" i="6"/>
  <c r="R195" i="6"/>
  <c r="Q195" i="6"/>
  <c r="P195" i="6"/>
  <c r="O195" i="6"/>
  <c r="N195" i="6"/>
  <c r="U194" i="6"/>
  <c r="T194" i="6"/>
  <c r="S194" i="6"/>
  <c r="R194" i="6"/>
  <c r="Q194" i="6"/>
  <c r="P194" i="6"/>
  <c r="O194" i="6"/>
  <c r="N194" i="6"/>
  <c r="U193" i="6"/>
  <c r="T193" i="6"/>
  <c r="S193" i="6"/>
  <c r="R193" i="6"/>
  <c r="Q193" i="6"/>
  <c r="P193" i="6"/>
  <c r="O193" i="6"/>
  <c r="N193" i="6"/>
  <c r="U192" i="6"/>
  <c r="T192" i="6"/>
  <c r="S192" i="6"/>
  <c r="R192" i="6"/>
  <c r="Q192" i="6"/>
  <c r="P192" i="6"/>
  <c r="O192" i="6"/>
  <c r="N192" i="6"/>
  <c r="U191" i="6"/>
  <c r="T191" i="6"/>
  <c r="S191" i="6"/>
  <c r="R191" i="6"/>
  <c r="Q191" i="6"/>
  <c r="P191" i="6"/>
  <c r="O191" i="6"/>
  <c r="N191" i="6"/>
  <c r="U190" i="6"/>
  <c r="T190" i="6"/>
  <c r="S190" i="6"/>
  <c r="R190" i="6"/>
  <c r="Q190" i="6"/>
  <c r="P190" i="6"/>
  <c r="O190" i="6"/>
  <c r="N190" i="6"/>
  <c r="U189" i="6"/>
  <c r="T189" i="6"/>
  <c r="S189" i="6"/>
  <c r="R189" i="6"/>
  <c r="Q189" i="6"/>
  <c r="P189" i="6"/>
  <c r="O189" i="6"/>
  <c r="N189" i="6"/>
  <c r="U188" i="6"/>
  <c r="T188" i="6"/>
  <c r="S188" i="6"/>
  <c r="R188" i="6"/>
  <c r="Q188" i="6"/>
  <c r="P188" i="6"/>
  <c r="O188" i="6"/>
  <c r="N188" i="6"/>
  <c r="U187" i="6"/>
  <c r="T187" i="6"/>
  <c r="S187" i="6"/>
  <c r="R187" i="6"/>
  <c r="Q187" i="6"/>
  <c r="P187" i="6"/>
  <c r="O187" i="6"/>
  <c r="N187" i="6"/>
  <c r="U186" i="6"/>
  <c r="T186" i="6"/>
  <c r="S186" i="6"/>
  <c r="R186" i="6"/>
  <c r="Q186" i="6"/>
  <c r="P186" i="6"/>
  <c r="O186" i="6"/>
  <c r="N186" i="6"/>
  <c r="U185" i="6"/>
  <c r="T185" i="6"/>
  <c r="S185" i="6"/>
  <c r="R185" i="6"/>
  <c r="Q185" i="6"/>
  <c r="P185" i="6"/>
  <c r="O185" i="6"/>
  <c r="N185" i="6"/>
  <c r="U184" i="6"/>
  <c r="T184" i="6"/>
  <c r="S184" i="6"/>
  <c r="R184" i="6"/>
  <c r="Q184" i="6"/>
  <c r="P184" i="6"/>
  <c r="O184" i="6"/>
  <c r="N184" i="6"/>
  <c r="U183" i="6"/>
  <c r="T183" i="6"/>
  <c r="S183" i="6"/>
  <c r="R183" i="6"/>
  <c r="Q183" i="6"/>
  <c r="P183" i="6"/>
  <c r="O183" i="6"/>
  <c r="N183" i="6"/>
  <c r="U182" i="6"/>
  <c r="T182" i="6"/>
  <c r="S182" i="6"/>
  <c r="R182" i="6"/>
  <c r="Q182" i="6"/>
  <c r="P182" i="6"/>
  <c r="O182" i="6"/>
  <c r="N182" i="6"/>
  <c r="U181" i="6"/>
  <c r="T181" i="6"/>
  <c r="S181" i="6"/>
  <c r="R181" i="6"/>
  <c r="Q181" i="6"/>
  <c r="P181" i="6"/>
  <c r="O181" i="6"/>
  <c r="N181" i="6"/>
  <c r="U180" i="6"/>
  <c r="T180" i="6"/>
  <c r="S180" i="6"/>
  <c r="R180" i="6"/>
  <c r="Q180" i="6"/>
  <c r="P180" i="6"/>
  <c r="O180" i="6"/>
  <c r="N180" i="6"/>
  <c r="U179" i="6"/>
  <c r="T179" i="6"/>
  <c r="S179" i="6"/>
  <c r="R179" i="6"/>
  <c r="Q179" i="6"/>
  <c r="P179" i="6"/>
  <c r="O179" i="6"/>
  <c r="N179" i="6"/>
  <c r="U178" i="6"/>
  <c r="T178" i="6"/>
  <c r="S178" i="6"/>
  <c r="R178" i="6"/>
  <c r="Q178" i="6"/>
  <c r="P178" i="6"/>
  <c r="O178" i="6"/>
  <c r="N178" i="6"/>
  <c r="U177" i="6"/>
  <c r="T177" i="6"/>
  <c r="S177" i="6"/>
  <c r="R177" i="6"/>
  <c r="Q177" i="6"/>
  <c r="P177" i="6"/>
  <c r="O177" i="6"/>
  <c r="N177" i="6"/>
  <c r="U176" i="6"/>
  <c r="T176" i="6"/>
  <c r="S176" i="6"/>
  <c r="R176" i="6"/>
  <c r="Q176" i="6"/>
  <c r="P176" i="6"/>
  <c r="O176" i="6"/>
  <c r="N176" i="6"/>
  <c r="U175" i="6"/>
  <c r="T175" i="6"/>
  <c r="S175" i="6"/>
  <c r="R175" i="6"/>
  <c r="Q175" i="6"/>
  <c r="P175" i="6"/>
  <c r="O175" i="6"/>
  <c r="N175" i="6"/>
  <c r="U174" i="6"/>
  <c r="T174" i="6"/>
  <c r="S174" i="6"/>
  <c r="R174" i="6"/>
  <c r="Q174" i="6"/>
  <c r="P174" i="6"/>
  <c r="O174" i="6"/>
  <c r="N174" i="6"/>
  <c r="U173" i="6"/>
  <c r="T173" i="6"/>
  <c r="S173" i="6"/>
  <c r="R173" i="6"/>
  <c r="Q173" i="6"/>
  <c r="P173" i="6"/>
  <c r="O173" i="6"/>
  <c r="N173" i="6"/>
  <c r="U172" i="6"/>
  <c r="T172" i="6"/>
  <c r="S172" i="6"/>
  <c r="R172" i="6"/>
  <c r="Q172" i="6"/>
  <c r="P172" i="6"/>
  <c r="O172" i="6"/>
  <c r="N172" i="6"/>
  <c r="U171" i="6"/>
  <c r="T171" i="6"/>
  <c r="S171" i="6"/>
  <c r="R171" i="6"/>
  <c r="Q171" i="6"/>
  <c r="P171" i="6"/>
  <c r="O171" i="6"/>
  <c r="N171" i="6"/>
  <c r="U170" i="6"/>
  <c r="T170" i="6"/>
  <c r="S170" i="6"/>
  <c r="R170" i="6"/>
  <c r="Q170" i="6"/>
  <c r="P170" i="6"/>
  <c r="O170" i="6"/>
  <c r="N170" i="6"/>
  <c r="U169" i="6"/>
  <c r="T169" i="6"/>
  <c r="S169" i="6"/>
  <c r="R169" i="6"/>
  <c r="Q169" i="6"/>
  <c r="P169" i="6"/>
  <c r="O169" i="6"/>
  <c r="N169" i="6"/>
  <c r="U168" i="6"/>
  <c r="T168" i="6"/>
  <c r="S168" i="6"/>
  <c r="R168" i="6"/>
  <c r="Q168" i="6"/>
  <c r="P168" i="6"/>
  <c r="O168" i="6"/>
  <c r="N168" i="6"/>
  <c r="U167" i="6"/>
  <c r="T167" i="6"/>
  <c r="S167" i="6"/>
  <c r="R167" i="6"/>
  <c r="Q167" i="6"/>
  <c r="P167" i="6"/>
  <c r="O167" i="6"/>
  <c r="N167" i="6"/>
  <c r="U166" i="6"/>
  <c r="T166" i="6"/>
  <c r="S166" i="6"/>
  <c r="R166" i="6"/>
  <c r="Q166" i="6"/>
  <c r="P166" i="6"/>
  <c r="O166" i="6"/>
  <c r="N166" i="6"/>
  <c r="U165" i="6"/>
  <c r="T165" i="6"/>
  <c r="S165" i="6"/>
  <c r="R165" i="6"/>
  <c r="Q165" i="6"/>
  <c r="P165" i="6"/>
  <c r="O165" i="6"/>
  <c r="N165" i="6"/>
  <c r="U164" i="6"/>
  <c r="T164" i="6"/>
  <c r="S164" i="6"/>
  <c r="R164" i="6"/>
  <c r="Q164" i="6"/>
  <c r="P164" i="6"/>
  <c r="O164" i="6"/>
  <c r="N164" i="6"/>
  <c r="U163" i="6"/>
  <c r="T163" i="6"/>
  <c r="S163" i="6"/>
  <c r="R163" i="6"/>
  <c r="Q163" i="6"/>
  <c r="P163" i="6"/>
  <c r="O163" i="6"/>
  <c r="N163" i="6"/>
  <c r="U162" i="6"/>
  <c r="T162" i="6"/>
  <c r="S162" i="6"/>
  <c r="R162" i="6"/>
  <c r="Q162" i="6"/>
  <c r="P162" i="6"/>
  <c r="O162" i="6"/>
  <c r="N162" i="6"/>
  <c r="U161" i="6"/>
  <c r="T161" i="6"/>
  <c r="S161" i="6"/>
  <c r="R161" i="6"/>
  <c r="Q161" i="6"/>
  <c r="P161" i="6"/>
  <c r="O161" i="6"/>
  <c r="N161" i="6"/>
  <c r="U160" i="6"/>
  <c r="T160" i="6"/>
  <c r="S160" i="6"/>
  <c r="R160" i="6"/>
  <c r="Q160" i="6"/>
  <c r="P160" i="6"/>
  <c r="O160" i="6"/>
  <c r="N160" i="6"/>
  <c r="U159" i="6"/>
  <c r="T159" i="6"/>
  <c r="S159" i="6"/>
  <c r="R159" i="6"/>
  <c r="Q159" i="6"/>
  <c r="P159" i="6"/>
  <c r="O159" i="6"/>
  <c r="N159" i="6"/>
  <c r="U158" i="6"/>
  <c r="T158" i="6"/>
  <c r="S158" i="6"/>
  <c r="R158" i="6"/>
  <c r="Q158" i="6"/>
  <c r="P158" i="6"/>
  <c r="O158" i="6"/>
  <c r="N158" i="6"/>
  <c r="U157" i="6"/>
  <c r="T157" i="6"/>
  <c r="S157" i="6"/>
  <c r="R157" i="6"/>
  <c r="Q157" i="6"/>
  <c r="P157" i="6"/>
  <c r="O157" i="6"/>
  <c r="N157" i="6"/>
  <c r="U156" i="6"/>
  <c r="T156" i="6"/>
  <c r="S156" i="6"/>
  <c r="R156" i="6"/>
  <c r="Q156" i="6"/>
  <c r="P156" i="6"/>
  <c r="O156" i="6"/>
  <c r="N156" i="6"/>
  <c r="U155" i="6"/>
  <c r="T155" i="6"/>
  <c r="S155" i="6"/>
  <c r="R155" i="6"/>
  <c r="Q155" i="6"/>
  <c r="P155" i="6"/>
  <c r="O155" i="6"/>
  <c r="N155" i="6"/>
  <c r="U154" i="6"/>
  <c r="T154" i="6"/>
  <c r="S154" i="6"/>
  <c r="R154" i="6"/>
  <c r="Q154" i="6"/>
  <c r="P154" i="6"/>
  <c r="O154" i="6"/>
  <c r="N154" i="6"/>
  <c r="U153" i="6"/>
  <c r="T153" i="6"/>
  <c r="S153" i="6"/>
  <c r="R153" i="6"/>
  <c r="Q153" i="6"/>
  <c r="P153" i="6"/>
  <c r="O153" i="6"/>
  <c r="N153" i="6"/>
  <c r="U152" i="6"/>
  <c r="T152" i="6"/>
  <c r="S152" i="6"/>
  <c r="R152" i="6"/>
  <c r="Q152" i="6"/>
  <c r="P152" i="6"/>
  <c r="O152" i="6"/>
  <c r="N152" i="6"/>
  <c r="U151" i="6"/>
  <c r="T151" i="6"/>
  <c r="S151" i="6"/>
  <c r="R151" i="6"/>
  <c r="Q151" i="6"/>
  <c r="P151" i="6"/>
  <c r="O151" i="6"/>
  <c r="N151" i="6"/>
  <c r="U150" i="6"/>
  <c r="T150" i="6"/>
  <c r="S150" i="6"/>
  <c r="R150" i="6"/>
  <c r="Q150" i="6"/>
  <c r="P150" i="6"/>
  <c r="O150" i="6"/>
  <c r="N150" i="6"/>
  <c r="U149" i="6"/>
  <c r="T149" i="6"/>
  <c r="S149" i="6"/>
  <c r="R149" i="6"/>
  <c r="Q149" i="6"/>
  <c r="P149" i="6"/>
  <c r="O149" i="6"/>
  <c r="N149" i="6"/>
  <c r="U148" i="6"/>
  <c r="T148" i="6"/>
  <c r="S148" i="6"/>
  <c r="R148" i="6"/>
  <c r="Q148" i="6"/>
  <c r="P148" i="6"/>
  <c r="O148" i="6"/>
  <c r="N148" i="6"/>
  <c r="U147" i="6"/>
  <c r="T147" i="6"/>
  <c r="S147" i="6"/>
  <c r="R147" i="6"/>
  <c r="Q147" i="6"/>
  <c r="P147" i="6"/>
  <c r="O147" i="6"/>
  <c r="N147" i="6"/>
  <c r="U146" i="6"/>
  <c r="T146" i="6"/>
  <c r="S146" i="6"/>
  <c r="R146" i="6"/>
  <c r="Q146" i="6"/>
  <c r="P146" i="6"/>
  <c r="O146" i="6"/>
  <c r="N146" i="6"/>
  <c r="U145" i="6"/>
  <c r="T145" i="6"/>
  <c r="S145" i="6"/>
  <c r="R145" i="6"/>
  <c r="Q145" i="6"/>
  <c r="P145" i="6"/>
  <c r="O145" i="6"/>
  <c r="N145" i="6"/>
  <c r="U144" i="6"/>
  <c r="T144" i="6"/>
  <c r="S144" i="6"/>
  <c r="R144" i="6"/>
  <c r="Q144" i="6"/>
  <c r="P144" i="6"/>
  <c r="O144" i="6"/>
  <c r="N144" i="6"/>
  <c r="U143" i="6"/>
  <c r="T143" i="6"/>
  <c r="S143" i="6"/>
  <c r="R143" i="6"/>
  <c r="Q143" i="6"/>
  <c r="P143" i="6"/>
  <c r="O143" i="6"/>
  <c r="N143" i="6"/>
  <c r="U142" i="6"/>
  <c r="T142" i="6"/>
  <c r="S142" i="6"/>
  <c r="R142" i="6"/>
  <c r="Q142" i="6"/>
  <c r="P142" i="6"/>
  <c r="O142" i="6"/>
  <c r="N142" i="6"/>
  <c r="U141" i="6"/>
  <c r="T141" i="6"/>
  <c r="S141" i="6"/>
  <c r="R141" i="6"/>
  <c r="Q141" i="6"/>
  <c r="P141" i="6"/>
  <c r="O141" i="6"/>
  <c r="N141" i="6"/>
  <c r="U140" i="6"/>
  <c r="T140" i="6"/>
  <c r="S140" i="6"/>
  <c r="R140" i="6"/>
  <c r="Q140" i="6"/>
  <c r="P140" i="6"/>
  <c r="O140" i="6"/>
  <c r="N140" i="6"/>
  <c r="U139" i="6"/>
  <c r="T139" i="6"/>
  <c r="S139" i="6"/>
  <c r="R139" i="6"/>
  <c r="Q139" i="6"/>
  <c r="P139" i="6"/>
  <c r="O139" i="6"/>
  <c r="N139" i="6"/>
  <c r="U138" i="6"/>
  <c r="T138" i="6"/>
  <c r="S138" i="6"/>
  <c r="R138" i="6"/>
  <c r="Q138" i="6"/>
  <c r="P138" i="6"/>
  <c r="O138" i="6"/>
  <c r="N138" i="6"/>
  <c r="U137" i="6"/>
  <c r="T137" i="6"/>
  <c r="S137" i="6"/>
  <c r="R137" i="6"/>
  <c r="Q137" i="6"/>
  <c r="P137" i="6"/>
  <c r="O137" i="6"/>
  <c r="N137" i="6"/>
  <c r="U136" i="6"/>
  <c r="T136" i="6"/>
  <c r="S136" i="6"/>
  <c r="R136" i="6"/>
  <c r="Q136" i="6"/>
  <c r="P136" i="6"/>
  <c r="O136" i="6"/>
  <c r="N136" i="6"/>
  <c r="U135" i="6"/>
  <c r="T135" i="6"/>
  <c r="S135" i="6"/>
  <c r="R135" i="6"/>
  <c r="Q135" i="6"/>
  <c r="P135" i="6"/>
  <c r="O135" i="6"/>
  <c r="N135" i="6"/>
  <c r="U134" i="6"/>
  <c r="T134" i="6"/>
  <c r="S134" i="6"/>
  <c r="R134" i="6"/>
  <c r="Q134" i="6"/>
  <c r="P134" i="6"/>
  <c r="O134" i="6"/>
  <c r="N134" i="6"/>
  <c r="U133" i="6"/>
  <c r="T133" i="6"/>
  <c r="S133" i="6"/>
  <c r="R133" i="6"/>
  <c r="Q133" i="6"/>
  <c r="P133" i="6"/>
  <c r="O133" i="6"/>
  <c r="N133" i="6"/>
  <c r="U132" i="6"/>
  <c r="T132" i="6"/>
  <c r="S132" i="6"/>
  <c r="R132" i="6"/>
  <c r="Q132" i="6"/>
  <c r="P132" i="6"/>
  <c r="O132" i="6"/>
  <c r="N132" i="6"/>
  <c r="U131" i="6"/>
  <c r="T131" i="6"/>
  <c r="S131" i="6"/>
  <c r="R131" i="6"/>
  <c r="Q131" i="6"/>
  <c r="P131" i="6"/>
  <c r="O131" i="6"/>
  <c r="N131" i="6"/>
  <c r="U130" i="6"/>
  <c r="T130" i="6"/>
  <c r="S130" i="6"/>
  <c r="R130" i="6"/>
  <c r="Q130" i="6"/>
  <c r="P130" i="6"/>
  <c r="O130" i="6"/>
  <c r="N130" i="6"/>
  <c r="U129" i="6"/>
  <c r="T129" i="6"/>
  <c r="S129" i="6"/>
  <c r="R129" i="6"/>
  <c r="Q129" i="6"/>
  <c r="P129" i="6"/>
  <c r="O129" i="6"/>
  <c r="N129" i="6"/>
  <c r="U128" i="6"/>
  <c r="T128" i="6"/>
  <c r="S128" i="6"/>
  <c r="R128" i="6"/>
  <c r="Q128" i="6"/>
  <c r="P128" i="6"/>
  <c r="O128" i="6"/>
  <c r="N128" i="6"/>
  <c r="U127" i="6"/>
  <c r="T127" i="6"/>
  <c r="S127" i="6"/>
  <c r="R127" i="6"/>
  <c r="Q127" i="6"/>
  <c r="P127" i="6"/>
  <c r="O127" i="6"/>
  <c r="N127" i="6"/>
  <c r="U126" i="6"/>
  <c r="T126" i="6"/>
  <c r="S126" i="6"/>
  <c r="R126" i="6"/>
  <c r="Q126" i="6"/>
  <c r="P126" i="6"/>
  <c r="O126" i="6"/>
  <c r="N126" i="6"/>
  <c r="U125" i="6"/>
  <c r="T125" i="6"/>
  <c r="S125" i="6"/>
  <c r="R125" i="6"/>
  <c r="Q125" i="6"/>
  <c r="P125" i="6"/>
  <c r="O125" i="6"/>
  <c r="N125" i="6"/>
  <c r="U124" i="6"/>
  <c r="T124" i="6"/>
  <c r="S124" i="6"/>
  <c r="R124" i="6"/>
  <c r="Q124" i="6"/>
  <c r="P124" i="6"/>
  <c r="O124" i="6"/>
  <c r="N124" i="6"/>
  <c r="U123" i="6"/>
  <c r="T123" i="6"/>
  <c r="S123" i="6"/>
  <c r="R123" i="6"/>
  <c r="Q123" i="6"/>
  <c r="P123" i="6"/>
  <c r="O123" i="6"/>
  <c r="N123" i="6"/>
  <c r="U122" i="6"/>
  <c r="T122" i="6"/>
  <c r="S122" i="6"/>
  <c r="R122" i="6"/>
  <c r="Q122" i="6"/>
  <c r="P122" i="6"/>
  <c r="O122" i="6"/>
  <c r="N122" i="6"/>
  <c r="U121" i="6"/>
  <c r="T121" i="6"/>
  <c r="S121" i="6"/>
  <c r="R121" i="6"/>
  <c r="Q121" i="6"/>
  <c r="P121" i="6"/>
  <c r="O121" i="6"/>
  <c r="N121" i="6"/>
  <c r="U120" i="6"/>
  <c r="T120" i="6"/>
  <c r="S120" i="6"/>
  <c r="R120" i="6"/>
  <c r="Q120" i="6"/>
  <c r="P120" i="6"/>
  <c r="O120" i="6"/>
  <c r="N120" i="6"/>
  <c r="U119" i="6"/>
  <c r="T119" i="6"/>
  <c r="S119" i="6"/>
  <c r="R119" i="6"/>
  <c r="Q119" i="6"/>
  <c r="P119" i="6"/>
  <c r="O119" i="6"/>
  <c r="N119" i="6"/>
  <c r="U118" i="6"/>
  <c r="T118" i="6"/>
  <c r="S118" i="6"/>
  <c r="R118" i="6"/>
  <c r="Q118" i="6"/>
  <c r="P118" i="6"/>
  <c r="O118" i="6"/>
  <c r="N118" i="6"/>
  <c r="U117" i="6"/>
  <c r="T117" i="6"/>
  <c r="S117" i="6"/>
  <c r="R117" i="6"/>
  <c r="Q117" i="6"/>
  <c r="P117" i="6"/>
  <c r="O117" i="6"/>
  <c r="N117" i="6"/>
  <c r="U116" i="6"/>
  <c r="T116" i="6"/>
  <c r="S116" i="6"/>
  <c r="R116" i="6"/>
  <c r="Q116" i="6"/>
  <c r="P116" i="6"/>
  <c r="O116" i="6"/>
  <c r="N116" i="6"/>
  <c r="U115" i="6"/>
  <c r="T115" i="6"/>
  <c r="S115" i="6"/>
  <c r="R115" i="6"/>
  <c r="Q115" i="6"/>
  <c r="P115" i="6"/>
  <c r="O115" i="6"/>
  <c r="N115" i="6"/>
  <c r="U114" i="6"/>
  <c r="T114" i="6"/>
  <c r="S114" i="6"/>
  <c r="R114" i="6"/>
  <c r="Q114" i="6"/>
  <c r="P114" i="6"/>
  <c r="O114" i="6"/>
  <c r="N114" i="6"/>
  <c r="U113" i="6"/>
  <c r="T113" i="6"/>
  <c r="S113" i="6"/>
  <c r="R113" i="6"/>
  <c r="Q113" i="6"/>
  <c r="P113" i="6"/>
  <c r="O113" i="6"/>
  <c r="N113" i="6"/>
  <c r="U112" i="6"/>
  <c r="T112" i="6"/>
  <c r="S112" i="6"/>
  <c r="R112" i="6"/>
  <c r="Q112" i="6"/>
  <c r="P112" i="6"/>
  <c r="O112" i="6"/>
  <c r="N112" i="6"/>
  <c r="U111" i="6"/>
  <c r="T111" i="6"/>
  <c r="S111" i="6"/>
  <c r="R111" i="6"/>
  <c r="Q111" i="6"/>
  <c r="P111" i="6"/>
  <c r="O111" i="6"/>
  <c r="N111" i="6"/>
  <c r="U110" i="6"/>
  <c r="T110" i="6"/>
  <c r="S110" i="6"/>
  <c r="R110" i="6"/>
  <c r="Q110" i="6"/>
  <c r="P110" i="6"/>
  <c r="O110" i="6"/>
  <c r="N110" i="6"/>
  <c r="U109" i="6"/>
  <c r="T109" i="6"/>
  <c r="S109" i="6"/>
  <c r="R109" i="6"/>
  <c r="Q109" i="6"/>
  <c r="P109" i="6"/>
  <c r="O109" i="6"/>
  <c r="N109" i="6"/>
  <c r="U108" i="6"/>
  <c r="T108" i="6"/>
  <c r="S108" i="6"/>
  <c r="R108" i="6"/>
  <c r="Q108" i="6"/>
  <c r="P108" i="6"/>
  <c r="O108" i="6"/>
  <c r="N108" i="6"/>
  <c r="U107" i="6"/>
  <c r="T107" i="6"/>
  <c r="S107" i="6"/>
  <c r="R107" i="6"/>
  <c r="Q107" i="6"/>
  <c r="P107" i="6"/>
  <c r="O107" i="6"/>
  <c r="N107" i="6"/>
  <c r="U106" i="6"/>
  <c r="T106" i="6"/>
  <c r="S106" i="6"/>
  <c r="R106" i="6"/>
  <c r="Q106" i="6"/>
  <c r="P106" i="6"/>
  <c r="O106" i="6"/>
  <c r="N106" i="6"/>
  <c r="U105" i="6"/>
  <c r="T105" i="6"/>
  <c r="S105" i="6"/>
  <c r="R105" i="6"/>
  <c r="Q105" i="6"/>
  <c r="P105" i="6"/>
  <c r="O105" i="6"/>
  <c r="N105" i="6"/>
  <c r="U104" i="6"/>
  <c r="T104" i="6"/>
  <c r="S104" i="6"/>
  <c r="R104" i="6"/>
  <c r="Q104" i="6"/>
  <c r="P104" i="6"/>
  <c r="O104" i="6"/>
  <c r="N104" i="6"/>
  <c r="U103" i="6"/>
  <c r="T103" i="6"/>
  <c r="S103" i="6"/>
  <c r="R103" i="6"/>
  <c r="Q103" i="6"/>
  <c r="P103" i="6"/>
  <c r="O103" i="6"/>
  <c r="N103" i="6"/>
  <c r="U102" i="6"/>
  <c r="T102" i="6"/>
  <c r="S102" i="6"/>
  <c r="R102" i="6"/>
  <c r="Q102" i="6"/>
  <c r="P102" i="6"/>
  <c r="O102" i="6"/>
  <c r="N102" i="6"/>
  <c r="U101" i="6"/>
  <c r="T101" i="6"/>
  <c r="S101" i="6"/>
  <c r="R101" i="6"/>
  <c r="Q101" i="6"/>
  <c r="P101" i="6"/>
  <c r="O101" i="6"/>
  <c r="N101" i="6"/>
  <c r="U100" i="6"/>
  <c r="T100" i="6"/>
  <c r="S100" i="6"/>
  <c r="R100" i="6"/>
  <c r="Q100" i="6"/>
  <c r="P100" i="6"/>
  <c r="O100" i="6"/>
  <c r="N100" i="6"/>
  <c r="U99" i="6"/>
  <c r="T99" i="6"/>
  <c r="S99" i="6"/>
  <c r="R99" i="6"/>
  <c r="Q99" i="6"/>
  <c r="P99" i="6"/>
  <c r="O99" i="6"/>
  <c r="N99" i="6"/>
  <c r="U98" i="6"/>
  <c r="T98" i="6"/>
  <c r="S98" i="6"/>
  <c r="R98" i="6"/>
  <c r="Q98" i="6"/>
  <c r="P98" i="6"/>
  <c r="O98" i="6"/>
  <c r="N98" i="6"/>
  <c r="U97" i="6"/>
  <c r="T97" i="6"/>
  <c r="S97" i="6"/>
  <c r="R97" i="6"/>
  <c r="Q97" i="6"/>
  <c r="P97" i="6"/>
  <c r="O97" i="6"/>
  <c r="N97" i="6"/>
  <c r="U96" i="6"/>
  <c r="T96" i="6"/>
  <c r="S96" i="6"/>
  <c r="R96" i="6"/>
  <c r="Q96" i="6"/>
  <c r="P96" i="6"/>
  <c r="O96" i="6"/>
  <c r="N96" i="6"/>
  <c r="U95" i="6"/>
  <c r="T95" i="6"/>
  <c r="S95" i="6"/>
  <c r="R95" i="6"/>
  <c r="Q95" i="6"/>
  <c r="P95" i="6"/>
  <c r="O95" i="6"/>
  <c r="N95" i="6"/>
  <c r="U94" i="6"/>
  <c r="T94" i="6"/>
  <c r="S94" i="6"/>
  <c r="R94" i="6"/>
  <c r="Q94" i="6"/>
  <c r="P94" i="6"/>
  <c r="O94" i="6"/>
  <c r="N94" i="6"/>
  <c r="U93" i="6"/>
  <c r="T93" i="6"/>
  <c r="S93" i="6"/>
  <c r="R93" i="6"/>
  <c r="Q93" i="6"/>
  <c r="P93" i="6"/>
  <c r="O93" i="6"/>
  <c r="N93" i="6"/>
  <c r="U92" i="6"/>
  <c r="T92" i="6"/>
  <c r="S92" i="6"/>
  <c r="R92" i="6"/>
  <c r="Q92" i="6"/>
  <c r="P92" i="6"/>
  <c r="O92" i="6"/>
  <c r="N92" i="6"/>
  <c r="U91" i="6"/>
  <c r="T91" i="6"/>
  <c r="S91" i="6"/>
  <c r="R91" i="6"/>
  <c r="Q91" i="6"/>
  <c r="P91" i="6"/>
  <c r="O91" i="6"/>
  <c r="N91" i="6"/>
  <c r="U90" i="6"/>
  <c r="T90" i="6"/>
  <c r="S90" i="6"/>
  <c r="R90" i="6"/>
  <c r="Q90" i="6"/>
  <c r="P90" i="6"/>
  <c r="O90" i="6"/>
  <c r="N90" i="6"/>
  <c r="U89" i="6"/>
  <c r="T89" i="6"/>
  <c r="S89" i="6"/>
  <c r="R89" i="6"/>
  <c r="Q89" i="6"/>
  <c r="P89" i="6"/>
  <c r="O89" i="6"/>
  <c r="N89" i="6"/>
  <c r="U88" i="6"/>
  <c r="T88" i="6"/>
  <c r="S88" i="6"/>
  <c r="R88" i="6"/>
  <c r="Q88" i="6"/>
  <c r="P88" i="6"/>
  <c r="O88" i="6"/>
  <c r="N88" i="6"/>
  <c r="U87" i="6"/>
  <c r="T87" i="6"/>
  <c r="S87" i="6"/>
  <c r="R87" i="6"/>
  <c r="Q87" i="6"/>
  <c r="P87" i="6"/>
  <c r="O87" i="6"/>
  <c r="N87" i="6"/>
  <c r="U86" i="6"/>
  <c r="T86" i="6"/>
  <c r="S86" i="6"/>
  <c r="R86" i="6"/>
  <c r="Q86" i="6"/>
  <c r="P86" i="6"/>
  <c r="O86" i="6"/>
  <c r="N86" i="6"/>
  <c r="U85" i="6"/>
  <c r="T85" i="6"/>
  <c r="S85" i="6"/>
  <c r="R85" i="6"/>
  <c r="Q85" i="6"/>
  <c r="P85" i="6"/>
  <c r="O85" i="6"/>
  <c r="N85" i="6"/>
  <c r="U84" i="6"/>
  <c r="T84" i="6"/>
  <c r="S84" i="6"/>
  <c r="R84" i="6"/>
  <c r="Q84" i="6"/>
  <c r="P84" i="6"/>
  <c r="O84" i="6"/>
  <c r="N84" i="6"/>
  <c r="U83" i="6"/>
  <c r="T83" i="6"/>
  <c r="S83" i="6"/>
  <c r="R83" i="6"/>
  <c r="Q83" i="6"/>
  <c r="P83" i="6"/>
  <c r="O83" i="6"/>
  <c r="N83" i="6"/>
  <c r="U82" i="6"/>
  <c r="T82" i="6"/>
  <c r="S82" i="6"/>
  <c r="R82" i="6"/>
  <c r="Q82" i="6"/>
  <c r="P82" i="6"/>
  <c r="O82" i="6"/>
  <c r="N82" i="6"/>
  <c r="U81" i="6"/>
  <c r="T81" i="6"/>
  <c r="S81" i="6"/>
  <c r="R81" i="6"/>
  <c r="Q81" i="6"/>
  <c r="P81" i="6"/>
  <c r="O81" i="6"/>
  <c r="N81" i="6"/>
  <c r="U80" i="6"/>
  <c r="T80" i="6"/>
  <c r="S80" i="6"/>
  <c r="R80" i="6"/>
  <c r="Q80" i="6"/>
  <c r="P80" i="6"/>
  <c r="O80" i="6"/>
  <c r="N80" i="6"/>
  <c r="U79" i="6"/>
  <c r="T79" i="6"/>
  <c r="S79" i="6"/>
  <c r="R79" i="6"/>
  <c r="Q79" i="6"/>
  <c r="P79" i="6"/>
  <c r="O79" i="6"/>
  <c r="N79" i="6"/>
  <c r="U78" i="6"/>
  <c r="T78" i="6"/>
  <c r="S78" i="6"/>
  <c r="R78" i="6"/>
  <c r="Q78" i="6"/>
  <c r="P78" i="6"/>
  <c r="O78" i="6"/>
  <c r="N78" i="6"/>
  <c r="U77" i="6"/>
  <c r="T77" i="6"/>
  <c r="S77" i="6"/>
  <c r="R77" i="6"/>
  <c r="Q77" i="6"/>
  <c r="P77" i="6"/>
  <c r="O77" i="6"/>
  <c r="N77" i="6"/>
  <c r="U76" i="6"/>
  <c r="T76" i="6"/>
  <c r="S76" i="6"/>
  <c r="R76" i="6"/>
  <c r="Q76" i="6"/>
  <c r="P76" i="6"/>
  <c r="O76" i="6"/>
  <c r="N76" i="6"/>
  <c r="U75" i="6"/>
  <c r="T75" i="6"/>
  <c r="S75" i="6"/>
  <c r="R75" i="6"/>
  <c r="Q75" i="6"/>
  <c r="P75" i="6"/>
  <c r="O75" i="6"/>
  <c r="N75" i="6"/>
  <c r="U74" i="6"/>
  <c r="T74" i="6"/>
  <c r="S74" i="6"/>
  <c r="R74" i="6"/>
  <c r="Q74" i="6"/>
  <c r="P74" i="6"/>
  <c r="O74" i="6"/>
  <c r="N74" i="6"/>
  <c r="U73" i="6"/>
  <c r="T73" i="6"/>
  <c r="S73" i="6"/>
  <c r="R73" i="6"/>
  <c r="Q73" i="6"/>
  <c r="P73" i="6"/>
  <c r="O73" i="6"/>
  <c r="N73" i="6"/>
  <c r="U72" i="6"/>
  <c r="T72" i="6"/>
  <c r="S72" i="6"/>
  <c r="R72" i="6"/>
  <c r="Q72" i="6"/>
  <c r="P72" i="6"/>
  <c r="O72" i="6"/>
  <c r="N72" i="6"/>
  <c r="U71" i="6"/>
  <c r="T71" i="6"/>
  <c r="S71" i="6"/>
  <c r="R71" i="6"/>
  <c r="Q71" i="6"/>
  <c r="P71" i="6"/>
  <c r="O71" i="6"/>
  <c r="N71" i="6"/>
  <c r="U70" i="6"/>
  <c r="T70" i="6"/>
  <c r="S70" i="6"/>
  <c r="R70" i="6"/>
  <c r="Q70" i="6"/>
  <c r="P70" i="6"/>
  <c r="O70" i="6"/>
  <c r="N70" i="6"/>
  <c r="U69" i="6"/>
  <c r="T69" i="6"/>
  <c r="S69" i="6"/>
  <c r="R69" i="6"/>
  <c r="Q69" i="6"/>
  <c r="P69" i="6"/>
  <c r="O69" i="6"/>
  <c r="N69" i="6"/>
  <c r="U68" i="6"/>
  <c r="T68" i="6"/>
  <c r="S68" i="6"/>
  <c r="R68" i="6"/>
  <c r="Q68" i="6"/>
  <c r="P68" i="6"/>
  <c r="O68" i="6"/>
  <c r="N68" i="6"/>
  <c r="U67" i="6"/>
  <c r="T67" i="6"/>
  <c r="S67" i="6"/>
  <c r="R67" i="6"/>
  <c r="Q67" i="6"/>
  <c r="P67" i="6"/>
  <c r="O67" i="6"/>
  <c r="N67" i="6"/>
  <c r="U66" i="6"/>
  <c r="T66" i="6"/>
  <c r="S66" i="6"/>
  <c r="R66" i="6"/>
  <c r="Q66" i="6"/>
  <c r="P66" i="6"/>
  <c r="O66" i="6"/>
  <c r="N66" i="6"/>
  <c r="U65" i="6"/>
  <c r="T65" i="6"/>
  <c r="S65" i="6"/>
  <c r="R65" i="6"/>
  <c r="Q65" i="6"/>
  <c r="P65" i="6"/>
  <c r="O65" i="6"/>
  <c r="N65" i="6"/>
  <c r="U64" i="6"/>
  <c r="T64" i="6"/>
  <c r="S64" i="6"/>
  <c r="R64" i="6"/>
  <c r="Q64" i="6"/>
  <c r="P64" i="6"/>
  <c r="O64" i="6"/>
  <c r="N64" i="6"/>
  <c r="U63" i="6"/>
  <c r="T63" i="6"/>
  <c r="S63" i="6"/>
  <c r="R63" i="6"/>
  <c r="Q63" i="6"/>
  <c r="P63" i="6"/>
  <c r="O63" i="6"/>
  <c r="N63" i="6"/>
  <c r="U62" i="6"/>
  <c r="T62" i="6"/>
  <c r="S62" i="6"/>
  <c r="R62" i="6"/>
  <c r="Q62" i="6"/>
  <c r="P62" i="6"/>
  <c r="O62" i="6"/>
  <c r="N62" i="6"/>
  <c r="U61" i="6"/>
  <c r="T61" i="6"/>
  <c r="S61" i="6"/>
  <c r="R61" i="6"/>
  <c r="Q61" i="6"/>
  <c r="P61" i="6"/>
  <c r="O61" i="6"/>
  <c r="N61" i="6"/>
  <c r="U60" i="6"/>
  <c r="T60" i="6"/>
  <c r="S60" i="6"/>
  <c r="R60" i="6"/>
  <c r="Q60" i="6"/>
  <c r="P60" i="6"/>
  <c r="O60" i="6"/>
  <c r="N60" i="6"/>
  <c r="U59" i="6"/>
  <c r="T59" i="6"/>
  <c r="S59" i="6"/>
  <c r="R59" i="6"/>
  <c r="Q59" i="6"/>
  <c r="P59" i="6"/>
  <c r="O59" i="6"/>
  <c r="N59" i="6"/>
  <c r="U58" i="6"/>
  <c r="T58" i="6"/>
  <c r="S58" i="6"/>
  <c r="R58" i="6"/>
  <c r="Q58" i="6"/>
  <c r="P58" i="6"/>
  <c r="O58" i="6"/>
  <c r="N58" i="6"/>
  <c r="U57" i="6"/>
  <c r="T57" i="6"/>
  <c r="S57" i="6"/>
  <c r="R57" i="6"/>
  <c r="Q57" i="6"/>
  <c r="P57" i="6"/>
  <c r="O57" i="6"/>
  <c r="N57" i="6"/>
  <c r="U56" i="6"/>
  <c r="T56" i="6"/>
  <c r="S56" i="6"/>
  <c r="R56" i="6"/>
  <c r="Q56" i="6"/>
  <c r="P56" i="6"/>
  <c r="O56" i="6"/>
  <c r="N56" i="6"/>
  <c r="U55" i="6"/>
  <c r="T55" i="6"/>
  <c r="S55" i="6"/>
  <c r="R55" i="6"/>
  <c r="Q55" i="6"/>
  <c r="P55" i="6"/>
  <c r="O55" i="6"/>
  <c r="N55" i="6"/>
  <c r="U54" i="6"/>
  <c r="T54" i="6"/>
  <c r="S54" i="6"/>
  <c r="R54" i="6"/>
  <c r="Q54" i="6"/>
  <c r="P54" i="6"/>
  <c r="O54" i="6"/>
  <c r="N54" i="6"/>
  <c r="U53" i="6"/>
  <c r="T53" i="6"/>
  <c r="S53" i="6"/>
  <c r="R53" i="6"/>
  <c r="Q53" i="6"/>
  <c r="P53" i="6"/>
  <c r="O53" i="6"/>
  <c r="N53" i="6"/>
  <c r="U52" i="6"/>
  <c r="T52" i="6"/>
  <c r="S52" i="6"/>
  <c r="R52" i="6"/>
  <c r="Q52" i="6"/>
  <c r="P52" i="6"/>
  <c r="O52" i="6"/>
  <c r="N52" i="6"/>
  <c r="U51" i="6"/>
  <c r="T51" i="6"/>
  <c r="S51" i="6"/>
  <c r="R51" i="6"/>
  <c r="Q51" i="6"/>
  <c r="P51" i="6"/>
  <c r="O51" i="6"/>
  <c r="N51" i="6"/>
  <c r="U50" i="6"/>
  <c r="T50" i="6"/>
  <c r="S50" i="6"/>
  <c r="R50" i="6"/>
  <c r="Q50" i="6"/>
  <c r="P50" i="6"/>
  <c r="O50" i="6"/>
  <c r="N50" i="6"/>
  <c r="U49" i="6"/>
  <c r="T49" i="6"/>
  <c r="S49" i="6"/>
  <c r="R49" i="6"/>
  <c r="Q49" i="6"/>
  <c r="P49" i="6"/>
  <c r="O49" i="6"/>
  <c r="N49" i="6"/>
  <c r="U48" i="6"/>
  <c r="T48" i="6"/>
  <c r="S48" i="6"/>
  <c r="R48" i="6"/>
  <c r="Q48" i="6"/>
  <c r="P48" i="6"/>
  <c r="O48" i="6"/>
  <c r="N48" i="6"/>
  <c r="U47" i="6"/>
  <c r="T47" i="6"/>
  <c r="S47" i="6"/>
  <c r="R47" i="6"/>
  <c r="Q47" i="6"/>
  <c r="P47" i="6"/>
  <c r="O47" i="6"/>
  <c r="N47" i="6"/>
  <c r="U46" i="6"/>
  <c r="T46" i="6"/>
  <c r="S46" i="6"/>
  <c r="R46" i="6"/>
  <c r="Q46" i="6"/>
  <c r="P46" i="6"/>
  <c r="O46" i="6"/>
  <c r="N46" i="6"/>
  <c r="U45" i="6"/>
  <c r="T45" i="6"/>
  <c r="S45" i="6"/>
  <c r="R45" i="6"/>
  <c r="Q45" i="6"/>
  <c r="P45" i="6"/>
  <c r="O45" i="6"/>
  <c r="N45" i="6"/>
  <c r="U44" i="6"/>
  <c r="T44" i="6"/>
  <c r="S44" i="6"/>
  <c r="R44" i="6"/>
  <c r="Q44" i="6"/>
  <c r="P44" i="6"/>
  <c r="O44" i="6"/>
  <c r="N44" i="6"/>
  <c r="U43" i="6"/>
  <c r="T43" i="6"/>
  <c r="S43" i="6"/>
  <c r="R43" i="6"/>
  <c r="Q43" i="6"/>
  <c r="P43" i="6"/>
  <c r="O43" i="6"/>
  <c r="N43" i="6"/>
  <c r="U42" i="6"/>
  <c r="T42" i="6"/>
  <c r="S42" i="6"/>
  <c r="R42" i="6"/>
  <c r="Q42" i="6"/>
  <c r="P42" i="6"/>
  <c r="O42" i="6"/>
  <c r="N42" i="6"/>
  <c r="U41" i="6"/>
  <c r="T41" i="6"/>
  <c r="S41" i="6"/>
  <c r="R41" i="6"/>
  <c r="Q41" i="6"/>
  <c r="P41" i="6"/>
  <c r="O41" i="6"/>
  <c r="N41" i="6"/>
  <c r="U40" i="6"/>
  <c r="T40" i="6"/>
  <c r="S40" i="6"/>
  <c r="R40" i="6"/>
  <c r="Q40" i="6"/>
  <c r="P40" i="6"/>
  <c r="O40" i="6"/>
  <c r="N40" i="6"/>
  <c r="U39" i="6"/>
  <c r="T39" i="6"/>
  <c r="S39" i="6"/>
  <c r="R39" i="6"/>
  <c r="Q39" i="6"/>
  <c r="P39" i="6"/>
  <c r="O39" i="6"/>
  <c r="N39" i="6"/>
  <c r="U38" i="6"/>
  <c r="T38" i="6"/>
  <c r="S38" i="6"/>
  <c r="R38" i="6"/>
  <c r="Q38" i="6"/>
  <c r="P38" i="6"/>
  <c r="O38" i="6"/>
  <c r="N38" i="6"/>
  <c r="U37" i="6"/>
  <c r="T37" i="6"/>
  <c r="S37" i="6"/>
  <c r="R37" i="6"/>
  <c r="Q37" i="6"/>
  <c r="P37" i="6"/>
  <c r="O37" i="6"/>
  <c r="N37" i="6"/>
  <c r="U36" i="6"/>
  <c r="T36" i="6"/>
  <c r="S36" i="6"/>
  <c r="R36" i="6"/>
  <c r="Q36" i="6"/>
  <c r="P36" i="6"/>
  <c r="O36" i="6"/>
  <c r="N36" i="6"/>
  <c r="U35" i="6"/>
  <c r="T35" i="6"/>
  <c r="S35" i="6"/>
  <c r="R35" i="6"/>
  <c r="Q35" i="6"/>
  <c r="P35" i="6"/>
  <c r="O35" i="6"/>
  <c r="N35" i="6"/>
  <c r="U34" i="6"/>
  <c r="T34" i="6"/>
  <c r="S34" i="6"/>
  <c r="R34" i="6"/>
  <c r="Q34" i="6"/>
  <c r="P34" i="6"/>
  <c r="O34" i="6"/>
  <c r="N34" i="6"/>
  <c r="U33" i="6"/>
  <c r="T33" i="6"/>
  <c r="S33" i="6"/>
  <c r="R33" i="6"/>
  <c r="Q33" i="6"/>
  <c r="P33" i="6"/>
  <c r="O33" i="6"/>
  <c r="N33" i="6"/>
  <c r="U32" i="6"/>
  <c r="T32" i="6"/>
  <c r="S32" i="6"/>
  <c r="R32" i="6"/>
  <c r="Q32" i="6"/>
  <c r="P32" i="6"/>
  <c r="O32" i="6"/>
  <c r="N32" i="6"/>
  <c r="U31" i="6"/>
  <c r="T31" i="6"/>
  <c r="S31" i="6"/>
  <c r="R31" i="6"/>
  <c r="Q31" i="6"/>
  <c r="P31" i="6"/>
  <c r="O31" i="6"/>
  <c r="N31" i="6"/>
  <c r="U30" i="6"/>
  <c r="T30" i="6"/>
  <c r="S30" i="6"/>
  <c r="R30" i="6"/>
  <c r="Q30" i="6"/>
  <c r="P30" i="6"/>
  <c r="O30" i="6"/>
  <c r="N30" i="6"/>
  <c r="U29" i="6"/>
  <c r="T29" i="6"/>
  <c r="S29" i="6"/>
  <c r="R29" i="6"/>
  <c r="Q29" i="6"/>
  <c r="P29" i="6"/>
  <c r="O29" i="6"/>
  <c r="N29" i="6"/>
  <c r="U28" i="6"/>
  <c r="T28" i="6"/>
  <c r="S28" i="6"/>
  <c r="R28" i="6"/>
  <c r="Q28" i="6"/>
  <c r="P28" i="6"/>
  <c r="O28" i="6"/>
  <c r="N28" i="6"/>
  <c r="U27" i="6"/>
  <c r="T27" i="6"/>
  <c r="S27" i="6"/>
  <c r="R27" i="6"/>
  <c r="Q27" i="6"/>
  <c r="P27" i="6"/>
  <c r="O27" i="6"/>
  <c r="N27" i="6"/>
  <c r="U26" i="6"/>
  <c r="T26" i="6"/>
  <c r="S26" i="6"/>
  <c r="R26" i="6"/>
  <c r="Q26" i="6"/>
  <c r="P26" i="6"/>
  <c r="O26" i="6"/>
  <c r="N26" i="6"/>
  <c r="U25" i="6"/>
  <c r="T25" i="6"/>
  <c r="S25" i="6"/>
  <c r="R25" i="6"/>
  <c r="Q25" i="6"/>
  <c r="P25" i="6"/>
  <c r="O25" i="6"/>
  <c r="N25" i="6"/>
  <c r="U24" i="6"/>
  <c r="T24" i="6"/>
  <c r="S24" i="6"/>
  <c r="R24" i="6"/>
  <c r="Q24" i="6"/>
  <c r="P24" i="6"/>
  <c r="O24" i="6"/>
  <c r="N24" i="6"/>
  <c r="U23" i="6"/>
  <c r="T23" i="6"/>
  <c r="S23" i="6"/>
  <c r="R23" i="6"/>
  <c r="Q23" i="6"/>
  <c r="P23" i="6"/>
  <c r="O23" i="6"/>
  <c r="N23" i="6"/>
  <c r="U22" i="6"/>
  <c r="T22" i="6"/>
  <c r="S22" i="6"/>
  <c r="R22" i="6"/>
  <c r="Q22" i="6"/>
  <c r="P22" i="6"/>
  <c r="O22" i="6"/>
  <c r="N22" i="6"/>
  <c r="U21" i="6"/>
  <c r="T21" i="6"/>
  <c r="S21" i="6"/>
  <c r="R21" i="6"/>
  <c r="Q21" i="6"/>
  <c r="P21" i="6"/>
  <c r="O21" i="6"/>
  <c r="N21" i="6"/>
  <c r="U20" i="6"/>
  <c r="T20" i="6"/>
  <c r="S20" i="6"/>
  <c r="R20" i="6"/>
  <c r="Q20" i="6"/>
  <c r="P20" i="6"/>
  <c r="O20" i="6"/>
  <c r="N20" i="6"/>
  <c r="U19" i="6"/>
  <c r="T19" i="6"/>
  <c r="S19" i="6"/>
  <c r="R19" i="6"/>
  <c r="Q19" i="6"/>
  <c r="P19" i="6"/>
  <c r="O19" i="6"/>
  <c r="N19" i="6"/>
  <c r="U18" i="6"/>
  <c r="T18" i="6"/>
  <c r="S18" i="6"/>
  <c r="R18" i="6"/>
  <c r="Q18" i="6"/>
  <c r="P18" i="6"/>
  <c r="O18" i="6"/>
  <c r="N18" i="6"/>
  <c r="U17" i="6"/>
  <c r="T17" i="6"/>
  <c r="S17" i="6"/>
  <c r="R17" i="6"/>
  <c r="Q17" i="6"/>
  <c r="P17" i="6"/>
  <c r="O17" i="6"/>
  <c r="N17" i="6"/>
  <c r="U16" i="6"/>
  <c r="T16" i="6"/>
  <c r="S16" i="6"/>
  <c r="R16" i="6"/>
  <c r="Q16" i="6"/>
  <c r="P16" i="6"/>
  <c r="O16" i="6"/>
  <c r="N16" i="6"/>
  <c r="U15" i="6"/>
  <c r="T15" i="6"/>
  <c r="S15" i="6"/>
  <c r="R15" i="6"/>
  <c r="Q15" i="6"/>
  <c r="P15" i="6"/>
  <c r="O15" i="6"/>
  <c r="N15" i="6"/>
  <c r="U14" i="6"/>
  <c r="T14" i="6"/>
  <c r="S14" i="6"/>
  <c r="R14" i="6"/>
  <c r="Q14" i="6"/>
  <c r="P14" i="6"/>
  <c r="O14" i="6"/>
  <c r="N14" i="6"/>
  <c r="U13" i="6"/>
  <c r="T13" i="6"/>
  <c r="S13" i="6"/>
  <c r="R13" i="6"/>
  <c r="Q13" i="6"/>
  <c r="P13" i="6"/>
  <c r="O13" i="6"/>
  <c r="N13" i="6"/>
  <c r="U12" i="6"/>
  <c r="T12" i="6"/>
  <c r="S12" i="6"/>
  <c r="R12" i="6"/>
  <c r="Q12" i="6"/>
  <c r="P12" i="6"/>
  <c r="O12" i="6"/>
  <c r="N12" i="6"/>
  <c r="U11" i="6"/>
  <c r="T11" i="6"/>
  <c r="S11" i="6"/>
  <c r="R11" i="6"/>
  <c r="Q11" i="6"/>
  <c r="P11" i="6"/>
  <c r="O11" i="6"/>
  <c r="N11" i="6"/>
  <c r="H17" i="5"/>
  <c r="F17" i="5"/>
  <c r="E17" i="5"/>
  <c r="H16" i="5"/>
  <c r="F16" i="5"/>
  <c r="E16" i="5"/>
  <c r="H15" i="5"/>
  <c r="F15" i="5"/>
  <c r="E15" i="5"/>
  <c r="H14" i="5"/>
  <c r="F14" i="5"/>
  <c r="E14" i="5"/>
  <c r="H13" i="5"/>
  <c r="F13" i="5"/>
  <c r="E13" i="5"/>
  <c r="H12" i="5"/>
  <c r="F12" i="5"/>
  <c r="E12" i="5"/>
  <c r="H11" i="5"/>
  <c r="F11" i="5"/>
  <c r="E11" i="5"/>
  <c r="H10" i="5"/>
  <c r="F10" i="5"/>
  <c r="E10" i="5"/>
  <c r="J6" i="5"/>
  <c r="I6" i="5"/>
  <c r="H6" i="5"/>
  <c r="G6" i="5"/>
  <c r="F6" i="5"/>
  <c r="E6" i="5"/>
  <c r="D6" i="5"/>
  <c r="C6" i="5"/>
  <c r="B6" i="5"/>
  <c r="A6" i="5"/>
  <c r="I5" i="5"/>
  <c r="D14" i="5" s="1"/>
  <c r="G14" i="5" s="1"/>
  <c r="H5" i="5"/>
  <c r="D13" i="5" s="1"/>
  <c r="G13" i="5" s="1"/>
  <c r="G5" i="5"/>
  <c r="D12" i="5" s="1"/>
  <c r="G12" i="5" s="1"/>
  <c r="F5" i="5"/>
  <c r="D11" i="5" s="1"/>
  <c r="G11" i="5" s="1"/>
  <c r="E5" i="5"/>
  <c r="D10" i="5" s="1"/>
  <c r="G10" i="5" s="1"/>
  <c r="D5" i="5"/>
  <c r="D15" i="5" s="1"/>
  <c r="G15" i="5" s="1"/>
  <c r="C5" i="5"/>
  <c r="B5" i="5"/>
  <c r="A5" i="5"/>
  <c r="F28" i="4"/>
  <c r="C28" i="4"/>
  <c r="E28" i="4" s="1"/>
  <c r="B28" i="4"/>
  <c r="F27" i="4"/>
  <c r="C27" i="4"/>
  <c r="E27" i="4" s="1"/>
  <c r="D30" i="4" s="1"/>
  <c r="B27" i="4"/>
  <c r="O21" i="4"/>
  <c r="N21" i="4"/>
  <c r="O20" i="4"/>
  <c r="N20" i="4"/>
  <c r="O19" i="4"/>
  <c r="N19" i="4"/>
  <c r="O18" i="4"/>
  <c r="N18" i="4"/>
  <c r="O17" i="4"/>
  <c r="N17" i="4"/>
  <c r="O16" i="4"/>
  <c r="N16" i="4"/>
  <c r="O15" i="4"/>
  <c r="N15" i="4"/>
  <c r="O14" i="4"/>
  <c r="N14" i="4"/>
  <c r="O13" i="4"/>
  <c r="K6" i="5" s="1"/>
  <c r="N13" i="4"/>
  <c r="D27" i="4" s="1"/>
  <c r="O12" i="4"/>
  <c r="K5" i="5" s="1"/>
  <c r="D16" i="5" s="1"/>
  <c r="N12" i="4"/>
  <c r="D28" i="4" s="1"/>
  <c r="O11" i="4"/>
  <c r="N11" i="4"/>
  <c r="O10" i="4"/>
  <c r="N10" i="4"/>
  <c r="O9" i="4"/>
  <c r="N9" i="4"/>
  <c r="O8" i="4"/>
  <c r="N8" i="4"/>
  <c r="O7" i="4"/>
  <c r="N7" i="4"/>
  <c r="O6" i="4"/>
  <c r="N6" i="4"/>
  <c r="O5" i="4"/>
  <c r="N5" i="4"/>
  <c r="D39" i="3"/>
  <c r="D38" i="3"/>
  <c r="D37" i="3"/>
  <c r="B31" i="3"/>
  <c r="C31" i="3" s="1"/>
  <c r="B30" i="3"/>
  <c r="C30" i="3" s="1"/>
  <c r="B29" i="3"/>
  <c r="C29" i="3" s="1"/>
  <c r="B28" i="3"/>
  <c r="C28" i="3" s="1"/>
  <c r="B27" i="3"/>
  <c r="C27" i="3" s="1"/>
  <c r="B26" i="3"/>
  <c r="C26" i="3" s="1"/>
  <c r="B25" i="3"/>
  <c r="C25" i="3" s="1"/>
  <c r="B24" i="3"/>
  <c r="C24" i="3" s="1"/>
  <c r="B23" i="3"/>
  <c r="C23" i="3" s="1"/>
  <c r="B22" i="3"/>
  <c r="C22" i="3" s="1"/>
  <c r="C16" i="3"/>
  <c r="C15" i="3"/>
  <c r="C14" i="3"/>
  <c r="C13" i="3"/>
  <c r="C12" i="3"/>
  <c r="D8" i="3"/>
  <c r="D7" i="3"/>
  <c r="B26" i="2"/>
  <c r="I14" i="13" l="1"/>
  <c r="J6" i="14"/>
  <c r="I13" i="13"/>
  <c r="I6" i="14"/>
  <c r="I12" i="13"/>
  <c r="H6" i="14"/>
  <c r="I11" i="13"/>
  <c r="G6" i="14"/>
  <c r="I10" i="13"/>
  <c r="F6" i="14"/>
  <c r="I15" i="13"/>
  <c r="K6" i="14"/>
  <c r="F34" i="15"/>
  <c r="F35" i="15"/>
  <c r="F36" i="15"/>
  <c r="F37" i="15"/>
  <c r="F38" i="15"/>
  <c r="G16" i="13"/>
  <c r="B7" i="15"/>
  <c r="I14" i="9"/>
  <c r="J6" i="10"/>
  <c r="I13" i="9"/>
  <c r="I6" i="10"/>
  <c r="I12" i="9"/>
  <c r="H6" i="10"/>
  <c r="I11" i="9"/>
  <c r="G6" i="10"/>
  <c r="I10" i="9"/>
  <c r="F6" i="10"/>
  <c r="I15" i="9"/>
  <c r="K6" i="10"/>
  <c r="F32" i="11"/>
  <c r="F33" i="11"/>
  <c r="F34" i="11"/>
  <c r="G16" i="9"/>
  <c r="B7" i="11"/>
  <c r="I14" i="5"/>
  <c r="J6" i="6"/>
  <c r="I13" i="5"/>
  <c r="I6" i="6"/>
  <c r="I12" i="5"/>
  <c r="H6" i="6"/>
  <c r="I11" i="5"/>
  <c r="G6" i="6"/>
  <c r="I10" i="5"/>
  <c r="F6" i="6"/>
  <c r="I15" i="5"/>
  <c r="K6" i="6"/>
  <c r="F34" i="7"/>
  <c r="F35" i="7"/>
  <c r="F36" i="7"/>
  <c r="F37" i="7"/>
  <c r="F38" i="7"/>
  <c r="G16" i="5"/>
  <c r="B7" i="7"/>
  <c r="D17" i="13"/>
  <c r="G17" i="13" s="1"/>
  <c r="D17" i="9"/>
  <c r="G17" i="9" s="1"/>
  <c r="D17" i="5"/>
  <c r="G17" i="5" s="1"/>
  <c r="Z11" i="14" l="1"/>
  <c r="Z12" i="14"/>
  <c r="Z13" i="14"/>
  <c r="Z14" i="14"/>
  <c r="Z15" i="14"/>
  <c r="Z16" i="14"/>
  <c r="Z17" i="14"/>
  <c r="Z18" i="14"/>
  <c r="Z19" i="14"/>
  <c r="Z20" i="14"/>
  <c r="Z21" i="14"/>
  <c r="Z22" i="14"/>
  <c r="Z23" i="14"/>
  <c r="Z24" i="14"/>
  <c r="Z25" i="14"/>
  <c r="Z26" i="14"/>
  <c r="Z27" i="14"/>
  <c r="Z28" i="14"/>
  <c r="Z29" i="14"/>
  <c r="Z30" i="14"/>
  <c r="Z31" i="14"/>
  <c r="Z32" i="14"/>
  <c r="Z33" i="14"/>
  <c r="Z34" i="14"/>
  <c r="Z35" i="14"/>
  <c r="Z36" i="14"/>
  <c r="Z37" i="14"/>
  <c r="Z38" i="14"/>
  <c r="Z39" i="14"/>
  <c r="Z40" i="14"/>
  <c r="Z41" i="14"/>
  <c r="Z42" i="14"/>
  <c r="Z43" i="14"/>
  <c r="Z44" i="14"/>
  <c r="Z45" i="14"/>
  <c r="Z46" i="14"/>
  <c r="Z47" i="14"/>
  <c r="Z48" i="14"/>
  <c r="Z49" i="14"/>
  <c r="Z50" i="14"/>
  <c r="Z51" i="14"/>
  <c r="Z52" i="14"/>
  <c r="Z53" i="14"/>
  <c r="Z56" i="14"/>
  <c r="Z57" i="14"/>
  <c r="Z59" i="14"/>
  <c r="Z60" i="14"/>
  <c r="Z61" i="14"/>
  <c r="Z62" i="14"/>
  <c r="Z63" i="14"/>
  <c r="Z64" i="14"/>
  <c r="Z65" i="14"/>
  <c r="Z66" i="14"/>
  <c r="Z70" i="14"/>
  <c r="Z71" i="14"/>
  <c r="Z75" i="14"/>
  <c r="Z77" i="14"/>
  <c r="Z78" i="14"/>
  <c r="Z80" i="14"/>
  <c r="Z82" i="14"/>
  <c r="Z85" i="14"/>
  <c r="Z87" i="14"/>
  <c r="Z107" i="14"/>
  <c r="Z108" i="14"/>
  <c r="Z110" i="14"/>
  <c r="Z111" i="14"/>
  <c r="Z112" i="14"/>
  <c r="Z116" i="14"/>
  <c r="Z118" i="14"/>
  <c r="Z119" i="14"/>
  <c r="Z120" i="14"/>
  <c r="Z124" i="14"/>
  <c r="Z126" i="14"/>
  <c r="Z131" i="14"/>
  <c r="Z135" i="14"/>
  <c r="Z136" i="14"/>
  <c r="Z139" i="14"/>
  <c r="Z142" i="14"/>
  <c r="Z144" i="14"/>
  <c r="Z145" i="14"/>
  <c r="Z147" i="14"/>
  <c r="Z150" i="14"/>
  <c r="Z151" i="14"/>
  <c r="Z154" i="14"/>
  <c r="Z155" i="14"/>
  <c r="Z156" i="14"/>
  <c r="Z159" i="14"/>
  <c r="Z160" i="14"/>
  <c r="Z161" i="14"/>
  <c r="Z165" i="14"/>
  <c r="Z167" i="14"/>
  <c r="Z168" i="14"/>
  <c r="Z170" i="14"/>
  <c r="Z171" i="14"/>
  <c r="Z172" i="14"/>
  <c r="Z173" i="14"/>
  <c r="Z174" i="14"/>
  <c r="Z205" i="14"/>
  <c r="Z206" i="14"/>
  <c r="Z207" i="14"/>
  <c r="Z208" i="14"/>
  <c r="Z55" i="14"/>
  <c r="Z58" i="14"/>
  <c r="Z67" i="14"/>
  <c r="Z68" i="14"/>
  <c r="Z69" i="14"/>
  <c r="Z72" i="14"/>
  <c r="Z73" i="14"/>
  <c r="Z74" i="14"/>
  <c r="Z76" i="14"/>
  <c r="Z79" i="14"/>
  <c r="Z81" i="14"/>
  <c r="Z83" i="14"/>
  <c r="Z84" i="14"/>
  <c r="Z86" i="14"/>
  <c r="Z88" i="14"/>
  <c r="Z89" i="14"/>
  <c r="Z90" i="14"/>
  <c r="Z91" i="14"/>
  <c r="Z92" i="14"/>
  <c r="Z93" i="14"/>
  <c r="Z94" i="14"/>
  <c r="Z95" i="14"/>
  <c r="Z96" i="14"/>
  <c r="Z97" i="14"/>
  <c r="Z98" i="14"/>
  <c r="Z99" i="14"/>
  <c r="Z100" i="14"/>
  <c r="Z101" i="14"/>
  <c r="Z102" i="14"/>
  <c r="Z103" i="14"/>
  <c r="Z104" i="14"/>
  <c r="Z105" i="14"/>
  <c r="Z106" i="14"/>
  <c r="Z109" i="14"/>
  <c r="Z113" i="14"/>
  <c r="Z114" i="14"/>
  <c r="Z115" i="14"/>
  <c r="Z117" i="14"/>
  <c r="Z121" i="14"/>
  <c r="Z122" i="14"/>
  <c r="Z123" i="14"/>
  <c r="Z125" i="14"/>
  <c r="Z127" i="14"/>
  <c r="Z128" i="14"/>
  <c r="Z129" i="14"/>
  <c r="Z130" i="14"/>
  <c r="Z132" i="14"/>
  <c r="Z133" i="14"/>
  <c r="Z134" i="14"/>
  <c r="Z137" i="14"/>
  <c r="Z138" i="14"/>
  <c r="Z140" i="14"/>
  <c r="Z141" i="14"/>
  <c r="Z143" i="14"/>
  <c r="Z146" i="14"/>
  <c r="Z148" i="14"/>
  <c r="Z149" i="14"/>
  <c r="Z152" i="14"/>
  <c r="Z153" i="14"/>
  <c r="Z157" i="14"/>
  <c r="Z158" i="14"/>
  <c r="Z162" i="14"/>
  <c r="Z163" i="14"/>
  <c r="Z164" i="14"/>
  <c r="Z166" i="14"/>
  <c r="Z169" i="14"/>
  <c r="Z175" i="14"/>
  <c r="Z176" i="14"/>
  <c r="Z177" i="14"/>
  <c r="Z178" i="14"/>
  <c r="Z179" i="14"/>
  <c r="Z180" i="14"/>
  <c r="Z181" i="14"/>
  <c r="Z182" i="14"/>
  <c r="Z183" i="14"/>
  <c r="Z184" i="14"/>
  <c r="Z185" i="14"/>
  <c r="Z186" i="14"/>
  <c r="Z187" i="14"/>
  <c r="Z188" i="14"/>
  <c r="Z189" i="14"/>
  <c r="Z190" i="14"/>
  <c r="Z191" i="14"/>
  <c r="Z192" i="14"/>
  <c r="Z193" i="14"/>
  <c r="Z194" i="14"/>
  <c r="Z195" i="14"/>
  <c r="Z196" i="14"/>
  <c r="Z197" i="14"/>
  <c r="Z198" i="14"/>
  <c r="Z199" i="14"/>
  <c r="Z200" i="14"/>
  <c r="Z201" i="14"/>
  <c r="Z202" i="14"/>
  <c r="Z203" i="14"/>
  <c r="Z204" i="14"/>
  <c r="Z209" i="14"/>
  <c r="Z210" i="14"/>
  <c r="Z211" i="14"/>
  <c r="Z212" i="14"/>
  <c r="Z213" i="14"/>
  <c r="Z214" i="14"/>
  <c r="Z215" i="14"/>
  <c r="Z216" i="14"/>
  <c r="Z217" i="14"/>
  <c r="Z218" i="14"/>
  <c r="Z219" i="14"/>
  <c r="Z220" i="14"/>
  <c r="Z221" i="14"/>
  <c r="Z222" i="14"/>
  <c r="Z223" i="14"/>
  <c r="Z224" i="14"/>
  <c r="Z225" i="14"/>
  <c r="Z226" i="14"/>
  <c r="Z227" i="14"/>
  <c r="Z228" i="14"/>
  <c r="Z229" i="14"/>
  <c r="Z230" i="14"/>
  <c r="Z231" i="14"/>
  <c r="Z232" i="14"/>
  <c r="Z233" i="14"/>
  <c r="Z234" i="14"/>
  <c r="Z235" i="14"/>
  <c r="Z236" i="14"/>
  <c r="Z237" i="14"/>
  <c r="Z238" i="14"/>
  <c r="Z239" i="14"/>
  <c r="Z240" i="14"/>
  <c r="Z241" i="14"/>
  <c r="Z242" i="14"/>
  <c r="Z243" i="14"/>
  <c r="Z244" i="14"/>
  <c r="Z245" i="14"/>
  <c r="Z246" i="14"/>
  <c r="Z247" i="14"/>
  <c r="Z248" i="14"/>
  <c r="Z249" i="14"/>
  <c r="Z250" i="14"/>
  <c r="Z251" i="14"/>
  <c r="Z252" i="14"/>
  <c r="Z253" i="14"/>
  <c r="Z254" i="14"/>
  <c r="Z255" i="14"/>
  <c r="Z256" i="14"/>
  <c r="Z257" i="14"/>
  <c r="Z258" i="14"/>
  <c r="Z259" i="14"/>
  <c r="Z260" i="14"/>
  <c r="Z261" i="14"/>
  <c r="Z262" i="14"/>
  <c r="Z263" i="14"/>
  <c r="Z264" i="14"/>
  <c r="Z265" i="14"/>
  <c r="Z266" i="14"/>
  <c r="Z267" i="14"/>
  <c r="Z268" i="14"/>
  <c r="Z269" i="14"/>
  <c r="Z270" i="14"/>
  <c r="Z271" i="14"/>
  <c r="Z272" i="14"/>
  <c r="Z273" i="14"/>
  <c r="Z274" i="14"/>
  <c r="Z275" i="14"/>
  <c r="Z276" i="14"/>
  <c r="Z277" i="14"/>
  <c r="Z278" i="14"/>
  <c r="Z279" i="14"/>
  <c r="Z280" i="14"/>
  <c r="Z281" i="14"/>
  <c r="Z282" i="14"/>
  <c r="Z283" i="14"/>
  <c r="Z284" i="14"/>
  <c r="Z285" i="14"/>
  <c r="Z286" i="14"/>
  <c r="Z287" i="14"/>
  <c r="Z288" i="14"/>
  <c r="Z289" i="14"/>
  <c r="Z290" i="14"/>
  <c r="Z291" i="14"/>
  <c r="Z292" i="14"/>
  <c r="Z293" i="14"/>
  <c r="Z294" i="14"/>
  <c r="Z295" i="14"/>
  <c r="Z296" i="14"/>
  <c r="Z297" i="14"/>
  <c r="Z298" i="14"/>
  <c r="Z299" i="14"/>
  <c r="Z300" i="14"/>
  <c r="Z301" i="14"/>
  <c r="Z302" i="14"/>
  <c r="Z303" i="14"/>
  <c r="Z304" i="14"/>
  <c r="Z305" i="14"/>
  <c r="Z306" i="14"/>
  <c r="Z307" i="14"/>
  <c r="Z308" i="14"/>
  <c r="Z309" i="14"/>
  <c r="Z310" i="14"/>
  <c r="Z311" i="14"/>
  <c r="Z312" i="14"/>
  <c r="Z313" i="14"/>
  <c r="Z314" i="14"/>
  <c r="Z315" i="14"/>
  <c r="Z316" i="14"/>
  <c r="Z317" i="14"/>
  <c r="Z318" i="14"/>
  <c r="Z319" i="14"/>
  <c r="Z320" i="14"/>
  <c r="Z321" i="14"/>
  <c r="Z322" i="14"/>
  <c r="Z323" i="14"/>
  <c r="Z324" i="14"/>
  <c r="Z325" i="14"/>
  <c r="Z326" i="14"/>
  <c r="Z327" i="14"/>
  <c r="Z328" i="14"/>
  <c r="Z329" i="14"/>
  <c r="Z330" i="14"/>
  <c r="Z331" i="14"/>
  <c r="Z332" i="14"/>
  <c r="Z333" i="14"/>
  <c r="Z334" i="14"/>
  <c r="Z335" i="14"/>
  <c r="Z336" i="14"/>
  <c r="Z337" i="14"/>
  <c r="Z338" i="14"/>
  <c r="Z339" i="14"/>
  <c r="Z340" i="14"/>
  <c r="Z341" i="14"/>
  <c r="Z342" i="14"/>
  <c r="Z343" i="14"/>
  <c r="Z344" i="14"/>
  <c r="Z345" i="14"/>
  <c r="Z346" i="14"/>
  <c r="Z347" i="14"/>
  <c r="Z348" i="14"/>
  <c r="Z349" i="14"/>
  <c r="Z350" i="14"/>
  <c r="Z351" i="14"/>
  <c r="Z352" i="14"/>
  <c r="Z353" i="14"/>
  <c r="Z354" i="14"/>
  <c r="Z355" i="14"/>
  <c r="Z356" i="14"/>
  <c r="Z357" i="14"/>
  <c r="Z358" i="14"/>
  <c r="Z359" i="14"/>
  <c r="Z360" i="14"/>
  <c r="Z361" i="14"/>
  <c r="Z362" i="14"/>
  <c r="Z363" i="14"/>
  <c r="Z54" i="14"/>
  <c r="Y11" i="14"/>
  <c r="Y12" i="14"/>
  <c r="Y13" i="14"/>
  <c r="Y14" i="14"/>
  <c r="Y15" i="14"/>
  <c r="Y16" i="14"/>
  <c r="Y17" i="14"/>
  <c r="Y18" i="14"/>
  <c r="Y19" i="14"/>
  <c r="Y20" i="14"/>
  <c r="Y21" i="14"/>
  <c r="Y22" i="14"/>
  <c r="Y23" i="14"/>
  <c r="Y24" i="14"/>
  <c r="Y25" i="14"/>
  <c r="Y26" i="14"/>
  <c r="Y27" i="14"/>
  <c r="Y28" i="14"/>
  <c r="Y29" i="14"/>
  <c r="Y30" i="14"/>
  <c r="Y31" i="14"/>
  <c r="Y32" i="14"/>
  <c r="Y33" i="14"/>
  <c r="Y34" i="14"/>
  <c r="Y35" i="14"/>
  <c r="Y36" i="14"/>
  <c r="Y37" i="14"/>
  <c r="Y38" i="14"/>
  <c r="Y39" i="14"/>
  <c r="Y40" i="14"/>
  <c r="Y41" i="14"/>
  <c r="Y42" i="14"/>
  <c r="Y43" i="14"/>
  <c r="Y44" i="14"/>
  <c r="Y45" i="14"/>
  <c r="Y46" i="14"/>
  <c r="Y47" i="14"/>
  <c r="Y48" i="14"/>
  <c r="Y49" i="14"/>
  <c r="Y50" i="14"/>
  <c r="Y51" i="14"/>
  <c r="Y52" i="14"/>
  <c r="Y53" i="14"/>
  <c r="Y55" i="14"/>
  <c r="Y58" i="14"/>
  <c r="Y59" i="14"/>
  <c r="Y65" i="14"/>
  <c r="Y67" i="14"/>
  <c r="Y68" i="14"/>
  <c r="Y69" i="14"/>
  <c r="Y72" i="14"/>
  <c r="Y73" i="14"/>
  <c r="Y74" i="14"/>
  <c r="Y76" i="14"/>
  <c r="Y78" i="14"/>
  <c r="Y81" i="14"/>
  <c r="Y82" i="14"/>
  <c r="Y83" i="14"/>
  <c r="Y85" i="14"/>
  <c r="Y86" i="14"/>
  <c r="Y109" i="14"/>
  <c r="Y111" i="14"/>
  <c r="Y114" i="14"/>
  <c r="Y115" i="14"/>
  <c r="Y117" i="14"/>
  <c r="Y121" i="14"/>
  <c r="Y122" i="14"/>
  <c r="Y123" i="14"/>
  <c r="Y125" i="14"/>
  <c r="Y128" i="14"/>
  <c r="Y132" i="14"/>
  <c r="Y134" i="14"/>
  <c r="Y137" i="14"/>
  <c r="Y138" i="14"/>
  <c r="Y140" i="14"/>
  <c r="Y141" i="14"/>
  <c r="Y142" i="14"/>
  <c r="Y143" i="14"/>
  <c r="Y145" i="14"/>
  <c r="Y146" i="14"/>
  <c r="Y148" i="14"/>
  <c r="Y150" i="14"/>
  <c r="Y152" i="14"/>
  <c r="Y153" i="14"/>
  <c r="Y154" i="14"/>
  <c r="Y157" i="14"/>
  <c r="Y158" i="14"/>
  <c r="Y162" i="14"/>
  <c r="Y163" i="14"/>
  <c r="Y164" i="14"/>
  <c r="Y165" i="14"/>
  <c r="Y166" i="14"/>
  <c r="Y205" i="14"/>
  <c r="Y206" i="14"/>
  <c r="Y207" i="14"/>
  <c r="Y208" i="14"/>
  <c r="Y56" i="14"/>
  <c r="Y57" i="14"/>
  <c r="Y60" i="14"/>
  <c r="Y61" i="14"/>
  <c r="Y62" i="14"/>
  <c r="Y63" i="14"/>
  <c r="Y64" i="14"/>
  <c r="Y66" i="14"/>
  <c r="Y70" i="14"/>
  <c r="Y71" i="14"/>
  <c r="Y75" i="14"/>
  <c r="Y77" i="14"/>
  <c r="Y79" i="14"/>
  <c r="Y80" i="14"/>
  <c r="Y84" i="14"/>
  <c r="Y87" i="14"/>
  <c r="Y88" i="14"/>
  <c r="Y89" i="14"/>
  <c r="Y90" i="14"/>
  <c r="Y91" i="14"/>
  <c r="Y92" i="14"/>
  <c r="Y93" i="14"/>
  <c r="Y94" i="14"/>
  <c r="Y95" i="14"/>
  <c r="Y96" i="14"/>
  <c r="Y97" i="14"/>
  <c r="Y98" i="14"/>
  <c r="Y99" i="14"/>
  <c r="Y100" i="14"/>
  <c r="Y101" i="14"/>
  <c r="Y102" i="14"/>
  <c r="Y103" i="14"/>
  <c r="Y104" i="14"/>
  <c r="Y105" i="14"/>
  <c r="Y106" i="14"/>
  <c r="Y107" i="14"/>
  <c r="Y108" i="14"/>
  <c r="Y110" i="14"/>
  <c r="Y112" i="14"/>
  <c r="Y113" i="14"/>
  <c r="Y116" i="14"/>
  <c r="Y118" i="14"/>
  <c r="Y119" i="14"/>
  <c r="Y120" i="14"/>
  <c r="Y124" i="14"/>
  <c r="Y126" i="14"/>
  <c r="Y127" i="14"/>
  <c r="Y129" i="14"/>
  <c r="Y130" i="14"/>
  <c r="Y131" i="14"/>
  <c r="Y133" i="14"/>
  <c r="Y135" i="14"/>
  <c r="Y136" i="14"/>
  <c r="Y139" i="14"/>
  <c r="Y144" i="14"/>
  <c r="Y147" i="14"/>
  <c r="Y149" i="14"/>
  <c r="Y151" i="14"/>
  <c r="Y155" i="14"/>
  <c r="Y156" i="14"/>
  <c r="Y159" i="14"/>
  <c r="Y160" i="14"/>
  <c r="Y161" i="14"/>
  <c r="Y167" i="14"/>
  <c r="Y168" i="14"/>
  <c r="Y169" i="14"/>
  <c r="Y170" i="14"/>
  <c r="Y171" i="14"/>
  <c r="Y172" i="14"/>
  <c r="Y173" i="14"/>
  <c r="Y174" i="14"/>
  <c r="Y175" i="14"/>
  <c r="Y176" i="14"/>
  <c r="Y177" i="14"/>
  <c r="Y178" i="14"/>
  <c r="Y179" i="14"/>
  <c r="Y180" i="14"/>
  <c r="Y181" i="14"/>
  <c r="Y182" i="14"/>
  <c r="Y183" i="14"/>
  <c r="Y184" i="14"/>
  <c r="Y185" i="14"/>
  <c r="Y186" i="14"/>
  <c r="Y187" i="14"/>
  <c r="Y188" i="14"/>
  <c r="Y189" i="14"/>
  <c r="Y190" i="14"/>
  <c r="Y191" i="14"/>
  <c r="Y192" i="14"/>
  <c r="Y193" i="14"/>
  <c r="Y194" i="14"/>
  <c r="Y195" i="14"/>
  <c r="Y196" i="14"/>
  <c r="Y197" i="14"/>
  <c r="Y198" i="14"/>
  <c r="Y199" i="14"/>
  <c r="Y200" i="14"/>
  <c r="Y201" i="14"/>
  <c r="Y202" i="14"/>
  <c r="Y203" i="14"/>
  <c r="Y204" i="14"/>
  <c r="Y209" i="14"/>
  <c r="Y210" i="14"/>
  <c r="Y211" i="14"/>
  <c r="Y212" i="14"/>
  <c r="Y213" i="14"/>
  <c r="Y214" i="14"/>
  <c r="Y215" i="14"/>
  <c r="Y216" i="14"/>
  <c r="Y217" i="14"/>
  <c r="Y218" i="14"/>
  <c r="Y219" i="14"/>
  <c r="Y220" i="14"/>
  <c r="Y221" i="14"/>
  <c r="Y222" i="14"/>
  <c r="Y223" i="14"/>
  <c r="Y224" i="14"/>
  <c r="Y225" i="14"/>
  <c r="Y226" i="14"/>
  <c r="Y227" i="14"/>
  <c r="Y228" i="14"/>
  <c r="Y229" i="14"/>
  <c r="Y230" i="14"/>
  <c r="Y231" i="14"/>
  <c r="Y232" i="14"/>
  <c r="Y233" i="14"/>
  <c r="Y234" i="14"/>
  <c r="Y235" i="14"/>
  <c r="Y236" i="14"/>
  <c r="Y237" i="14"/>
  <c r="Y238" i="14"/>
  <c r="Y239" i="14"/>
  <c r="Y240" i="14"/>
  <c r="Y241" i="14"/>
  <c r="Y242" i="14"/>
  <c r="Y243" i="14"/>
  <c r="Y244" i="14"/>
  <c r="Y245" i="14"/>
  <c r="Y246" i="14"/>
  <c r="Y247" i="14"/>
  <c r="Y248" i="14"/>
  <c r="Y249" i="14"/>
  <c r="Y250" i="14"/>
  <c r="Y251" i="14"/>
  <c r="Y252" i="14"/>
  <c r="Y253" i="14"/>
  <c r="Y254" i="14"/>
  <c r="Y255" i="14"/>
  <c r="Y256" i="14"/>
  <c r="Y257" i="14"/>
  <c r="Y258" i="14"/>
  <c r="Y259" i="14"/>
  <c r="Y260" i="14"/>
  <c r="Y261" i="14"/>
  <c r="Y262" i="14"/>
  <c r="Y263" i="14"/>
  <c r="Y264" i="14"/>
  <c r="Y265" i="14"/>
  <c r="Y266" i="14"/>
  <c r="Y267" i="14"/>
  <c r="Y268" i="14"/>
  <c r="Y269" i="14"/>
  <c r="Y270" i="14"/>
  <c r="Y271" i="14"/>
  <c r="Y272" i="14"/>
  <c r="Y273" i="14"/>
  <c r="Y274" i="14"/>
  <c r="Y275" i="14"/>
  <c r="Y276" i="14"/>
  <c r="Y277" i="14"/>
  <c r="Y278" i="14"/>
  <c r="Y279" i="14"/>
  <c r="Y280" i="14"/>
  <c r="Y281" i="14"/>
  <c r="Y282" i="14"/>
  <c r="Y283" i="14"/>
  <c r="Y284" i="14"/>
  <c r="Y285" i="14"/>
  <c r="Y286" i="14"/>
  <c r="Y287" i="14"/>
  <c r="Y288" i="14"/>
  <c r="Y289" i="14"/>
  <c r="Y290" i="14"/>
  <c r="Y291" i="14"/>
  <c r="Y292" i="14"/>
  <c r="Y293" i="14"/>
  <c r="Y294" i="14"/>
  <c r="Y295" i="14"/>
  <c r="Y296" i="14"/>
  <c r="Y297" i="14"/>
  <c r="Y298" i="14"/>
  <c r="Y299" i="14"/>
  <c r="Y300" i="14"/>
  <c r="Y301" i="14"/>
  <c r="Y302" i="14"/>
  <c r="Y303" i="14"/>
  <c r="Y304" i="14"/>
  <c r="Y305" i="14"/>
  <c r="Y306" i="14"/>
  <c r="Y307" i="14"/>
  <c r="Y308" i="14"/>
  <c r="Y309" i="14"/>
  <c r="Y310" i="14"/>
  <c r="Y311" i="14"/>
  <c r="Y312" i="14"/>
  <c r="Y313" i="14"/>
  <c r="Y314" i="14"/>
  <c r="Y315" i="14"/>
  <c r="Y316" i="14"/>
  <c r="Y317" i="14"/>
  <c r="Y318" i="14"/>
  <c r="Y319" i="14"/>
  <c r="Y320" i="14"/>
  <c r="Y321" i="14"/>
  <c r="Y322" i="14"/>
  <c r="Y323" i="14"/>
  <c r="Y324" i="14"/>
  <c r="Y325" i="14"/>
  <c r="Y326" i="14"/>
  <c r="Y327" i="14"/>
  <c r="Y328" i="14"/>
  <c r="Y329" i="14"/>
  <c r="Y330" i="14"/>
  <c r="Y331" i="14"/>
  <c r="Y332" i="14"/>
  <c r="Y333" i="14"/>
  <c r="Y334" i="14"/>
  <c r="Y335" i="14"/>
  <c r="Y336" i="14"/>
  <c r="Y337" i="14"/>
  <c r="Y338" i="14"/>
  <c r="Y339" i="14"/>
  <c r="Y340" i="14"/>
  <c r="Y341" i="14"/>
  <c r="Y342" i="14"/>
  <c r="Y343" i="14"/>
  <c r="Y344" i="14"/>
  <c r="Y345" i="14"/>
  <c r="Y346" i="14"/>
  <c r="Y347" i="14"/>
  <c r="Y348" i="14"/>
  <c r="Y349" i="14"/>
  <c r="Y350" i="14"/>
  <c r="Y351" i="14"/>
  <c r="Y352" i="14"/>
  <c r="Y353" i="14"/>
  <c r="Y354" i="14"/>
  <c r="Y355" i="14"/>
  <c r="Y356" i="14"/>
  <c r="Y357" i="14"/>
  <c r="Y358" i="14"/>
  <c r="Y359" i="14"/>
  <c r="Y360" i="14"/>
  <c r="Y361" i="14"/>
  <c r="Y362" i="14"/>
  <c r="Y363" i="14"/>
  <c r="Y54"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7" i="14"/>
  <c r="X60" i="14"/>
  <c r="X61" i="14"/>
  <c r="X62" i="14"/>
  <c r="X64" i="14"/>
  <c r="X66" i="14"/>
  <c r="X67" i="14"/>
  <c r="X70" i="14"/>
  <c r="X71" i="14"/>
  <c r="X74" i="14"/>
  <c r="X75" i="14"/>
  <c r="X76" i="14"/>
  <c r="X77" i="14"/>
  <c r="X79" i="14"/>
  <c r="X84" i="14"/>
  <c r="X87" i="14"/>
  <c r="X88" i="14"/>
  <c r="X108" i="14"/>
  <c r="X110" i="14"/>
  <c r="X111" i="14"/>
  <c r="X112" i="14"/>
  <c r="X115" i="14"/>
  <c r="X116" i="14"/>
  <c r="X118" i="14"/>
  <c r="X119" i="14"/>
  <c r="X120" i="14"/>
  <c r="X124" i="14"/>
  <c r="X126" i="14"/>
  <c r="X127" i="14"/>
  <c r="X129" i="14"/>
  <c r="X130" i="14"/>
  <c r="X133" i="14"/>
  <c r="X135" i="14"/>
  <c r="X139" i="14"/>
  <c r="X143" i="14"/>
  <c r="X144" i="14"/>
  <c r="X147" i="14"/>
  <c r="X149" i="14"/>
  <c r="X151" i="14"/>
  <c r="X152" i="14"/>
  <c r="X155" i="14"/>
  <c r="X159" i="14"/>
  <c r="X160" i="14"/>
  <c r="X161" i="14"/>
  <c r="X164" i="14"/>
  <c r="X167" i="14"/>
  <c r="X168" i="14"/>
  <c r="X169" i="14"/>
  <c r="X170" i="14"/>
  <c r="X171" i="14"/>
  <c r="X172" i="14"/>
  <c r="X173" i="14"/>
  <c r="X174" i="14"/>
  <c r="X205" i="14"/>
  <c r="X206" i="14"/>
  <c r="X207" i="14"/>
  <c r="X208" i="14"/>
  <c r="X53" i="14"/>
  <c r="X55" i="14"/>
  <c r="X56" i="14"/>
  <c r="X58" i="14"/>
  <c r="X59" i="14"/>
  <c r="X63" i="14"/>
  <c r="X65" i="14"/>
  <c r="X68" i="14"/>
  <c r="X69" i="14"/>
  <c r="X72" i="14"/>
  <c r="X73" i="14"/>
  <c r="X78" i="14"/>
  <c r="X80" i="14"/>
  <c r="X81" i="14"/>
  <c r="X82" i="14"/>
  <c r="X83" i="14"/>
  <c r="X85" i="14"/>
  <c r="X86" i="14"/>
  <c r="X89" i="14"/>
  <c r="X90" i="14"/>
  <c r="X91" i="14"/>
  <c r="X92" i="14"/>
  <c r="X93" i="14"/>
  <c r="X94" i="14"/>
  <c r="X95" i="14"/>
  <c r="X96" i="14"/>
  <c r="X97" i="14"/>
  <c r="X98" i="14"/>
  <c r="X99" i="14"/>
  <c r="X100" i="14"/>
  <c r="X101" i="14"/>
  <c r="X102" i="14"/>
  <c r="X103" i="14"/>
  <c r="X104" i="14"/>
  <c r="X105" i="14"/>
  <c r="X106" i="14"/>
  <c r="X107" i="14"/>
  <c r="X109" i="14"/>
  <c r="X113" i="14"/>
  <c r="X114" i="14"/>
  <c r="X117" i="14"/>
  <c r="X121" i="14"/>
  <c r="X122" i="14"/>
  <c r="X123" i="14"/>
  <c r="X125" i="14"/>
  <c r="X128" i="14"/>
  <c r="X131" i="14"/>
  <c r="X132" i="14"/>
  <c r="X134" i="14"/>
  <c r="X136" i="14"/>
  <c r="X137" i="14"/>
  <c r="X138" i="14"/>
  <c r="X140" i="14"/>
  <c r="X141" i="14"/>
  <c r="X142" i="14"/>
  <c r="X145" i="14"/>
  <c r="X146" i="14"/>
  <c r="X148" i="14"/>
  <c r="X150" i="14"/>
  <c r="X153" i="14"/>
  <c r="X154" i="14"/>
  <c r="X156" i="14"/>
  <c r="X157" i="14"/>
  <c r="X158" i="14"/>
  <c r="X162" i="14"/>
  <c r="X163" i="14"/>
  <c r="X165" i="14"/>
  <c r="X166" i="14"/>
  <c r="X175" i="14"/>
  <c r="X176" i="14"/>
  <c r="X177" i="14"/>
  <c r="X178" i="14"/>
  <c r="X179" i="14"/>
  <c r="X180" i="14"/>
  <c r="X181" i="14"/>
  <c r="X182" i="14"/>
  <c r="X183" i="14"/>
  <c r="X184" i="14"/>
  <c r="X185" i="14"/>
  <c r="X186" i="14"/>
  <c r="X187" i="14"/>
  <c r="X188" i="14"/>
  <c r="X189" i="14"/>
  <c r="X190" i="14"/>
  <c r="X191" i="14"/>
  <c r="X192" i="14"/>
  <c r="X193" i="14"/>
  <c r="X194" i="14"/>
  <c r="X195" i="14"/>
  <c r="X196" i="14"/>
  <c r="X197" i="14"/>
  <c r="X198" i="14"/>
  <c r="X199" i="14"/>
  <c r="X200" i="14"/>
  <c r="X201" i="14"/>
  <c r="X202" i="14"/>
  <c r="X203" i="14"/>
  <c r="X204" i="14"/>
  <c r="X209" i="14"/>
  <c r="X210" i="14"/>
  <c r="X211" i="14"/>
  <c r="X212" i="14"/>
  <c r="X213" i="14"/>
  <c r="X214" i="14"/>
  <c r="X215" i="14"/>
  <c r="X216" i="14"/>
  <c r="X217" i="14"/>
  <c r="X218" i="14"/>
  <c r="X219" i="14"/>
  <c r="X220" i="14"/>
  <c r="X221" i="14"/>
  <c r="X222" i="14"/>
  <c r="X223" i="14"/>
  <c r="X224" i="14"/>
  <c r="X225" i="14"/>
  <c r="X226" i="14"/>
  <c r="X227" i="14"/>
  <c r="X228" i="14"/>
  <c r="X230" i="14"/>
  <c r="X231" i="14"/>
  <c r="X232" i="14"/>
  <c r="X233" i="14"/>
  <c r="X234" i="14"/>
  <c r="X235" i="14"/>
  <c r="X236" i="14"/>
  <c r="X237" i="14"/>
  <c r="X238" i="14"/>
  <c r="X239" i="14"/>
  <c r="X240" i="14"/>
  <c r="X241" i="14"/>
  <c r="X242" i="14"/>
  <c r="X243" i="14"/>
  <c r="X244" i="14"/>
  <c r="X245" i="14"/>
  <c r="X246" i="14"/>
  <c r="X247" i="14"/>
  <c r="X248" i="14"/>
  <c r="X249" i="14"/>
  <c r="X250" i="14"/>
  <c r="X251" i="14"/>
  <c r="X252" i="14"/>
  <c r="X253" i="14"/>
  <c r="X254" i="14"/>
  <c r="X255" i="14"/>
  <c r="X256" i="14"/>
  <c r="X257" i="14"/>
  <c r="X258" i="14"/>
  <c r="X259" i="14"/>
  <c r="X260" i="14"/>
  <c r="X261" i="14"/>
  <c r="X262" i="14"/>
  <c r="X263" i="14"/>
  <c r="X264" i="14"/>
  <c r="X265" i="14"/>
  <c r="X266" i="14"/>
  <c r="X267" i="14"/>
  <c r="X268" i="14"/>
  <c r="X269" i="14"/>
  <c r="X270" i="14"/>
  <c r="X271" i="14"/>
  <c r="X272" i="14"/>
  <c r="X273" i="14"/>
  <c r="X274" i="14"/>
  <c r="X275" i="14"/>
  <c r="X276" i="14"/>
  <c r="X277" i="14"/>
  <c r="X278" i="14"/>
  <c r="X279" i="14"/>
  <c r="X280" i="14"/>
  <c r="X281" i="14"/>
  <c r="X282" i="14"/>
  <c r="X283" i="14"/>
  <c r="X284" i="14"/>
  <c r="X285" i="14"/>
  <c r="X286" i="14"/>
  <c r="X287" i="14"/>
  <c r="X288" i="14"/>
  <c r="X289" i="14"/>
  <c r="X290" i="14"/>
  <c r="X291" i="14"/>
  <c r="X292" i="14"/>
  <c r="X293" i="14"/>
  <c r="X294" i="14"/>
  <c r="X295" i="14"/>
  <c r="X296" i="14"/>
  <c r="X297" i="14"/>
  <c r="X298" i="14"/>
  <c r="X299" i="14"/>
  <c r="X300" i="14"/>
  <c r="X301" i="14"/>
  <c r="X302" i="14"/>
  <c r="X303" i="14"/>
  <c r="X304" i="14"/>
  <c r="X305" i="14"/>
  <c r="X306" i="14"/>
  <c r="X307" i="14"/>
  <c r="X308" i="14"/>
  <c r="X309" i="14"/>
  <c r="X310" i="14"/>
  <c r="X311" i="14"/>
  <c r="X312" i="14"/>
  <c r="X313" i="14"/>
  <c r="X314" i="14"/>
  <c r="X315" i="14"/>
  <c r="X316" i="14"/>
  <c r="X317" i="14"/>
  <c r="X318" i="14"/>
  <c r="X319" i="14"/>
  <c r="X320" i="14"/>
  <c r="X321" i="14"/>
  <c r="X322" i="14"/>
  <c r="X323" i="14"/>
  <c r="X324" i="14"/>
  <c r="X325" i="14"/>
  <c r="X326" i="14"/>
  <c r="X327" i="14"/>
  <c r="X328" i="14"/>
  <c r="X329" i="14"/>
  <c r="X330" i="14"/>
  <c r="X331" i="14"/>
  <c r="X332" i="14"/>
  <c r="X333" i="14"/>
  <c r="X334" i="14"/>
  <c r="X335" i="14"/>
  <c r="X336" i="14"/>
  <c r="X337" i="14"/>
  <c r="X338" i="14"/>
  <c r="X339" i="14"/>
  <c r="X340" i="14"/>
  <c r="X341" i="14"/>
  <c r="X342" i="14"/>
  <c r="X343" i="14"/>
  <c r="X344" i="14"/>
  <c r="X345" i="14"/>
  <c r="X346" i="14"/>
  <c r="X347" i="14"/>
  <c r="X348" i="14"/>
  <c r="X349" i="14"/>
  <c r="X350" i="14"/>
  <c r="X351" i="14"/>
  <c r="X352" i="14"/>
  <c r="X353" i="14"/>
  <c r="X354" i="14"/>
  <c r="X355" i="14"/>
  <c r="X356" i="14"/>
  <c r="X357" i="14"/>
  <c r="X358" i="14"/>
  <c r="X359" i="14"/>
  <c r="X360" i="14"/>
  <c r="X361" i="14"/>
  <c r="X362" i="14"/>
  <c r="X363" i="14"/>
  <c r="X54" i="14"/>
  <c r="X229" i="14"/>
  <c r="W11" i="14"/>
  <c r="W12" i="14"/>
  <c r="W13" i="14"/>
  <c r="W14" i="14"/>
  <c r="W15" i="14"/>
  <c r="W16" i="14"/>
  <c r="W17" i="14"/>
  <c r="W18" i="14"/>
  <c r="W19" i="14"/>
  <c r="W20" i="14"/>
  <c r="W21" i="14"/>
  <c r="W22" i="14"/>
  <c r="W23" i="14"/>
  <c r="W24" i="14"/>
  <c r="W25" i="14"/>
  <c r="W26" i="14"/>
  <c r="W27" i="14"/>
  <c r="W28" i="14"/>
  <c r="W29" i="14"/>
  <c r="W30" i="14"/>
  <c r="W31" i="14"/>
  <c r="W32" i="14"/>
  <c r="W33" i="14"/>
  <c r="W34" i="14"/>
  <c r="W35" i="14"/>
  <c r="W36" i="14"/>
  <c r="W37" i="14"/>
  <c r="W38" i="14"/>
  <c r="W39" i="14"/>
  <c r="W40" i="14"/>
  <c r="W41" i="14"/>
  <c r="W42" i="14"/>
  <c r="W43" i="14"/>
  <c r="W44" i="14"/>
  <c r="W45" i="14"/>
  <c r="W46" i="14"/>
  <c r="W47" i="14"/>
  <c r="W48" i="14"/>
  <c r="W49" i="14"/>
  <c r="W50" i="14"/>
  <c r="W51" i="14"/>
  <c r="W52" i="14"/>
  <c r="W53" i="14"/>
  <c r="W55" i="14"/>
  <c r="W56" i="14"/>
  <c r="W58" i="14"/>
  <c r="W59" i="14"/>
  <c r="W63" i="14"/>
  <c r="W65" i="14"/>
  <c r="W69" i="14"/>
  <c r="W70" i="14"/>
  <c r="W72" i="14"/>
  <c r="W78" i="14"/>
  <c r="W80" i="14"/>
  <c r="W81" i="14"/>
  <c r="W83" i="14"/>
  <c r="W86" i="14"/>
  <c r="W110" i="14"/>
  <c r="W113" i="14"/>
  <c r="W114" i="14"/>
  <c r="W117" i="14"/>
  <c r="W121" i="14"/>
  <c r="W122" i="14"/>
  <c r="W123" i="14"/>
  <c r="W125" i="14"/>
  <c r="W131" i="14"/>
  <c r="W132" i="14"/>
  <c r="W134" i="14"/>
  <c r="W136" i="14"/>
  <c r="W137" i="14"/>
  <c r="W138" i="14"/>
  <c r="W140" i="14"/>
  <c r="W141" i="14"/>
  <c r="W142" i="14"/>
  <c r="W148" i="14"/>
  <c r="W153" i="14"/>
  <c r="W156" i="14"/>
  <c r="W157" i="14"/>
  <c r="W158" i="14"/>
  <c r="W162" i="14"/>
  <c r="W163" i="14"/>
  <c r="W174" i="14"/>
  <c r="W205" i="14"/>
  <c r="W206" i="14"/>
  <c r="W207" i="14"/>
  <c r="W208" i="14"/>
  <c r="W57" i="14"/>
  <c r="W60" i="14"/>
  <c r="W61" i="14"/>
  <c r="W62" i="14"/>
  <c r="W64" i="14"/>
  <c r="W66" i="14"/>
  <c r="W67" i="14"/>
  <c r="W68" i="14"/>
  <c r="W71" i="14"/>
  <c r="W73" i="14"/>
  <c r="W74" i="14"/>
  <c r="W75" i="14"/>
  <c r="W76" i="14"/>
  <c r="W77" i="14"/>
  <c r="W79" i="14"/>
  <c r="W82" i="14"/>
  <c r="W84" i="14"/>
  <c r="W85" i="14"/>
  <c r="W87" i="14"/>
  <c r="W88" i="14"/>
  <c r="W89" i="14"/>
  <c r="W90" i="14"/>
  <c r="W91" i="14"/>
  <c r="W92" i="14"/>
  <c r="W93" i="14"/>
  <c r="W94" i="14"/>
  <c r="W95" i="14"/>
  <c r="W96" i="14"/>
  <c r="W97" i="14"/>
  <c r="W98" i="14"/>
  <c r="W99" i="14"/>
  <c r="W100" i="14"/>
  <c r="W101" i="14"/>
  <c r="W102" i="14"/>
  <c r="W103" i="14"/>
  <c r="W104" i="14"/>
  <c r="W105" i="14"/>
  <c r="W106" i="14"/>
  <c r="W107" i="14"/>
  <c r="W108" i="14"/>
  <c r="W109" i="14"/>
  <c r="W111" i="14"/>
  <c r="W112" i="14"/>
  <c r="W115" i="14"/>
  <c r="W116" i="14"/>
  <c r="W118" i="14"/>
  <c r="W119" i="14"/>
  <c r="W120" i="14"/>
  <c r="W124" i="14"/>
  <c r="W126" i="14"/>
  <c r="W127" i="14"/>
  <c r="W128" i="14"/>
  <c r="W129" i="14"/>
  <c r="W130" i="14"/>
  <c r="W133" i="14"/>
  <c r="W135" i="14"/>
  <c r="W139" i="14"/>
  <c r="W143" i="14"/>
  <c r="W144" i="14"/>
  <c r="W145" i="14"/>
  <c r="W146" i="14"/>
  <c r="W147" i="14"/>
  <c r="W149" i="14"/>
  <c r="W150" i="14"/>
  <c r="W151" i="14"/>
  <c r="W152" i="14"/>
  <c r="W154" i="14"/>
  <c r="W155" i="14"/>
  <c r="W159" i="14"/>
  <c r="W160" i="14"/>
  <c r="W161" i="14"/>
  <c r="W164" i="14"/>
  <c r="W165" i="14"/>
  <c r="W166" i="14"/>
  <c r="W167" i="14"/>
  <c r="W168" i="14"/>
  <c r="W169" i="14"/>
  <c r="W170" i="14"/>
  <c r="W171" i="14"/>
  <c r="W172" i="14"/>
  <c r="W173" i="14"/>
  <c r="W175" i="14"/>
  <c r="W176" i="14"/>
  <c r="W177" i="14"/>
  <c r="W178" i="14"/>
  <c r="W179" i="14"/>
  <c r="W180" i="14"/>
  <c r="W181" i="14"/>
  <c r="W182" i="14"/>
  <c r="W183" i="14"/>
  <c r="W184" i="14"/>
  <c r="W185" i="14"/>
  <c r="W186" i="14"/>
  <c r="W187" i="14"/>
  <c r="W188" i="14"/>
  <c r="W189" i="14"/>
  <c r="W190" i="14"/>
  <c r="W191" i="14"/>
  <c r="W192" i="14"/>
  <c r="W193" i="14"/>
  <c r="W194" i="14"/>
  <c r="W195" i="14"/>
  <c r="W196" i="14"/>
  <c r="W197" i="14"/>
  <c r="W198" i="14"/>
  <c r="W199" i="14"/>
  <c r="W200" i="14"/>
  <c r="W201" i="14"/>
  <c r="W202" i="14"/>
  <c r="W203" i="14"/>
  <c r="W204" i="14"/>
  <c r="W209" i="14"/>
  <c r="W210" i="14"/>
  <c r="W211" i="14"/>
  <c r="W212" i="14"/>
  <c r="W213" i="14"/>
  <c r="W214" i="14"/>
  <c r="W215" i="14"/>
  <c r="W216" i="14"/>
  <c r="W217" i="14"/>
  <c r="W218" i="14"/>
  <c r="W219" i="14"/>
  <c r="W220" i="14"/>
  <c r="W221" i="14"/>
  <c r="W222" i="14"/>
  <c r="W223" i="14"/>
  <c r="W224" i="14"/>
  <c r="W225" i="14"/>
  <c r="W226" i="14"/>
  <c r="W227" i="14"/>
  <c r="W228" i="14"/>
  <c r="W229" i="14"/>
  <c r="W230" i="14"/>
  <c r="W231" i="14"/>
  <c r="W232" i="14"/>
  <c r="W233" i="14"/>
  <c r="W234" i="14"/>
  <c r="W235" i="14"/>
  <c r="W236" i="14"/>
  <c r="W237" i="14"/>
  <c r="W238" i="14"/>
  <c r="W239" i="14"/>
  <c r="W240" i="14"/>
  <c r="W241" i="14"/>
  <c r="W242" i="14"/>
  <c r="W243" i="14"/>
  <c r="W244" i="14"/>
  <c r="W245" i="14"/>
  <c r="W246" i="14"/>
  <c r="W247" i="14"/>
  <c r="W248" i="14"/>
  <c r="W249" i="14"/>
  <c r="W250" i="14"/>
  <c r="W251" i="14"/>
  <c r="W252" i="14"/>
  <c r="W253" i="14"/>
  <c r="W254" i="14"/>
  <c r="W255" i="14"/>
  <c r="W256" i="14"/>
  <c r="W257" i="14"/>
  <c r="W258" i="14"/>
  <c r="W259" i="14"/>
  <c r="W260" i="14"/>
  <c r="W261" i="14"/>
  <c r="W262" i="14"/>
  <c r="W263" i="14"/>
  <c r="W264" i="14"/>
  <c r="W265" i="14"/>
  <c r="W266" i="14"/>
  <c r="W267" i="14"/>
  <c r="W268" i="14"/>
  <c r="W269" i="14"/>
  <c r="W270" i="14"/>
  <c r="W271" i="14"/>
  <c r="W272" i="14"/>
  <c r="W273" i="14"/>
  <c r="W274" i="14"/>
  <c r="W275" i="14"/>
  <c r="W276" i="14"/>
  <c r="W277" i="14"/>
  <c r="W278" i="14"/>
  <c r="W279" i="14"/>
  <c r="W280" i="14"/>
  <c r="W281" i="14"/>
  <c r="W282" i="14"/>
  <c r="W283" i="14"/>
  <c r="W284" i="14"/>
  <c r="W285" i="14"/>
  <c r="W286" i="14"/>
  <c r="W287" i="14"/>
  <c r="W288" i="14"/>
  <c r="W289" i="14"/>
  <c r="W290" i="14"/>
  <c r="W291" i="14"/>
  <c r="W292" i="14"/>
  <c r="W293" i="14"/>
  <c r="W294" i="14"/>
  <c r="W295" i="14"/>
  <c r="W296" i="14"/>
  <c r="W297" i="14"/>
  <c r="W298" i="14"/>
  <c r="W299" i="14"/>
  <c r="W300" i="14"/>
  <c r="W301" i="14"/>
  <c r="W302" i="14"/>
  <c r="W303" i="14"/>
  <c r="W304" i="14"/>
  <c r="W305" i="14"/>
  <c r="W306" i="14"/>
  <c r="W307" i="14"/>
  <c r="W308" i="14"/>
  <c r="W309" i="14"/>
  <c r="W310" i="14"/>
  <c r="W311" i="14"/>
  <c r="W312" i="14"/>
  <c r="W313" i="14"/>
  <c r="W314" i="14"/>
  <c r="W315" i="14"/>
  <c r="W316" i="14"/>
  <c r="W317" i="14"/>
  <c r="W318" i="14"/>
  <c r="W319" i="14"/>
  <c r="W320" i="14"/>
  <c r="W321" i="14"/>
  <c r="W322" i="14"/>
  <c r="W323" i="14"/>
  <c r="W324" i="14"/>
  <c r="W325" i="14"/>
  <c r="W326" i="14"/>
  <c r="W327" i="14"/>
  <c r="W328" i="14"/>
  <c r="W329" i="14"/>
  <c r="W330" i="14"/>
  <c r="W331" i="14"/>
  <c r="W332" i="14"/>
  <c r="W333" i="14"/>
  <c r="W334" i="14"/>
  <c r="W335" i="14"/>
  <c r="W336" i="14"/>
  <c r="W337" i="14"/>
  <c r="W338" i="14"/>
  <c r="W339" i="14"/>
  <c r="W340" i="14"/>
  <c r="W341" i="14"/>
  <c r="W342" i="14"/>
  <c r="W343" i="14"/>
  <c r="W344" i="14"/>
  <c r="W345" i="14"/>
  <c r="W346" i="14"/>
  <c r="W347" i="14"/>
  <c r="W348" i="14"/>
  <c r="W349" i="14"/>
  <c r="W350" i="14"/>
  <c r="W351" i="14"/>
  <c r="W352" i="14"/>
  <c r="W353" i="14"/>
  <c r="W354" i="14"/>
  <c r="W355" i="14"/>
  <c r="W356" i="14"/>
  <c r="W357" i="14"/>
  <c r="W358" i="14"/>
  <c r="W359" i="14"/>
  <c r="W360" i="14"/>
  <c r="W361" i="14"/>
  <c r="W362" i="14"/>
  <c r="W363" i="14"/>
  <c r="W54" i="14"/>
  <c r="V11" i="14"/>
  <c r="V12" i="14"/>
  <c r="V13" i="14"/>
  <c r="V14" i="14"/>
  <c r="V15" i="14"/>
  <c r="V16" i="14"/>
  <c r="V17" i="14"/>
  <c r="V18" i="14"/>
  <c r="V19" i="14"/>
  <c r="V20" i="14"/>
  <c r="V21" i="14"/>
  <c r="V22" i="14"/>
  <c r="V23" i="14"/>
  <c r="V24" i="14"/>
  <c r="V25" i="14"/>
  <c r="V26" i="14"/>
  <c r="V27" i="14"/>
  <c r="V28" i="14"/>
  <c r="V29" i="14"/>
  <c r="V30" i="14"/>
  <c r="V31" i="14"/>
  <c r="V32" i="14"/>
  <c r="V33" i="14"/>
  <c r="V34" i="14"/>
  <c r="V35" i="14"/>
  <c r="V36" i="14"/>
  <c r="V37" i="14"/>
  <c r="V38" i="14"/>
  <c r="V39" i="14"/>
  <c r="V40" i="14"/>
  <c r="V41" i="14"/>
  <c r="V42" i="14"/>
  <c r="V43" i="14"/>
  <c r="V44" i="14"/>
  <c r="V45" i="14"/>
  <c r="V46" i="14"/>
  <c r="V47" i="14"/>
  <c r="V48" i="14"/>
  <c r="V49" i="14"/>
  <c r="V50" i="14"/>
  <c r="V51" i="14"/>
  <c r="V52" i="14"/>
  <c r="V57" i="14"/>
  <c r="V59" i="14"/>
  <c r="V60" i="14"/>
  <c r="V61" i="14"/>
  <c r="V62" i="14"/>
  <c r="V63" i="14"/>
  <c r="V64" i="14"/>
  <c r="V66" i="14"/>
  <c r="V67" i="14"/>
  <c r="V71" i="14"/>
  <c r="V73" i="14"/>
  <c r="V74" i="14"/>
  <c r="V75" i="14"/>
  <c r="V76" i="14"/>
  <c r="V77" i="14"/>
  <c r="V79" i="14"/>
  <c r="V82" i="14"/>
  <c r="V83" i="14"/>
  <c r="V108" i="14"/>
  <c r="V109" i="14"/>
  <c r="V111" i="14"/>
  <c r="V114" i="14"/>
  <c r="V118" i="14"/>
  <c r="V120" i="14"/>
  <c r="V126" i="14"/>
  <c r="V127" i="14"/>
  <c r="V129" i="14"/>
  <c r="V130" i="14"/>
  <c r="V132" i="14"/>
  <c r="V133" i="14"/>
  <c r="V134" i="14"/>
  <c r="V135" i="14"/>
  <c r="V136" i="14"/>
  <c r="V140" i="14"/>
  <c r="V143" i="14"/>
  <c r="V146" i="14"/>
  <c r="V149" i="14"/>
  <c r="V151" i="14"/>
  <c r="V154" i="14"/>
  <c r="V155" i="14"/>
  <c r="V156" i="14"/>
  <c r="V160" i="14"/>
  <c r="V161" i="14"/>
  <c r="V164" i="14"/>
  <c r="V166" i="14"/>
  <c r="V169" i="14"/>
  <c r="V171" i="14"/>
  <c r="V172" i="14"/>
  <c r="V173" i="14"/>
  <c r="V175" i="14"/>
  <c r="V176" i="14"/>
  <c r="V205" i="14"/>
  <c r="V206" i="14"/>
  <c r="V207" i="14"/>
  <c r="V208" i="14"/>
  <c r="V53" i="14"/>
  <c r="V55" i="14"/>
  <c r="V56" i="14"/>
  <c r="V58" i="14"/>
  <c r="V65" i="14"/>
  <c r="V68" i="14"/>
  <c r="V69" i="14"/>
  <c r="V70" i="14"/>
  <c r="V72" i="14"/>
  <c r="V78" i="14"/>
  <c r="V80" i="14"/>
  <c r="V81" i="14"/>
  <c r="V84" i="14"/>
  <c r="V85" i="14"/>
  <c r="V86" i="14"/>
  <c r="V87" i="14"/>
  <c r="V88" i="14"/>
  <c r="V89" i="14"/>
  <c r="V90" i="14"/>
  <c r="V91" i="14"/>
  <c r="V92" i="14"/>
  <c r="V93" i="14"/>
  <c r="V94" i="14"/>
  <c r="V95" i="14"/>
  <c r="V96" i="14"/>
  <c r="V97" i="14"/>
  <c r="V98" i="14"/>
  <c r="V99" i="14"/>
  <c r="V100" i="14"/>
  <c r="V101" i="14"/>
  <c r="V102" i="14"/>
  <c r="V103" i="14"/>
  <c r="V104" i="14"/>
  <c r="V105" i="14"/>
  <c r="V106" i="14"/>
  <c r="V107" i="14"/>
  <c r="V110" i="14"/>
  <c r="V112" i="14"/>
  <c r="V113" i="14"/>
  <c r="V115" i="14"/>
  <c r="V116" i="14"/>
  <c r="V117" i="14"/>
  <c r="V119" i="14"/>
  <c r="V121" i="14"/>
  <c r="V122" i="14"/>
  <c r="V123" i="14"/>
  <c r="V124" i="14"/>
  <c r="V125" i="14"/>
  <c r="V128" i="14"/>
  <c r="V131" i="14"/>
  <c r="V137" i="14"/>
  <c r="V138" i="14"/>
  <c r="V139" i="14"/>
  <c r="V141" i="14"/>
  <c r="V142" i="14"/>
  <c r="V144" i="14"/>
  <c r="V145" i="14"/>
  <c r="V147" i="14"/>
  <c r="V148" i="14"/>
  <c r="V150" i="14"/>
  <c r="V152" i="14"/>
  <c r="V153" i="14"/>
  <c r="V157" i="14"/>
  <c r="V158" i="14"/>
  <c r="V159" i="14"/>
  <c r="V162" i="14"/>
  <c r="V163" i="14"/>
  <c r="V165" i="14"/>
  <c r="V167" i="14"/>
  <c r="V168" i="14"/>
  <c r="V170" i="14"/>
  <c r="V174" i="14"/>
  <c r="V177" i="14"/>
  <c r="V178" i="14"/>
  <c r="V179" i="14"/>
  <c r="V180" i="14"/>
  <c r="V181" i="14"/>
  <c r="V182" i="14"/>
  <c r="V183" i="14"/>
  <c r="V184" i="14"/>
  <c r="V185" i="14"/>
  <c r="V186" i="14"/>
  <c r="V187" i="14"/>
  <c r="V188" i="14"/>
  <c r="V189" i="14"/>
  <c r="V190" i="14"/>
  <c r="V191" i="14"/>
  <c r="V192" i="14"/>
  <c r="V193" i="14"/>
  <c r="V194" i="14"/>
  <c r="V195" i="14"/>
  <c r="V196" i="14"/>
  <c r="V197" i="14"/>
  <c r="V198" i="14"/>
  <c r="V199" i="14"/>
  <c r="V200" i="14"/>
  <c r="V201" i="14"/>
  <c r="V202" i="14"/>
  <c r="V203" i="14"/>
  <c r="V204" i="14"/>
  <c r="V209" i="14"/>
  <c r="V210" i="14"/>
  <c r="V212" i="14"/>
  <c r="V213" i="14"/>
  <c r="V214" i="14"/>
  <c r="V215" i="14"/>
  <c r="V216" i="14"/>
  <c r="V217" i="14"/>
  <c r="V218" i="14"/>
  <c r="V219" i="14"/>
  <c r="V220" i="14"/>
  <c r="V221" i="14"/>
  <c r="V222" i="14"/>
  <c r="V223" i="14"/>
  <c r="V224" i="14"/>
  <c r="V225" i="14"/>
  <c r="V226" i="14"/>
  <c r="V227" i="14"/>
  <c r="V228" i="14"/>
  <c r="V229" i="14"/>
  <c r="V230" i="14"/>
  <c r="V231" i="14"/>
  <c r="V232" i="14"/>
  <c r="V233" i="14"/>
  <c r="V234" i="14"/>
  <c r="V235" i="14"/>
  <c r="V236" i="14"/>
  <c r="V237" i="14"/>
  <c r="V238" i="14"/>
  <c r="V239" i="14"/>
  <c r="V240" i="14"/>
  <c r="V241" i="14"/>
  <c r="V242" i="14"/>
  <c r="V243" i="14"/>
  <c r="V244" i="14"/>
  <c r="V245" i="14"/>
  <c r="V246" i="14"/>
  <c r="V247" i="14"/>
  <c r="V248" i="14"/>
  <c r="V249" i="14"/>
  <c r="V250" i="14"/>
  <c r="V251" i="14"/>
  <c r="V252" i="14"/>
  <c r="V253" i="14"/>
  <c r="V254" i="14"/>
  <c r="V255" i="14"/>
  <c r="V256" i="14"/>
  <c r="V257" i="14"/>
  <c r="V258" i="14"/>
  <c r="V259" i="14"/>
  <c r="V260" i="14"/>
  <c r="V261" i="14"/>
  <c r="V262" i="14"/>
  <c r="V263" i="14"/>
  <c r="V264" i="14"/>
  <c r="V265" i="14"/>
  <c r="V266" i="14"/>
  <c r="V267" i="14"/>
  <c r="V268" i="14"/>
  <c r="V269" i="14"/>
  <c r="V270" i="14"/>
  <c r="V271" i="14"/>
  <c r="V272" i="14"/>
  <c r="V273" i="14"/>
  <c r="V274" i="14"/>
  <c r="V275" i="14"/>
  <c r="V276" i="14"/>
  <c r="V277" i="14"/>
  <c r="V278" i="14"/>
  <c r="V279" i="14"/>
  <c r="V280" i="14"/>
  <c r="V281" i="14"/>
  <c r="V282" i="14"/>
  <c r="V283" i="14"/>
  <c r="V284" i="14"/>
  <c r="V285" i="14"/>
  <c r="V286" i="14"/>
  <c r="V287" i="14"/>
  <c r="V288" i="14"/>
  <c r="V289" i="14"/>
  <c r="V290" i="14"/>
  <c r="V291" i="14"/>
  <c r="V292" i="14"/>
  <c r="V293" i="14"/>
  <c r="V294" i="14"/>
  <c r="V295" i="14"/>
  <c r="V296" i="14"/>
  <c r="V297" i="14"/>
  <c r="V298" i="14"/>
  <c r="V299" i="14"/>
  <c r="V300" i="14"/>
  <c r="V301" i="14"/>
  <c r="V302" i="14"/>
  <c r="V303" i="14"/>
  <c r="V304" i="14"/>
  <c r="V305" i="14"/>
  <c r="V306" i="14"/>
  <c r="V307" i="14"/>
  <c r="V308" i="14"/>
  <c r="V309" i="14"/>
  <c r="V310" i="14"/>
  <c r="V311" i="14"/>
  <c r="V312" i="14"/>
  <c r="V313" i="14"/>
  <c r="V314" i="14"/>
  <c r="V315" i="14"/>
  <c r="V316" i="14"/>
  <c r="V317" i="14"/>
  <c r="V318" i="14"/>
  <c r="V319" i="14"/>
  <c r="V320" i="14"/>
  <c r="V321" i="14"/>
  <c r="V322" i="14"/>
  <c r="V323" i="14"/>
  <c r="V324" i="14"/>
  <c r="V325" i="14"/>
  <c r="V326" i="14"/>
  <c r="V327" i="14"/>
  <c r="V328" i="14"/>
  <c r="V329" i="14"/>
  <c r="V330" i="14"/>
  <c r="V331" i="14"/>
  <c r="V332" i="14"/>
  <c r="V333" i="14"/>
  <c r="V334" i="14"/>
  <c r="V335" i="14"/>
  <c r="V336" i="14"/>
  <c r="V337" i="14"/>
  <c r="V338" i="14"/>
  <c r="V339" i="14"/>
  <c r="V340" i="14"/>
  <c r="V341" i="14"/>
  <c r="V342" i="14"/>
  <c r="V343" i="14"/>
  <c r="V344" i="14"/>
  <c r="V345" i="14"/>
  <c r="V346" i="14"/>
  <c r="V347" i="14"/>
  <c r="V348" i="14"/>
  <c r="V349" i="14"/>
  <c r="V350" i="14"/>
  <c r="V351" i="14"/>
  <c r="V352" i="14"/>
  <c r="V353" i="14"/>
  <c r="V354" i="14"/>
  <c r="V355" i="14"/>
  <c r="V356" i="14"/>
  <c r="V358" i="14"/>
  <c r="V359" i="14"/>
  <c r="V360" i="14"/>
  <c r="V361" i="14"/>
  <c r="V362" i="14"/>
  <c r="V363" i="14"/>
  <c r="V54" i="14"/>
  <c r="V357" i="14"/>
  <c r="V211"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5" i="14"/>
  <c r="AA58" i="14"/>
  <c r="AA60" i="14"/>
  <c r="AA61" i="14"/>
  <c r="AA64" i="14"/>
  <c r="AA67" i="14"/>
  <c r="AA68" i="14"/>
  <c r="AA69" i="14"/>
  <c r="AA73" i="14"/>
  <c r="AA74" i="14"/>
  <c r="AA76" i="14"/>
  <c r="AA79" i="14"/>
  <c r="AA81" i="14"/>
  <c r="AA83" i="14"/>
  <c r="AA86" i="14"/>
  <c r="AA108" i="14"/>
  <c r="AA109" i="14"/>
  <c r="AA113" i="14"/>
  <c r="AA114" i="14"/>
  <c r="AA115" i="14"/>
  <c r="AA117" i="14"/>
  <c r="AA120" i="14"/>
  <c r="AA121" i="14"/>
  <c r="AA123" i="14"/>
  <c r="AA125" i="14"/>
  <c r="AA127" i="14"/>
  <c r="AA128" i="14"/>
  <c r="AA129" i="14"/>
  <c r="AA130" i="14"/>
  <c r="AA132" i="14"/>
  <c r="AA133" i="14"/>
  <c r="AA134" i="14"/>
  <c r="AA136" i="14"/>
  <c r="AA137" i="14"/>
  <c r="AA138" i="14"/>
  <c r="AA140" i="14"/>
  <c r="AA143" i="14"/>
  <c r="AA146" i="14"/>
  <c r="AA147" i="14"/>
  <c r="AA148" i="14"/>
  <c r="AA149" i="14"/>
  <c r="AA151" i="14"/>
  <c r="AA152" i="14"/>
  <c r="AA153" i="14"/>
  <c r="AA157" i="14"/>
  <c r="AA158" i="14"/>
  <c r="AA160" i="14"/>
  <c r="AA162" i="14"/>
  <c r="AA166" i="14"/>
  <c r="AA167" i="14"/>
  <c r="AA169" i="14"/>
  <c r="AA205" i="14"/>
  <c r="AA206" i="14"/>
  <c r="AA207" i="14"/>
  <c r="AA208" i="14"/>
  <c r="AA53" i="14"/>
  <c r="AA56" i="14"/>
  <c r="AA57" i="14"/>
  <c r="AA59" i="14"/>
  <c r="AA62" i="14"/>
  <c r="AA63" i="14"/>
  <c r="AA65" i="14"/>
  <c r="AA66" i="14"/>
  <c r="AA70" i="14"/>
  <c r="AA71" i="14"/>
  <c r="AA72" i="14"/>
  <c r="AA75" i="14"/>
  <c r="AA77" i="14"/>
  <c r="AA78" i="14"/>
  <c r="AA80" i="14"/>
  <c r="AA82" i="14"/>
  <c r="AA84" i="14"/>
  <c r="AA85" i="14"/>
  <c r="AA87" i="14"/>
  <c r="AA88" i="14"/>
  <c r="AA89" i="14"/>
  <c r="AA90" i="14"/>
  <c r="AA91" i="14"/>
  <c r="AA92" i="14"/>
  <c r="AA93" i="14"/>
  <c r="AA94" i="14"/>
  <c r="AA95" i="14"/>
  <c r="AA96" i="14"/>
  <c r="AA97" i="14"/>
  <c r="AA98" i="14"/>
  <c r="AA99" i="14"/>
  <c r="AA100" i="14"/>
  <c r="AA101" i="14"/>
  <c r="AA102" i="14"/>
  <c r="AA103" i="14"/>
  <c r="AA104" i="14"/>
  <c r="AA105" i="14"/>
  <c r="AA106" i="14"/>
  <c r="AA107" i="14"/>
  <c r="AA110" i="14"/>
  <c r="AA111" i="14"/>
  <c r="AA112" i="14"/>
  <c r="AA116" i="14"/>
  <c r="AA118" i="14"/>
  <c r="AA119" i="14"/>
  <c r="AA122" i="14"/>
  <c r="AA124" i="14"/>
  <c r="AA126" i="14"/>
  <c r="AA131" i="14"/>
  <c r="AA135" i="14"/>
  <c r="AA139" i="14"/>
  <c r="AA141" i="14"/>
  <c r="AA142" i="14"/>
  <c r="AA144" i="14"/>
  <c r="AA145" i="14"/>
  <c r="AA150" i="14"/>
  <c r="AA154" i="14"/>
  <c r="AA155" i="14"/>
  <c r="AA156" i="14"/>
  <c r="AA159" i="14"/>
  <c r="AA161" i="14"/>
  <c r="AA163" i="14"/>
  <c r="AA164" i="14"/>
  <c r="AA165" i="14"/>
  <c r="AA168" i="14"/>
  <c r="AA170" i="14"/>
  <c r="AA171" i="14"/>
  <c r="AA172" i="14"/>
  <c r="AA173" i="14"/>
  <c r="AA174" i="14"/>
  <c r="AA175" i="14"/>
  <c r="AA176" i="14"/>
  <c r="AA177" i="14"/>
  <c r="AA178" i="14"/>
  <c r="AA179" i="14"/>
  <c r="AA180" i="14"/>
  <c r="AA181" i="14"/>
  <c r="AA182" i="14"/>
  <c r="AA183" i="14"/>
  <c r="AA184" i="14"/>
  <c r="AA185" i="14"/>
  <c r="AA186" i="14"/>
  <c r="AA187" i="14"/>
  <c r="AA188" i="14"/>
  <c r="AA189" i="14"/>
  <c r="AA190" i="14"/>
  <c r="AA191" i="14"/>
  <c r="AA192" i="14"/>
  <c r="AA193" i="14"/>
  <c r="AA194" i="14"/>
  <c r="AA195" i="14"/>
  <c r="AA196" i="14"/>
  <c r="AA197" i="14"/>
  <c r="AA198" i="14"/>
  <c r="AA199" i="14"/>
  <c r="AA200" i="14"/>
  <c r="AA201" i="14"/>
  <c r="AA202" i="14"/>
  <c r="AA203" i="14"/>
  <c r="AA204" i="14"/>
  <c r="AA209" i="14"/>
  <c r="AA210" i="14"/>
  <c r="AA211" i="14"/>
  <c r="AA212" i="14"/>
  <c r="AA213" i="14"/>
  <c r="AA214" i="14"/>
  <c r="AA215" i="14"/>
  <c r="AA216" i="14"/>
  <c r="AA217" i="14"/>
  <c r="AA218" i="14"/>
  <c r="AA219" i="14"/>
  <c r="AA220" i="14"/>
  <c r="AA221" i="14"/>
  <c r="AA222" i="14"/>
  <c r="AA223" i="14"/>
  <c r="AA224" i="14"/>
  <c r="AA225" i="14"/>
  <c r="AA226" i="14"/>
  <c r="AA227" i="14"/>
  <c r="AA228" i="14"/>
  <c r="AA229" i="14"/>
  <c r="AA230" i="14"/>
  <c r="AA231" i="14"/>
  <c r="AA232" i="14"/>
  <c r="AA233" i="14"/>
  <c r="AA234" i="14"/>
  <c r="AA235" i="14"/>
  <c r="AA236" i="14"/>
  <c r="AA237" i="14"/>
  <c r="AA238" i="14"/>
  <c r="AA239" i="14"/>
  <c r="AA240" i="14"/>
  <c r="AA241" i="14"/>
  <c r="AA242" i="14"/>
  <c r="AA243" i="14"/>
  <c r="AA244" i="14"/>
  <c r="AA245" i="14"/>
  <c r="AA246" i="14"/>
  <c r="AA247" i="14"/>
  <c r="AA248" i="14"/>
  <c r="AA249" i="14"/>
  <c r="AA250" i="14"/>
  <c r="AA251" i="14"/>
  <c r="AA252" i="14"/>
  <c r="AA253" i="14"/>
  <c r="AA254" i="14"/>
  <c r="AA255" i="14"/>
  <c r="AA256" i="14"/>
  <c r="AA257" i="14"/>
  <c r="AA258" i="14"/>
  <c r="AA259" i="14"/>
  <c r="AA260" i="14"/>
  <c r="AA261" i="14"/>
  <c r="AA262" i="14"/>
  <c r="AA263" i="14"/>
  <c r="AA264" i="14"/>
  <c r="AA265" i="14"/>
  <c r="AA266" i="14"/>
  <c r="AA267" i="14"/>
  <c r="AA268" i="14"/>
  <c r="AA269" i="14"/>
  <c r="AA270" i="14"/>
  <c r="AA271" i="14"/>
  <c r="AA272" i="14"/>
  <c r="AA273" i="14"/>
  <c r="AA274" i="14"/>
  <c r="AA275" i="14"/>
  <c r="AA276" i="14"/>
  <c r="AA277" i="14"/>
  <c r="AA278" i="14"/>
  <c r="AA279" i="14"/>
  <c r="AA280" i="14"/>
  <c r="AA281" i="14"/>
  <c r="AA282" i="14"/>
  <c r="AA283" i="14"/>
  <c r="AA284" i="14"/>
  <c r="AA285" i="14"/>
  <c r="AA286" i="14"/>
  <c r="AA287" i="14"/>
  <c r="AA288" i="14"/>
  <c r="AA289" i="14"/>
  <c r="AA290" i="14"/>
  <c r="AA291" i="14"/>
  <c r="AA292" i="14"/>
  <c r="AA293" i="14"/>
  <c r="AA294" i="14"/>
  <c r="AA295" i="14"/>
  <c r="AA296" i="14"/>
  <c r="AA297" i="14"/>
  <c r="AA298" i="14"/>
  <c r="AA299" i="14"/>
  <c r="AA300" i="14"/>
  <c r="AA301" i="14"/>
  <c r="AA302" i="14"/>
  <c r="AA303" i="14"/>
  <c r="AA304" i="14"/>
  <c r="AA305" i="14"/>
  <c r="AA306" i="14"/>
  <c r="AA307" i="14"/>
  <c r="AA308" i="14"/>
  <c r="AA309" i="14"/>
  <c r="AA310" i="14"/>
  <c r="AA311" i="14"/>
  <c r="AA312" i="14"/>
  <c r="AA313" i="14"/>
  <c r="AA314" i="14"/>
  <c r="AA315" i="14"/>
  <c r="AA316" i="14"/>
  <c r="AA317" i="14"/>
  <c r="AA318" i="14"/>
  <c r="AA319" i="14"/>
  <c r="AA320" i="14"/>
  <c r="AA321" i="14"/>
  <c r="AA322" i="14"/>
  <c r="AA323" i="14"/>
  <c r="AA324" i="14"/>
  <c r="AA325" i="14"/>
  <c r="AA326" i="14"/>
  <c r="AA327" i="14"/>
  <c r="AA328" i="14"/>
  <c r="AA329" i="14"/>
  <c r="AA330" i="14"/>
  <c r="AA331" i="14"/>
  <c r="AA332" i="14"/>
  <c r="AA333" i="14"/>
  <c r="AA334" i="14"/>
  <c r="AA335" i="14"/>
  <c r="AA336" i="14"/>
  <c r="AA337" i="14"/>
  <c r="AA338" i="14"/>
  <c r="AA339" i="14"/>
  <c r="AA340" i="14"/>
  <c r="AA341" i="14"/>
  <c r="AA342" i="14"/>
  <c r="AA343" i="14"/>
  <c r="AA344" i="14"/>
  <c r="AA345" i="14"/>
  <c r="AA346" i="14"/>
  <c r="AA347" i="14"/>
  <c r="AA348" i="14"/>
  <c r="AA349" i="14"/>
  <c r="AA350" i="14"/>
  <c r="AA351" i="14"/>
  <c r="AA352" i="14"/>
  <c r="AA353" i="14"/>
  <c r="AA354" i="14"/>
  <c r="AA355" i="14"/>
  <c r="AA356" i="14"/>
  <c r="AA357" i="14"/>
  <c r="AA358" i="14"/>
  <c r="AA359" i="14"/>
  <c r="AA360" i="14"/>
  <c r="AA361" i="14"/>
  <c r="AA362" i="14"/>
  <c r="AA363" i="14"/>
  <c r="AA54" i="14"/>
  <c r="I16" i="13"/>
  <c r="L6" i="14"/>
  <c r="Z315" i="10"/>
  <c r="Z317" i="10"/>
  <c r="Z324" i="10"/>
  <c r="Z327" i="10"/>
  <c r="Z333" i="10"/>
  <c r="Z334" i="10"/>
  <c r="Z336" i="10"/>
  <c r="Z337" i="10"/>
  <c r="Z341" i="10"/>
  <c r="Z346" i="10"/>
  <c r="Z351" i="10"/>
  <c r="Z353" i="10"/>
  <c r="Z357" i="10"/>
  <c r="Z360" i="10"/>
  <c r="Z362" i="10"/>
  <c r="Z367" i="10"/>
  <c r="Z370" i="10"/>
  <c r="Z380" i="10"/>
  <c r="Z381" i="10"/>
  <c r="Z384" i="10"/>
  <c r="Z304" i="10"/>
  <c r="Z307" i="10"/>
  <c r="Z314" i="10"/>
  <c r="Z316" i="10"/>
  <c r="Z319" i="10"/>
  <c r="Z320" i="10"/>
  <c r="Z332" i="10"/>
  <c r="Z338" i="10"/>
  <c r="Z339" i="10"/>
  <c r="Z343" i="10"/>
  <c r="Z349" i="10"/>
  <c r="Z11" i="10"/>
  <c r="Z12" i="10"/>
  <c r="Z13" i="10"/>
  <c r="Z14" i="10"/>
  <c r="Z15" i="10"/>
  <c r="Z16" i="10"/>
  <c r="Z17" i="10"/>
  <c r="Z18" i="10"/>
  <c r="Z19" i="10"/>
  <c r="Z20" i="10"/>
  <c r="Z21" i="10"/>
  <c r="Z22" i="10"/>
  <c r="Z23" i="10"/>
  <c r="Z24" i="10"/>
  <c r="Z25" i="10"/>
  <c r="Z26" i="10"/>
  <c r="Z27" i="10"/>
  <c r="Z28" i="10"/>
  <c r="Z29"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6"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5" i="10"/>
  <c r="Z96" i="10"/>
  <c r="Z97" i="10"/>
  <c r="Z98" i="10"/>
  <c r="Z99" i="10"/>
  <c r="Z100" i="10"/>
  <c r="Z101" i="10"/>
  <c r="Z102" i="10"/>
  <c r="Z103" i="10"/>
  <c r="Z104" i="10"/>
  <c r="Z105" i="10"/>
  <c r="Z106" i="10"/>
  <c r="Z107" i="10"/>
  <c r="Z108" i="10"/>
  <c r="Z109" i="10"/>
  <c r="Z110" i="10"/>
  <c r="Z111" i="10"/>
  <c r="Z112" i="10"/>
  <c r="Z113" i="10"/>
  <c r="Z114" i="10"/>
  <c r="Z115" i="10"/>
  <c r="Z116" i="10"/>
  <c r="Z117" i="10"/>
  <c r="Z118" i="10"/>
  <c r="Z119" i="10"/>
  <c r="Z120" i="10"/>
  <c r="Z121" i="10"/>
  <c r="Z122" i="10"/>
  <c r="Z123" i="10"/>
  <c r="Z124" i="10"/>
  <c r="Z125" i="10"/>
  <c r="Z126" i="10"/>
  <c r="Z127" i="10"/>
  <c r="Z128" i="10"/>
  <c r="Z129" i="10"/>
  <c r="Z130" i="10"/>
  <c r="Z131" i="10"/>
  <c r="Z132" i="10"/>
  <c r="Z133" i="10"/>
  <c r="Z134" i="10"/>
  <c r="Z135" i="10"/>
  <c r="Z136" i="10"/>
  <c r="Z137" i="10"/>
  <c r="Z138" i="10"/>
  <c r="Z139" i="10"/>
  <c r="Z140" i="10"/>
  <c r="Z141" i="10"/>
  <c r="Z142" i="10"/>
  <c r="Z143" i="10"/>
  <c r="Z144" i="10"/>
  <c r="Z145" i="10"/>
  <c r="Z146" i="10"/>
  <c r="Z147" i="10"/>
  <c r="Z148" i="10"/>
  <c r="Z149" i="10"/>
  <c r="Z150" i="10"/>
  <c r="Z151" i="10"/>
  <c r="Z152" i="10"/>
  <c r="Z153" i="10"/>
  <c r="Z154" i="10"/>
  <c r="Z155" i="10"/>
  <c r="Z156" i="10"/>
  <c r="Z157" i="10"/>
  <c r="Z158" i="10"/>
  <c r="Z159" i="10"/>
  <c r="Z160" i="10"/>
  <c r="Z161" i="10"/>
  <c r="Z162" i="10"/>
  <c r="Z163" i="10"/>
  <c r="Z164" i="10"/>
  <c r="Z165" i="10"/>
  <c r="Z166" i="10"/>
  <c r="Z167" i="10"/>
  <c r="Z168" i="10"/>
  <c r="Z169" i="10"/>
  <c r="Z170" i="10"/>
  <c r="Z171" i="10"/>
  <c r="Z172" i="10"/>
  <c r="Z173" i="10"/>
  <c r="Z174" i="10"/>
  <c r="Z175" i="10"/>
  <c r="Z176" i="10"/>
  <c r="Z177" i="10"/>
  <c r="Z178" i="10"/>
  <c r="Z179" i="10"/>
  <c r="Z180" i="10"/>
  <c r="Z181" i="10"/>
  <c r="Z182" i="10"/>
  <c r="Z183" i="10"/>
  <c r="Z184" i="10"/>
  <c r="Z185" i="10"/>
  <c r="Z186" i="10"/>
  <c r="Z187" i="10"/>
  <c r="Z188" i="10"/>
  <c r="Z189" i="10"/>
  <c r="Z190" i="10"/>
  <c r="Z191" i="10"/>
  <c r="Z192" i="10"/>
  <c r="Z193" i="10"/>
  <c r="Z194" i="10"/>
  <c r="Z195" i="10"/>
  <c r="Z196" i="10"/>
  <c r="Z197" i="10"/>
  <c r="Z198" i="10"/>
  <c r="Z199" i="10"/>
  <c r="Z200" i="10"/>
  <c r="Z201" i="10"/>
  <c r="Z202" i="10"/>
  <c r="Z203" i="10"/>
  <c r="Z204" i="10"/>
  <c r="Z205" i="10"/>
  <c r="Z206" i="10"/>
  <c r="Z207" i="10"/>
  <c r="Z208" i="10"/>
  <c r="Z209" i="10"/>
  <c r="Z210" i="10"/>
  <c r="Z211" i="10"/>
  <c r="Z212" i="10"/>
  <c r="Z213" i="10"/>
  <c r="Z214" i="10"/>
  <c r="Z215" i="10"/>
  <c r="Z216" i="10"/>
  <c r="Z217" i="10"/>
  <c r="Z218" i="10"/>
  <c r="Z219" i="10"/>
  <c r="Z220" i="10"/>
  <c r="Z221" i="10"/>
  <c r="Z222" i="10"/>
  <c r="Z223" i="10"/>
  <c r="Z224" i="10"/>
  <c r="Z225" i="10"/>
  <c r="Z226" i="10"/>
  <c r="Z227" i="10"/>
  <c r="Z228" i="10"/>
  <c r="Z229" i="10"/>
  <c r="Z230" i="10"/>
  <c r="Z231" i="10"/>
  <c r="Z232" i="10"/>
  <c r="Z233" i="10"/>
  <c r="Z234" i="10"/>
  <c r="Z235" i="10"/>
  <c r="Z236" i="10"/>
  <c r="Z237" i="10"/>
  <c r="Z238" i="10"/>
  <c r="Z239" i="10"/>
  <c r="Z240" i="10"/>
  <c r="Z241" i="10"/>
  <c r="Z242" i="10"/>
  <c r="Z243" i="10"/>
  <c r="Z244" i="10"/>
  <c r="Z245" i="10"/>
  <c r="Z246" i="10"/>
  <c r="Z247" i="10"/>
  <c r="Z248" i="10"/>
  <c r="Z249" i="10"/>
  <c r="Z250" i="10"/>
  <c r="Z251" i="10"/>
  <c r="Z252" i="10"/>
  <c r="Z253" i="10"/>
  <c r="Z254" i="10"/>
  <c r="Z255" i="10"/>
  <c r="Z256" i="10"/>
  <c r="Z257" i="10"/>
  <c r="Z258" i="10"/>
  <c r="Z259" i="10"/>
  <c r="Z260" i="10"/>
  <c r="Z261" i="10"/>
  <c r="Z262" i="10"/>
  <c r="Z263" i="10"/>
  <c r="Z264" i="10"/>
  <c r="Z265" i="10"/>
  <c r="Z266" i="10"/>
  <c r="Z267" i="10"/>
  <c r="Z268" i="10"/>
  <c r="Z269" i="10"/>
  <c r="Z270" i="10"/>
  <c r="Z271" i="10"/>
  <c r="Z272" i="10"/>
  <c r="Z273" i="10"/>
  <c r="Z274" i="10"/>
  <c r="Z275" i="10"/>
  <c r="Z276" i="10"/>
  <c r="Z277" i="10"/>
  <c r="Z278" i="10"/>
  <c r="Z279" i="10"/>
  <c r="Z280" i="10"/>
  <c r="Z281" i="10"/>
  <c r="Z282" i="10"/>
  <c r="Z283" i="10"/>
  <c r="Z284" i="10"/>
  <c r="Z285" i="10"/>
  <c r="Z286" i="10"/>
  <c r="Z287" i="10"/>
  <c r="Z288" i="10"/>
  <c r="Z289" i="10"/>
  <c r="Z290" i="10"/>
  <c r="Z291" i="10"/>
  <c r="Z292" i="10"/>
  <c r="Z293" i="10"/>
  <c r="Z294" i="10"/>
  <c r="Z295" i="10"/>
  <c r="Z296" i="10"/>
  <c r="Z297" i="10"/>
  <c r="Z298" i="10"/>
  <c r="Z299" i="10"/>
  <c r="Z300" i="10"/>
  <c r="Z301" i="10"/>
  <c r="Z302" i="10"/>
  <c r="Z306" i="10"/>
  <c r="Z309" i="10"/>
  <c r="Z310" i="10"/>
  <c r="Z313" i="10"/>
  <c r="Z323" i="10"/>
  <c r="Z325" i="10"/>
  <c r="Z326" i="10"/>
  <c r="Z328" i="10"/>
  <c r="Z329" i="10"/>
  <c r="Z348" i="10"/>
  <c r="Z350" i="10"/>
  <c r="Z352" i="10"/>
  <c r="Z361" i="10"/>
  <c r="Z363" i="10"/>
  <c r="Z364" i="10"/>
  <c r="Z365" i="10"/>
  <c r="Z369" i="10"/>
  <c r="Z372" i="10"/>
  <c r="Z377" i="10"/>
  <c r="Z379" i="10"/>
  <c r="Z383" i="10"/>
  <c r="Z386" i="10"/>
  <c r="Z387" i="10"/>
  <c r="Z391" i="10"/>
  <c r="Z397" i="10"/>
  <c r="Z400" i="10"/>
  <c r="Z401" i="10"/>
  <c r="Z402" i="10"/>
  <c r="Z403" i="10"/>
  <c r="Z404" i="10"/>
  <c r="Z405" i="10"/>
  <c r="Z406" i="10"/>
  <c r="Z407" i="10"/>
  <c r="Z408" i="10"/>
  <c r="Z303" i="10"/>
  <c r="Z308" i="10"/>
  <c r="Z311" i="10"/>
  <c r="Z312" i="10"/>
  <c r="Z318" i="10"/>
  <c r="Z321" i="10"/>
  <c r="Z322" i="10"/>
  <c r="Z330" i="10"/>
  <c r="Z331" i="10"/>
  <c r="Z335" i="10"/>
  <c r="Z340" i="10"/>
  <c r="Z342" i="10"/>
  <c r="Z344" i="10"/>
  <c r="Z345" i="10"/>
  <c r="Z347" i="10"/>
  <c r="Z354" i="10"/>
  <c r="Z355" i="10"/>
  <c r="Z356" i="10"/>
  <c r="Z358" i="10"/>
  <c r="Z359" i="10"/>
  <c r="Z366" i="10"/>
  <c r="Z368" i="10"/>
  <c r="Z371" i="10"/>
  <c r="Z373" i="10"/>
  <c r="Z374" i="10"/>
  <c r="Z375" i="10"/>
  <c r="Z376" i="10"/>
  <c r="Z378" i="10"/>
  <c r="Z382" i="10"/>
  <c r="Z385" i="10"/>
  <c r="Z388" i="10"/>
  <c r="Z389" i="10"/>
  <c r="Z390" i="10"/>
  <c r="Z392" i="10"/>
  <c r="Z393" i="10"/>
  <c r="Z394" i="10"/>
  <c r="Z395" i="10"/>
  <c r="Z396" i="10"/>
  <c r="Z398" i="10"/>
  <c r="Z399" i="10"/>
  <c r="Z409" i="10"/>
  <c r="Z305" i="10"/>
  <c r="Y304" i="10"/>
  <c r="Y309" i="10"/>
  <c r="Y310" i="10"/>
  <c r="Y314" i="10"/>
  <c r="Y320" i="10"/>
  <c r="Y322" i="10"/>
  <c r="Y326" i="10"/>
  <c r="Y329" i="10"/>
  <c r="Y339" i="10"/>
  <c r="Y340" i="10"/>
  <c r="Y343" i="10"/>
  <c r="Y348" i="10"/>
  <c r="Y350" i="10"/>
  <c r="Y354" i="10"/>
  <c r="Y359" i="10"/>
  <c r="Y360" i="10"/>
  <c r="Y361" i="10"/>
  <c r="Y363" i="10"/>
  <c r="Y364" i="10"/>
  <c r="Y372" i="10"/>
  <c r="Y378" i="10"/>
  <c r="Y379" i="10"/>
  <c r="Y382" i="10"/>
  <c r="Y383" i="10"/>
  <c r="Y385" i="10"/>
  <c r="Y386" i="10"/>
  <c r="Y387" i="10"/>
  <c r="Y388" i="10"/>
  <c r="Y395" i="10"/>
  <c r="Y397" i="10"/>
  <c r="Y306" i="10"/>
  <c r="Y312" i="10"/>
  <c r="Y321" i="10"/>
  <c r="Y331" i="10"/>
  <c r="Y333" i="10"/>
  <c r="Y334" i="10"/>
  <c r="Y336" i="10"/>
  <c r="Y346" i="10"/>
  <c r="Y347" i="10"/>
  <c r="Y349" i="10"/>
  <c r="Y351" i="10"/>
  <c r="Y355" i="10"/>
  <c r="Y357" i="10"/>
  <c r="Y365" i="10"/>
  <c r="Y366" i="10"/>
  <c r="Y367" i="10"/>
  <c r="Y368" i="10"/>
  <c r="Y370" i="10"/>
  <c r="Y11" i="10"/>
  <c r="Y12" i="10"/>
  <c r="Y13" i="10"/>
  <c r="Y14" i="10"/>
  <c r="Y1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5" i="10"/>
  <c r="Y96" i="10"/>
  <c r="Y97" i="10"/>
  <c r="Y98" i="10"/>
  <c r="Y99" i="10"/>
  <c r="Y100" i="10"/>
  <c r="Y101" i="10"/>
  <c r="Y102" i="10"/>
  <c r="Y103" i="10"/>
  <c r="Y104" i="10"/>
  <c r="Y105" i="10"/>
  <c r="Y106" i="10"/>
  <c r="Y107" i="10"/>
  <c r="Y108" i="10"/>
  <c r="Y109" i="10"/>
  <c r="Y110" i="10"/>
  <c r="Y111" i="10"/>
  <c r="Y112" i="10"/>
  <c r="Y113" i="10"/>
  <c r="Y114" i="10"/>
  <c r="Y115" i="10"/>
  <c r="Y116" i="10"/>
  <c r="Y117" i="10"/>
  <c r="Y118" i="10"/>
  <c r="Y119" i="10"/>
  <c r="Y120" i="10"/>
  <c r="Y121" i="10"/>
  <c r="Y122" i="10"/>
  <c r="Y123" i="10"/>
  <c r="Y124" i="10"/>
  <c r="Y125" i="10"/>
  <c r="Y126" i="10"/>
  <c r="Y127" i="10"/>
  <c r="Y128" i="10"/>
  <c r="Y129" i="10"/>
  <c r="Y130" i="10"/>
  <c r="Y131" i="10"/>
  <c r="Y132" i="10"/>
  <c r="Y133" i="10"/>
  <c r="Y134" i="10"/>
  <c r="Y135" i="10"/>
  <c r="Y136" i="10"/>
  <c r="Y137" i="10"/>
  <c r="Y138" i="10"/>
  <c r="Y139" i="10"/>
  <c r="Y140" i="10"/>
  <c r="Y141" i="10"/>
  <c r="Y142" i="10"/>
  <c r="Y143" i="10"/>
  <c r="Y144" i="10"/>
  <c r="Y145" i="10"/>
  <c r="Y146" i="10"/>
  <c r="Y147" i="10"/>
  <c r="Y148" i="10"/>
  <c r="Y149" i="10"/>
  <c r="Y150" i="10"/>
  <c r="Y151" i="10"/>
  <c r="Y152" i="10"/>
  <c r="Y153" i="10"/>
  <c r="Y154" i="10"/>
  <c r="Y155" i="10"/>
  <c r="Y156" i="10"/>
  <c r="Y157" i="10"/>
  <c r="Y158" i="10"/>
  <c r="Y159" i="10"/>
  <c r="Y160" i="10"/>
  <c r="Y161" i="10"/>
  <c r="Y162" i="10"/>
  <c r="Y163" i="10"/>
  <c r="Y164" i="10"/>
  <c r="Y165" i="10"/>
  <c r="Y166" i="10"/>
  <c r="Y167" i="10"/>
  <c r="Y168" i="10"/>
  <c r="Y169" i="10"/>
  <c r="Y170" i="10"/>
  <c r="Y171" i="10"/>
  <c r="Y172" i="10"/>
  <c r="Y173" i="10"/>
  <c r="Y174" i="10"/>
  <c r="Y175" i="10"/>
  <c r="Y176" i="10"/>
  <c r="Y177" i="10"/>
  <c r="Y178" i="10"/>
  <c r="Y179" i="10"/>
  <c r="Y180" i="10"/>
  <c r="Y181" i="10"/>
  <c r="Y182" i="10"/>
  <c r="Y183" i="10"/>
  <c r="Y184" i="10"/>
  <c r="Y185" i="10"/>
  <c r="Y186" i="10"/>
  <c r="Y187" i="10"/>
  <c r="Y188" i="10"/>
  <c r="Y189" i="10"/>
  <c r="Y190" i="10"/>
  <c r="Y191" i="10"/>
  <c r="Y192" i="10"/>
  <c r="Y193" i="10"/>
  <c r="Y194" i="10"/>
  <c r="Y195" i="10"/>
  <c r="Y196" i="10"/>
  <c r="Y197" i="10"/>
  <c r="Y198" i="10"/>
  <c r="Y199" i="10"/>
  <c r="Y200" i="10"/>
  <c r="Y201" i="10"/>
  <c r="Y202" i="10"/>
  <c r="Y203" i="10"/>
  <c r="Y204" i="10"/>
  <c r="Y205" i="10"/>
  <c r="Y206" i="10"/>
  <c r="Y207" i="10"/>
  <c r="Y208" i="10"/>
  <c r="Y209" i="10"/>
  <c r="Y210" i="10"/>
  <c r="Y211" i="10"/>
  <c r="Y212" i="10"/>
  <c r="Y213" i="10"/>
  <c r="Y214" i="10"/>
  <c r="Y215" i="10"/>
  <c r="Y216" i="10"/>
  <c r="Y217" i="10"/>
  <c r="Y218" i="10"/>
  <c r="Y219" i="10"/>
  <c r="Y220" i="10"/>
  <c r="Y221" i="10"/>
  <c r="Y222" i="10"/>
  <c r="Y223" i="10"/>
  <c r="Y224" i="10"/>
  <c r="Y225" i="10"/>
  <c r="Y226" i="10"/>
  <c r="Y227" i="10"/>
  <c r="Y228" i="10"/>
  <c r="Y229" i="10"/>
  <c r="Y230" i="10"/>
  <c r="Y231" i="10"/>
  <c r="Y232" i="10"/>
  <c r="Y233" i="10"/>
  <c r="Y234" i="10"/>
  <c r="Y235" i="10"/>
  <c r="Y236" i="10"/>
  <c r="Y237" i="10"/>
  <c r="Y238" i="10"/>
  <c r="Y239" i="10"/>
  <c r="Y240" i="10"/>
  <c r="Y241" i="10"/>
  <c r="Y242" i="10"/>
  <c r="Y243" i="10"/>
  <c r="Y244" i="10"/>
  <c r="Y245" i="10"/>
  <c r="Y246" i="10"/>
  <c r="Y247" i="10"/>
  <c r="Y248" i="10"/>
  <c r="Y249" i="10"/>
  <c r="Y250" i="10"/>
  <c r="Y251" i="10"/>
  <c r="Y252" i="10"/>
  <c r="Y253" i="10"/>
  <c r="Y254" i="10"/>
  <c r="Y255" i="10"/>
  <c r="Y256" i="10"/>
  <c r="Y257" i="10"/>
  <c r="Y258" i="10"/>
  <c r="Y259" i="10"/>
  <c r="Y260" i="10"/>
  <c r="Y261" i="10"/>
  <c r="Y262" i="10"/>
  <c r="Y263" i="10"/>
  <c r="Y264" i="10"/>
  <c r="Y265" i="10"/>
  <c r="Y266" i="10"/>
  <c r="Y267" i="10"/>
  <c r="Y268" i="10"/>
  <c r="Y269" i="10"/>
  <c r="Y270" i="10"/>
  <c r="Y271" i="10"/>
  <c r="Y272" i="10"/>
  <c r="Y273" i="10"/>
  <c r="Y274" i="10"/>
  <c r="Y275" i="10"/>
  <c r="Y276" i="10"/>
  <c r="Y277" i="10"/>
  <c r="Y278" i="10"/>
  <c r="Y279" i="10"/>
  <c r="Y280" i="10"/>
  <c r="Y281" i="10"/>
  <c r="Y282" i="10"/>
  <c r="Y283" i="10"/>
  <c r="Y284" i="10"/>
  <c r="Y285" i="10"/>
  <c r="Y286" i="10"/>
  <c r="Y287" i="10"/>
  <c r="Y288" i="10"/>
  <c r="Y289" i="10"/>
  <c r="Y290" i="10"/>
  <c r="Y291" i="10"/>
  <c r="Y292" i="10"/>
  <c r="Y293" i="10"/>
  <c r="Y294" i="10"/>
  <c r="Y295" i="10"/>
  <c r="Y296" i="10"/>
  <c r="Y297" i="10"/>
  <c r="Y298" i="10"/>
  <c r="Y299" i="10"/>
  <c r="Y300" i="10"/>
  <c r="Y301" i="10"/>
  <c r="Y302" i="10"/>
  <c r="Y311" i="10"/>
  <c r="Y315" i="10"/>
  <c r="Y318" i="10"/>
  <c r="Y327" i="10"/>
  <c r="Y332" i="10"/>
  <c r="Y335" i="10"/>
  <c r="Y337" i="10"/>
  <c r="Y341" i="10"/>
  <c r="Y342" i="10"/>
  <c r="Y345" i="10"/>
  <c r="Y353" i="10"/>
  <c r="Y362" i="10"/>
  <c r="Y369" i="10"/>
  <c r="Y371" i="10"/>
  <c r="Y373" i="10"/>
  <c r="Y374" i="10"/>
  <c r="Y375" i="10"/>
  <c r="Y380" i="10"/>
  <c r="Y381" i="10"/>
  <c r="Y390" i="10"/>
  <c r="Y393" i="10"/>
  <c r="Y394" i="10"/>
  <c r="Y398" i="10"/>
  <c r="Y399" i="10"/>
  <c r="Y401" i="10"/>
  <c r="Y303" i="10"/>
  <c r="Y307" i="10"/>
  <c r="Y308" i="10"/>
  <c r="Y313" i="10"/>
  <c r="Y316" i="10"/>
  <c r="Y317" i="10"/>
  <c r="Y319" i="10"/>
  <c r="Y323" i="10"/>
  <c r="Y324" i="10"/>
  <c r="Y325" i="10"/>
  <c r="Y328" i="10"/>
  <c r="Y330" i="10"/>
  <c r="Y338" i="10"/>
  <c r="Y344" i="10"/>
  <c r="Y352" i="10"/>
  <c r="Y356" i="10"/>
  <c r="Y358" i="10"/>
  <c r="Y376" i="10"/>
  <c r="Y377" i="10"/>
  <c r="Y384" i="10"/>
  <c r="Y389" i="10"/>
  <c r="Y391" i="10"/>
  <c r="Y392" i="10"/>
  <c r="Y396" i="10"/>
  <c r="Y400" i="10"/>
  <c r="Y402" i="10"/>
  <c r="Y403" i="10"/>
  <c r="Y404" i="10"/>
  <c r="Y405" i="10"/>
  <c r="Y406" i="10"/>
  <c r="Y407" i="10"/>
  <c r="Y408" i="10"/>
  <c r="Y409" i="10"/>
  <c r="Y305" i="10"/>
  <c r="X303" i="10"/>
  <c r="X310" i="10"/>
  <c r="X311" i="10"/>
  <c r="X313" i="10"/>
  <c r="X316" i="10"/>
  <c r="X318" i="10"/>
  <c r="X324" i="10"/>
  <c r="X333" i="10"/>
  <c r="X335" i="10"/>
  <c r="X336" i="10"/>
  <c r="X342" i="10"/>
  <c r="X365" i="10"/>
  <c r="X371" i="10"/>
  <c r="X374" i="10"/>
  <c r="X376" i="10"/>
  <c r="X380" i="10"/>
  <c r="X389" i="10"/>
  <c r="X399" i="10"/>
  <c r="X400" i="10"/>
  <c r="X304" i="10"/>
  <c r="X309" i="10"/>
  <c r="X312" i="10"/>
  <c r="X315" i="10"/>
  <c r="X317" i="10"/>
  <c r="X320" i="10"/>
  <c r="X327" i="10"/>
  <c r="X328" i="10"/>
  <c r="X346" i="10"/>
  <c r="X350" i="10"/>
  <c r="X352" i="10"/>
  <c r="X353" i="10"/>
  <c r="X354" i="10"/>
  <c r="X357" i="10"/>
  <c r="X359" i="10"/>
  <c r="X361" i="10"/>
  <c r="X366" i="10"/>
  <c r="X11" i="10"/>
  <c r="X12" i="10"/>
  <c r="X13" i="10"/>
  <c r="X14" i="10"/>
  <c r="X15" i="10"/>
  <c r="X16" i="10"/>
  <c r="X17" i="10"/>
  <c r="X18" i="10"/>
  <c r="X19" i="10"/>
  <c r="X20" i="10"/>
  <c r="X21" i="10"/>
  <c r="X22" i="10"/>
  <c r="X23" i="10"/>
  <c r="X24" i="10"/>
  <c r="X25" i="10"/>
  <c r="X26" i="10"/>
  <c r="X27" i="10"/>
  <c r="X28" i="10"/>
  <c r="X29"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X60" i="10"/>
  <c r="X61" i="10"/>
  <c r="X62" i="10"/>
  <c r="X63" i="10"/>
  <c r="X64" i="10"/>
  <c r="X65" i="10"/>
  <c r="X66" i="10"/>
  <c r="X67" i="10"/>
  <c r="X68" i="10"/>
  <c r="X69" i="10"/>
  <c r="X70" i="10"/>
  <c r="X71" i="10"/>
  <c r="X72" i="10"/>
  <c r="X73" i="10"/>
  <c r="X74" i="10"/>
  <c r="X75" i="10"/>
  <c r="X76" i="10"/>
  <c r="X77" i="10"/>
  <c r="X78" i="10"/>
  <c r="X79" i="10"/>
  <c r="X80" i="10"/>
  <c r="X81" i="10"/>
  <c r="X82" i="10"/>
  <c r="X83" i="10"/>
  <c r="X84" i="10"/>
  <c r="X85" i="10"/>
  <c r="X86" i="10"/>
  <c r="X87" i="10"/>
  <c r="X88" i="10"/>
  <c r="X89" i="10"/>
  <c r="X90" i="10"/>
  <c r="X91" i="10"/>
  <c r="X92" i="10"/>
  <c r="X93" i="10"/>
  <c r="X94" i="10"/>
  <c r="X95" i="10"/>
  <c r="X96" i="10"/>
  <c r="X97" i="10"/>
  <c r="X98" i="10"/>
  <c r="X99" i="10"/>
  <c r="X100" i="10"/>
  <c r="X101" i="10"/>
  <c r="X102" i="10"/>
  <c r="X103" i="10"/>
  <c r="X104" i="10"/>
  <c r="X105" i="10"/>
  <c r="X106" i="10"/>
  <c r="X107" i="10"/>
  <c r="X108" i="10"/>
  <c r="X109" i="10"/>
  <c r="X110" i="10"/>
  <c r="X111" i="10"/>
  <c r="X112" i="10"/>
  <c r="X113" i="10"/>
  <c r="X114" i="10"/>
  <c r="X115" i="10"/>
  <c r="X116" i="10"/>
  <c r="X117" i="10"/>
  <c r="X118" i="10"/>
  <c r="X119" i="10"/>
  <c r="X120" i="10"/>
  <c r="X121" i="10"/>
  <c r="X122" i="10"/>
  <c r="X123" i="10"/>
  <c r="X124" i="10"/>
  <c r="X125" i="10"/>
  <c r="X126" i="10"/>
  <c r="X127" i="10"/>
  <c r="X128" i="10"/>
  <c r="X129" i="10"/>
  <c r="X130" i="10"/>
  <c r="X131" i="10"/>
  <c r="X132" i="10"/>
  <c r="X133" i="10"/>
  <c r="X134" i="10"/>
  <c r="X135" i="10"/>
  <c r="X136" i="10"/>
  <c r="X137" i="10"/>
  <c r="X138" i="10"/>
  <c r="X139" i="10"/>
  <c r="X140" i="10"/>
  <c r="X141" i="10"/>
  <c r="X142" i="10"/>
  <c r="X143" i="10"/>
  <c r="X144" i="10"/>
  <c r="X145" i="10"/>
  <c r="X146" i="10"/>
  <c r="X147" i="10"/>
  <c r="X148" i="10"/>
  <c r="X149" i="10"/>
  <c r="X150" i="10"/>
  <c r="X151" i="10"/>
  <c r="X152" i="10"/>
  <c r="X153" i="10"/>
  <c r="X154" i="10"/>
  <c r="X155" i="10"/>
  <c r="X156" i="10"/>
  <c r="X157" i="10"/>
  <c r="X158" i="10"/>
  <c r="X159" i="10"/>
  <c r="X160" i="10"/>
  <c r="X161" i="10"/>
  <c r="X162" i="10"/>
  <c r="X163" i="10"/>
  <c r="X164" i="10"/>
  <c r="X165" i="10"/>
  <c r="X166" i="10"/>
  <c r="X167" i="10"/>
  <c r="X168" i="10"/>
  <c r="X169" i="10"/>
  <c r="X170" i="10"/>
  <c r="X171" i="10"/>
  <c r="X172" i="10"/>
  <c r="X173" i="10"/>
  <c r="X174" i="10"/>
  <c r="X175" i="10"/>
  <c r="X176" i="10"/>
  <c r="X177" i="10"/>
  <c r="X178" i="10"/>
  <c r="X179" i="10"/>
  <c r="X180" i="10"/>
  <c r="X181" i="10"/>
  <c r="X182" i="10"/>
  <c r="X183" i="10"/>
  <c r="X184" i="10"/>
  <c r="X185" i="10"/>
  <c r="X186" i="10"/>
  <c r="X187" i="10"/>
  <c r="X188" i="10"/>
  <c r="X189" i="10"/>
  <c r="X190" i="10"/>
  <c r="X191" i="10"/>
  <c r="X192" i="10"/>
  <c r="X193" i="10"/>
  <c r="X194" i="10"/>
  <c r="X195" i="10"/>
  <c r="X196" i="10"/>
  <c r="X197" i="10"/>
  <c r="X198" i="10"/>
  <c r="X199" i="10"/>
  <c r="X200" i="10"/>
  <c r="X201" i="10"/>
  <c r="X202" i="10"/>
  <c r="X203" i="10"/>
  <c r="X204" i="10"/>
  <c r="X205" i="10"/>
  <c r="X206" i="10"/>
  <c r="X207" i="10"/>
  <c r="X208" i="10"/>
  <c r="X209" i="10"/>
  <c r="X210" i="10"/>
  <c r="X211" i="10"/>
  <c r="X212" i="10"/>
  <c r="X213" i="10"/>
  <c r="X214" i="10"/>
  <c r="X215" i="10"/>
  <c r="X216" i="10"/>
  <c r="X217" i="10"/>
  <c r="X218" i="10"/>
  <c r="X219" i="10"/>
  <c r="X220" i="10"/>
  <c r="X221" i="10"/>
  <c r="X222" i="10"/>
  <c r="X223" i="10"/>
  <c r="X224" i="10"/>
  <c r="X225" i="10"/>
  <c r="X226" i="10"/>
  <c r="X227" i="10"/>
  <c r="X228" i="10"/>
  <c r="X229" i="10"/>
  <c r="X230" i="10"/>
  <c r="X231" i="10"/>
  <c r="X232" i="10"/>
  <c r="X233" i="10"/>
  <c r="X234" i="10"/>
  <c r="X235" i="10"/>
  <c r="X236" i="10"/>
  <c r="X237" i="10"/>
  <c r="X238" i="10"/>
  <c r="X239" i="10"/>
  <c r="X240" i="10"/>
  <c r="X241" i="10"/>
  <c r="X242" i="10"/>
  <c r="X243" i="10"/>
  <c r="X244" i="10"/>
  <c r="X245" i="10"/>
  <c r="X246" i="10"/>
  <c r="X247" i="10"/>
  <c r="X248" i="10"/>
  <c r="X249" i="10"/>
  <c r="X250" i="10"/>
  <c r="X251" i="10"/>
  <c r="X252" i="10"/>
  <c r="X253" i="10"/>
  <c r="X254" i="10"/>
  <c r="X255" i="10"/>
  <c r="X256" i="10"/>
  <c r="X257" i="10"/>
  <c r="X258" i="10"/>
  <c r="X259" i="10"/>
  <c r="X260" i="10"/>
  <c r="X261" i="10"/>
  <c r="X262" i="10"/>
  <c r="X263" i="10"/>
  <c r="X264" i="10"/>
  <c r="X265" i="10"/>
  <c r="X266" i="10"/>
  <c r="X267" i="10"/>
  <c r="X268" i="10"/>
  <c r="X269" i="10"/>
  <c r="X270" i="10"/>
  <c r="X271" i="10"/>
  <c r="X272" i="10"/>
  <c r="X273" i="10"/>
  <c r="X274" i="10"/>
  <c r="X275" i="10"/>
  <c r="X276" i="10"/>
  <c r="X277" i="10"/>
  <c r="X278" i="10"/>
  <c r="X279" i="10"/>
  <c r="X280" i="10"/>
  <c r="X281" i="10"/>
  <c r="X282" i="10"/>
  <c r="X283" i="10"/>
  <c r="X284" i="10"/>
  <c r="X285" i="10"/>
  <c r="X286" i="10"/>
  <c r="X287" i="10"/>
  <c r="X288" i="10"/>
  <c r="X289" i="10"/>
  <c r="X290" i="10"/>
  <c r="X291" i="10"/>
  <c r="X292" i="10"/>
  <c r="X293" i="10"/>
  <c r="X294" i="10"/>
  <c r="X295" i="10"/>
  <c r="X296" i="10"/>
  <c r="X297" i="10"/>
  <c r="X298" i="10"/>
  <c r="X299" i="10"/>
  <c r="X300" i="10"/>
  <c r="X301" i="10"/>
  <c r="X302" i="10"/>
  <c r="X306" i="10"/>
  <c r="X307" i="10"/>
  <c r="X314" i="10"/>
  <c r="X321" i="10"/>
  <c r="X326" i="10"/>
  <c r="X330" i="10"/>
  <c r="X331" i="10"/>
  <c r="X332" i="10"/>
  <c r="X338" i="10"/>
  <c r="X339" i="10"/>
  <c r="X340" i="10"/>
  <c r="X344" i="10"/>
  <c r="X349" i="10"/>
  <c r="X356" i="10"/>
  <c r="X360" i="10"/>
  <c r="X362" i="10"/>
  <c r="X363" i="10"/>
  <c r="X364" i="10"/>
  <c r="X368" i="10"/>
  <c r="X370" i="10"/>
  <c r="X373" i="10"/>
  <c r="X378" i="10"/>
  <c r="X382" i="10"/>
  <c r="X384" i="10"/>
  <c r="X385" i="10"/>
  <c r="X391" i="10"/>
  <c r="X392" i="10"/>
  <c r="X394" i="10"/>
  <c r="X397" i="10"/>
  <c r="X398" i="10"/>
  <c r="X404" i="10"/>
  <c r="X405" i="10"/>
  <c r="X406" i="10"/>
  <c r="X408" i="10"/>
  <c r="X409" i="10"/>
  <c r="X308" i="10"/>
  <c r="X319" i="10"/>
  <c r="X322" i="10"/>
  <c r="X323" i="10"/>
  <c r="X325" i="10"/>
  <c r="X329" i="10"/>
  <c r="X334" i="10"/>
  <c r="X337" i="10"/>
  <c r="X341" i="10"/>
  <c r="X343" i="10"/>
  <c r="X345" i="10"/>
  <c r="X347" i="10"/>
  <c r="X348" i="10"/>
  <c r="X351" i="10"/>
  <c r="X355" i="10"/>
  <c r="X358" i="10"/>
  <c r="X367" i="10"/>
  <c r="X369" i="10"/>
  <c r="X372" i="10"/>
  <c r="X375" i="10"/>
  <c r="X377" i="10"/>
  <c r="X379" i="10"/>
  <c r="X381" i="10"/>
  <c r="X383" i="10"/>
  <c r="X386" i="10"/>
  <c r="X387" i="10"/>
  <c r="X388" i="10"/>
  <c r="X390" i="10"/>
  <c r="X393" i="10"/>
  <c r="X395" i="10"/>
  <c r="X396" i="10"/>
  <c r="X401" i="10"/>
  <c r="X402" i="10"/>
  <c r="X403" i="10"/>
  <c r="X407" i="10"/>
  <c r="X305" i="10"/>
  <c r="W312" i="10"/>
  <c r="W316" i="10"/>
  <c r="W329" i="10"/>
  <c r="W333" i="10"/>
  <c r="W334" i="10"/>
  <c r="W337" i="10"/>
  <c r="W338" i="10"/>
  <c r="W339" i="10"/>
  <c r="W349" i="10"/>
  <c r="W350" i="10"/>
  <c r="W356" i="10"/>
  <c r="W359" i="10"/>
  <c r="W361" i="10"/>
  <c r="W362" i="10"/>
  <c r="W367" i="10"/>
  <c r="W368" i="10"/>
  <c r="W369" i="10"/>
  <c r="W373" i="10"/>
  <c r="W377" i="10"/>
  <c r="W378" i="10"/>
  <c r="W381" i="10"/>
  <c r="W383" i="10"/>
  <c r="W385" i="10"/>
  <c r="W387" i="10"/>
  <c r="W391" i="10"/>
  <c r="W393" i="10"/>
  <c r="W306" i="10"/>
  <c r="W307" i="10"/>
  <c r="W308" i="10"/>
  <c r="W310" i="10"/>
  <c r="W313" i="10"/>
  <c r="W314" i="10"/>
  <c r="W317" i="10"/>
  <c r="W319" i="10"/>
  <c r="W320" i="10"/>
  <c r="W344" i="10"/>
  <c r="W348" i="10"/>
  <c r="W352" i="10"/>
  <c r="W355" i="10"/>
  <c r="W358" i="10"/>
  <c r="W364" i="10"/>
  <c r="W371" i="10"/>
  <c r="W11" i="10"/>
  <c r="W12" i="10"/>
  <c r="W13" i="10"/>
  <c r="W14" i="10"/>
  <c r="W1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118" i="10"/>
  <c r="W119" i="10"/>
  <c r="W120" i="10"/>
  <c r="W121" i="10"/>
  <c r="W122" i="10"/>
  <c r="W123" i="10"/>
  <c r="W124" i="10"/>
  <c r="W125" i="10"/>
  <c r="W126" i="10"/>
  <c r="W127" i="10"/>
  <c r="W128" i="10"/>
  <c r="W129" i="10"/>
  <c r="W130" i="10"/>
  <c r="W131" i="10"/>
  <c r="W132" i="10"/>
  <c r="W133" i="10"/>
  <c r="W134" i="10"/>
  <c r="W135" i="10"/>
  <c r="W136" i="10"/>
  <c r="W137" i="10"/>
  <c r="W138" i="10"/>
  <c r="W139" i="10"/>
  <c r="W140" i="10"/>
  <c r="W141" i="10"/>
  <c r="W142" i="10"/>
  <c r="W143" i="10"/>
  <c r="W144" i="10"/>
  <c r="W145" i="10"/>
  <c r="W146" i="10"/>
  <c r="W147" i="10"/>
  <c r="W148" i="10"/>
  <c r="W149" i="10"/>
  <c r="W150" i="10"/>
  <c r="W151" i="10"/>
  <c r="W152" i="10"/>
  <c r="W153" i="10"/>
  <c r="W154" i="10"/>
  <c r="W155" i="10"/>
  <c r="W156" i="10"/>
  <c r="W157" i="10"/>
  <c r="W158" i="10"/>
  <c r="W159" i="10"/>
  <c r="W160" i="10"/>
  <c r="W161" i="10"/>
  <c r="W162" i="10"/>
  <c r="W163" i="10"/>
  <c r="W164" i="10"/>
  <c r="W165" i="10"/>
  <c r="W166" i="10"/>
  <c r="W167" i="10"/>
  <c r="W168" i="10"/>
  <c r="W169" i="10"/>
  <c r="W170" i="10"/>
  <c r="W171" i="10"/>
  <c r="W172" i="10"/>
  <c r="W173" i="10"/>
  <c r="W174" i="10"/>
  <c r="W175" i="10"/>
  <c r="W176" i="10"/>
  <c r="W177" i="10"/>
  <c r="W178" i="10"/>
  <c r="W179" i="10"/>
  <c r="W180" i="10"/>
  <c r="W181" i="10"/>
  <c r="W182" i="10"/>
  <c r="W183" i="10"/>
  <c r="W184" i="10"/>
  <c r="W185" i="10"/>
  <c r="W186" i="10"/>
  <c r="W187" i="10"/>
  <c r="W188" i="10"/>
  <c r="W189" i="10"/>
  <c r="W190" i="10"/>
  <c r="W191" i="10"/>
  <c r="W192" i="10"/>
  <c r="W193" i="10"/>
  <c r="W194" i="10"/>
  <c r="W195" i="10"/>
  <c r="W196" i="10"/>
  <c r="W197" i="10"/>
  <c r="W198" i="10"/>
  <c r="W199" i="10"/>
  <c r="W200" i="10"/>
  <c r="W201" i="10"/>
  <c r="W202" i="10"/>
  <c r="W203" i="10"/>
  <c r="W204" i="10"/>
  <c r="W205" i="10"/>
  <c r="W206" i="10"/>
  <c r="W207" i="10"/>
  <c r="W208" i="10"/>
  <c r="W209" i="10"/>
  <c r="W210" i="10"/>
  <c r="W211" i="10"/>
  <c r="W212" i="10"/>
  <c r="W213" i="10"/>
  <c r="W214" i="10"/>
  <c r="W215" i="10"/>
  <c r="W216" i="10"/>
  <c r="W217" i="10"/>
  <c r="W218" i="10"/>
  <c r="W219" i="10"/>
  <c r="W220" i="10"/>
  <c r="W221" i="10"/>
  <c r="W222" i="10"/>
  <c r="W223" i="10"/>
  <c r="W224" i="10"/>
  <c r="W225" i="10"/>
  <c r="W226" i="10"/>
  <c r="W227" i="10"/>
  <c r="W228" i="10"/>
  <c r="W229" i="10"/>
  <c r="W230" i="10"/>
  <c r="W231" i="10"/>
  <c r="W232" i="10"/>
  <c r="W233" i="10"/>
  <c r="W234" i="10"/>
  <c r="W235" i="10"/>
  <c r="W236" i="10"/>
  <c r="W237" i="10"/>
  <c r="W238" i="10"/>
  <c r="W239" i="10"/>
  <c r="W240" i="10"/>
  <c r="W241" i="10"/>
  <c r="W242" i="10"/>
  <c r="W243" i="10"/>
  <c r="W244" i="10"/>
  <c r="W245" i="10"/>
  <c r="W246" i="10"/>
  <c r="W247" i="10"/>
  <c r="W248" i="10"/>
  <c r="W249" i="10"/>
  <c r="W250" i="10"/>
  <c r="W251" i="10"/>
  <c r="W252" i="10"/>
  <c r="W253" i="10"/>
  <c r="W254" i="10"/>
  <c r="W255" i="10"/>
  <c r="W256" i="10"/>
  <c r="W257" i="10"/>
  <c r="W258" i="10"/>
  <c r="W259" i="10"/>
  <c r="W260" i="10"/>
  <c r="W261" i="10"/>
  <c r="W262" i="10"/>
  <c r="W263" i="10"/>
  <c r="W264" i="10"/>
  <c r="W265" i="10"/>
  <c r="W266" i="10"/>
  <c r="W267" i="10"/>
  <c r="W268" i="10"/>
  <c r="W269" i="10"/>
  <c r="W270" i="10"/>
  <c r="W271" i="10"/>
  <c r="W272" i="10"/>
  <c r="W273" i="10"/>
  <c r="W274" i="10"/>
  <c r="W275" i="10"/>
  <c r="W276" i="10"/>
  <c r="W277" i="10"/>
  <c r="W278" i="10"/>
  <c r="W279" i="10"/>
  <c r="W280" i="10"/>
  <c r="W281" i="10"/>
  <c r="W282" i="10"/>
  <c r="W283" i="10"/>
  <c r="W284" i="10"/>
  <c r="W285" i="10"/>
  <c r="W286" i="10"/>
  <c r="W287" i="10"/>
  <c r="W288" i="10"/>
  <c r="W289" i="10"/>
  <c r="W290" i="10"/>
  <c r="W291" i="10"/>
  <c r="W292" i="10"/>
  <c r="W293" i="10"/>
  <c r="W294" i="10"/>
  <c r="W295" i="10"/>
  <c r="W296" i="10"/>
  <c r="W297" i="10"/>
  <c r="W298" i="10"/>
  <c r="W299" i="10"/>
  <c r="W300" i="10"/>
  <c r="W301" i="10"/>
  <c r="W302" i="10"/>
  <c r="W303" i="10"/>
  <c r="W318" i="10"/>
  <c r="W322" i="10"/>
  <c r="W324" i="10"/>
  <c r="W325" i="10"/>
  <c r="W326" i="10"/>
  <c r="W327" i="10"/>
  <c r="W328" i="10"/>
  <c r="W331" i="10"/>
  <c r="W332" i="10"/>
  <c r="W340" i="10"/>
  <c r="W341" i="10"/>
  <c r="W342" i="10"/>
  <c r="W343" i="10"/>
  <c r="W345" i="10"/>
  <c r="W347" i="10"/>
  <c r="W357" i="10"/>
  <c r="W360" i="10"/>
  <c r="W363" i="10"/>
  <c r="W370" i="10"/>
  <c r="W376" i="10"/>
  <c r="W379" i="10"/>
  <c r="W380" i="10"/>
  <c r="W384" i="10"/>
  <c r="W386" i="10"/>
  <c r="W388" i="10"/>
  <c r="W389" i="10"/>
  <c r="W390" i="10"/>
  <c r="W394" i="10"/>
  <c r="W396" i="10"/>
  <c r="W398" i="10"/>
  <c r="W399" i="10"/>
  <c r="W400" i="10"/>
  <c r="W401" i="10"/>
  <c r="W404" i="10"/>
  <c r="W407" i="10"/>
  <c r="W304" i="10"/>
  <c r="W309" i="10"/>
  <c r="W311" i="10"/>
  <c r="W315" i="10"/>
  <c r="W321" i="10"/>
  <c r="W323" i="10"/>
  <c r="W330" i="10"/>
  <c r="W335" i="10"/>
  <c r="W336" i="10"/>
  <c r="W346" i="10"/>
  <c r="W351" i="10"/>
  <c r="W353" i="10"/>
  <c r="W354" i="10"/>
  <c r="W365" i="10"/>
  <c r="W366" i="10"/>
  <c r="W372" i="10"/>
  <c r="W374" i="10"/>
  <c r="W375" i="10"/>
  <c r="W382" i="10"/>
  <c r="W392" i="10"/>
  <c r="W395" i="10"/>
  <c r="W397" i="10"/>
  <c r="W402" i="10"/>
  <c r="W403" i="10"/>
  <c r="W405" i="10"/>
  <c r="W406" i="10"/>
  <c r="W408" i="10"/>
  <c r="W409" i="10"/>
  <c r="W305" i="10"/>
  <c r="V313" i="10"/>
  <c r="V326" i="10"/>
  <c r="V327" i="10"/>
  <c r="V335" i="10"/>
  <c r="V336" i="10"/>
  <c r="V348" i="10"/>
  <c r="V349" i="10"/>
  <c r="V350" i="10"/>
  <c r="V351" i="10"/>
  <c r="V354" i="10"/>
  <c r="V355" i="10"/>
  <c r="V357" i="10"/>
  <c r="V358" i="10"/>
  <c r="V361" i="10"/>
  <c r="V366" i="10"/>
  <c r="V371" i="10"/>
  <c r="V372" i="10"/>
  <c r="V373" i="10"/>
  <c r="V374" i="10"/>
  <c r="V376" i="10"/>
  <c r="V378" i="10"/>
  <c r="V379" i="10"/>
  <c r="V381" i="10"/>
  <c r="V382" i="10"/>
  <c r="V384" i="10"/>
  <c r="V386" i="10"/>
  <c r="V387" i="10"/>
  <c r="V389" i="10"/>
  <c r="V395" i="10"/>
  <c r="V397" i="10"/>
  <c r="V403" i="10"/>
  <c r="V303" i="10"/>
  <c r="V305" i="10"/>
  <c r="V308" i="10"/>
  <c r="V309" i="10"/>
  <c r="V310" i="10"/>
  <c r="V317" i="10"/>
  <c r="V318" i="10"/>
  <c r="V319" i="10"/>
  <c r="V322" i="10"/>
  <c r="V325" i="10"/>
  <c r="V331" i="10"/>
  <c r="V333" i="10"/>
  <c r="V334" i="10"/>
  <c r="V340" i="10"/>
  <c r="V343" i="10"/>
  <c r="V345" i="10"/>
  <c r="V347" i="10"/>
  <c r="V364" i="10"/>
  <c r="V368" i="10"/>
  <c r="V369"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4" i="10"/>
  <c r="V312" i="10"/>
  <c r="V314" i="10"/>
  <c r="V321" i="10"/>
  <c r="V323" i="10"/>
  <c r="V329" i="10"/>
  <c r="V337" i="10"/>
  <c r="V338" i="10"/>
  <c r="V344" i="10"/>
  <c r="V346" i="10"/>
  <c r="V352" i="10"/>
  <c r="V353" i="10"/>
  <c r="V356" i="10"/>
  <c r="V359" i="10"/>
  <c r="V360" i="10"/>
  <c r="V362" i="10"/>
  <c r="V363" i="10"/>
  <c r="V365" i="10"/>
  <c r="V367" i="10"/>
  <c r="V370" i="10"/>
  <c r="V375" i="10"/>
  <c r="V377" i="10"/>
  <c r="V390" i="10"/>
  <c r="V391" i="10"/>
  <c r="V392" i="10"/>
  <c r="V396" i="10"/>
  <c r="V399" i="10"/>
  <c r="V401" i="10"/>
  <c r="V405" i="10"/>
  <c r="V406" i="10"/>
  <c r="V408" i="10"/>
  <c r="V409" i="10"/>
  <c r="V306" i="10"/>
  <c r="V307" i="10"/>
  <c r="V311" i="10"/>
  <c r="V315" i="10"/>
  <c r="V316" i="10"/>
  <c r="V320" i="10"/>
  <c r="V324" i="10"/>
  <c r="V328" i="10"/>
  <c r="V330" i="10"/>
  <c r="V339" i="10"/>
  <c r="V341" i="10"/>
  <c r="V342" i="10"/>
  <c r="V380" i="10"/>
  <c r="V383" i="10"/>
  <c r="V385" i="10"/>
  <c r="V388" i="10"/>
  <c r="V393" i="10"/>
  <c r="V394" i="10"/>
  <c r="V398" i="10"/>
  <c r="V400" i="10"/>
  <c r="V402" i="10"/>
  <c r="V404" i="10"/>
  <c r="V407" i="10"/>
  <c r="V332" i="10"/>
  <c r="AA304" i="10"/>
  <c r="AA308" i="10"/>
  <c r="AA311" i="10"/>
  <c r="AA312" i="10"/>
  <c r="AA321" i="10"/>
  <c r="AA328" i="10"/>
  <c r="AA331" i="10"/>
  <c r="AA334" i="10"/>
  <c r="AA335" i="10"/>
  <c r="AA349" i="10"/>
  <c r="AA350" i="10"/>
  <c r="AA353" i="10"/>
  <c r="AA354" i="10"/>
  <c r="AA361" i="10"/>
  <c r="AA365" i="10"/>
  <c r="AA368" i="10"/>
  <c r="AA369" i="10"/>
  <c r="AA370" i="10"/>
  <c r="AA373" i="10"/>
  <c r="AA374" i="10"/>
  <c r="AA388" i="10"/>
  <c r="AA389" i="10"/>
  <c r="AA392" i="10"/>
  <c r="AA393" i="10"/>
  <c r="AA394" i="10"/>
  <c r="AA396" i="10"/>
  <c r="AA397" i="10"/>
  <c r="AA398" i="10"/>
  <c r="AA399" i="10"/>
  <c r="AA401" i="10"/>
  <c r="AA303" i="10"/>
  <c r="AA309" i="10"/>
  <c r="AA317" i="10"/>
  <c r="AA318" i="10"/>
  <c r="AA337" i="10"/>
  <c r="AA342" i="10"/>
  <c r="AA344" i="10"/>
  <c r="AA345" i="10"/>
  <c r="AA347" i="10"/>
  <c r="AA348" i="10"/>
  <c r="AA351" i="10"/>
  <c r="AA356" i="10"/>
  <c r="AA362" i="10"/>
  <c r="AA11" i="10"/>
  <c r="AA12" i="10"/>
  <c r="AA13" i="10"/>
  <c r="AA14" i="10"/>
  <c r="AA15" i="10"/>
  <c r="AA16" i="10"/>
  <c r="AA17" i="10"/>
  <c r="AA18"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155" i="10"/>
  <c r="AA156" i="10"/>
  <c r="AA157" i="10"/>
  <c r="AA158" i="10"/>
  <c r="AA159" i="10"/>
  <c r="AA160" i="10"/>
  <c r="AA161" i="10"/>
  <c r="AA162" i="10"/>
  <c r="AA163" i="10"/>
  <c r="AA164" i="10"/>
  <c r="AA165" i="10"/>
  <c r="AA166" i="10"/>
  <c r="AA167" i="10"/>
  <c r="AA168" i="10"/>
  <c r="AA169" i="10"/>
  <c r="AA170" i="10"/>
  <c r="AA171" i="10"/>
  <c r="AA172" i="10"/>
  <c r="AA173" i="10"/>
  <c r="AA174" i="10"/>
  <c r="AA175" i="10"/>
  <c r="AA176" i="10"/>
  <c r="AA177" i="10"/>
  <c r="AA178" i="10"/>
  <c r="AA179" i="10"/>
  <c r="AA180" i="10"/>
  <c r="AA181" i="10"/>
  <c r="AA182" i="10"/>
  <c r="AA183" i="10"/>
  <c r="AA184" i="10"/>
  <c r="AA185" i="10"/>
  <c r="AA186" i="10"/>
  <c r="AA187" i="10"/>
  <c r="AA188" i="10"/>
  <c r="AA189" i="10"/>
  <c r="AA190" i="10"/>
  <c r="AA191" i="10"/>
  <c r="AA192" i="10"/>
  <c r="AA193" i="10"/>
  <c r="AA194" i="10"/>
  <c r="AA195" i="10"/>
  <c r="AA196" i="10"/>
  <c r="AA197" i="10"/>
  <c r="AA198" i="10"/>
  <c r="AA199" i="10"/>
  <c r="AA200" i="10"/>
  <c r="AA201" i="10"/>
  <c r="AA202" i="10"/>
  <c r="AA203" i="10"/>
  <c r="AA204" i="10"/>
  <c r="AA205" i="10"/>
  <c r="AA206" i="10"/>
  <c r="AA207" i="10"/>
  <c r="AA208" i="10"/>
  <c r="AA209" i="10"/>
  <c r="AA210" i="10"/>
  <c r="AA211" i="10"/>
  <c r="AA212" i="10"/>
  <c r="AA213" i="10"/>
  <c r="AA214" i="10"/>
  <c r="AA215" i="10"/>
  <c r="AA216" i="10"/>
  <c r="AA217" i="10"/>
  <c r="AA218" i="10"/>
  <c r="AA219" i="10"/>
  <c r="AA220" i="10"/>
  <c r="AA221" i="10"/>
  <c r="AA222" i="10"/>
  <c r="AA223" i="10"/>
  <c r="AA224" i="10"/>
  <c r="AA225" i="10"/>
  <c r="AA226" i="10"/>
  <c r="AA227" i="10"/>
  <c r="AA228" i="10"/>
  <c r="AA229" i="10"/>
  <c r="AA230" i="10"/>
  <c r="AA231" i="10"/>
  <c r="AA232" i="10"/>
  <c r="AA233" i="10"/>
  <c r="AA234" i="10"/>
  <c r="AA235" i="10"/>
  <c r="AA236" i="10"/>
  <c r="AA237" i="10"/>
  <c r="AA238" i="10"/>
  <c r="AA239" i="10"/>
  <c r="AA240" i="10"/>
  <c r="AA241" i="10"/>
  <c r="AA242" i="10"/>
  <c r="AA243" i="10"/>
  <c r="AA244" i="10"/>
  <c r="AA245" i="10"/>
  <c r="AA246" i="10"/>
  <c r="AA247" i="10"/>
  <c r="AA248" i="10"/>
  <c r="AA249" i="10"/>
  <c r="AA250" i="10"/>
  <c r="AA251" i="10"/>
  <c r="AA252" i="10"/>
  <c r="AA253" i="10"/>
  <c r="AA254" i="10"/>
  <c r="AA255" i="10"/>
  <c r="AA256" i="10"/>
  <c r="AA257" i="10"/>
  <c r="AA258" i="10"/>
  <c r="AA259" i="10"/>
  <c r="AA260" i="10"/>
  <c r="AA261" i="10"/>
  <c r="AA262" i="10"/>
  <c r="AA263" i="10"/>
  <c r="AA264" i="10"/>
  <c r="AA265" i="10"/>
  <c r="AA266" i="10"/>
  <c r="AA267" i="10"/>
  <c r="AA268" i="10"/>
  <c r="AA269" i="10"/>
  <c r="AA270" i="10"/>
  <c r="AA271" i="10"/>
  <c r="AA272" i="10"/>
  <c r="AA273" i="10"/>
  <c r="AA274" i="10"/>
  <c r="AA275" i="10"/>
  <c r="AA276" i="10"/>
  <c r="AA277" i="10"/>
  <c r="AA278" i="10"/>
  <c r="AA279" i="10"/>
  <c r="AA280" i="10"/>
  <c r="AA281" i="10"/>
  <c r="AA282" i="10"/>
  <c r="AA283" i="10"/>
  <c r="AA284" i="10"/>
  <c r="AA285" i="10"/>
  <c r="AA286" i="10"/>
  <c r="AA287" i="10"/>
  <c r="AA288" i="10"/>
  <c r="AA289" i="10"/>
  <c r="AA290" i="10"/>
  <c r="AA291" i="10"/>
  <c r="AA292" i="10"/>
  <c r="AA293" i="10"/>
  <c r="AA294" i="10"/>
  <c r="AA295" i="10"/>
  <c r="AA296" i="10"/>
  <c r="AA297" i="10"/>
  <c r="AA298" i="10"/>
  <c r="AA299" i="10"/>
  <c r="AA300" i="10"/>
  <c r="AA301" i="10"/>
  <c r="AA302" i="10"/>
  <c r="AA307" i="10"/>
  <c r="AA316" i="10"/>
  <c r="AA319" i="10"/>
  <c r="AA322" i="10"/>
  <c r="AA324" i="10"/>
  <c r="AA327" i="10"/>
  <c r="AA330" i="10"/>
  <c r="AA333" i="10"/>
  <c r="AA336" i="10"/>
  <c r="AA338" i="10"/>
  <c r="AA340" i="10"/>
  <c r="AA346" i="10"/>
  <c r="AA355" i="10"/>
  <c r="AA358" i="10"/>
  <c r="AA359" i="10"/>
  <c r="AA360" i="10"/>
  <c r="AA363" i="10"/>
  <c r="AA367" i="10"/>
  <c r="AA371" i="10"/>
  <c r="AA375" i="10"/>
  <c r="AA382" i="10"/>
  <c r="AA387" i="10"/>
  <c r="AA404" i="10"/>
  <c r="AA406" i="10"/>
  <c r="AA306" i="10"/>
  <c r="AA310" i="10"/>
  <c r="AA313" i="10"/>
  <c r="AA314" i="10"/>
  <c r="AA315" i="10"/>
  <c r="AA320" i="10"/>
  <c r="AA323" i="10"/>
  <c r="AA325" i="10"/>
  <c r="AA326" i="10"/>
  <c r="AA329" i="10"/>
  <c r="AA332" i="10"/>
  <c r="AA339" i="10"/>
  <c r="AA341" i="10"/>
  <c r="AA343" i="10"/>
  <c r="AA352" i="10"/>
  <c r="AA357" i="10"/>
  <c r="AA364" i="10"/>
  <c r="AA366" i="10"/>
  <c r="AA372" i="10"/>
  <c r="AA376" i="10"/>
  <c r="AA377" i="10"/>
  <c r="AA378" i="10"/>
  <c r="AA379" i="10"/>
  <c r="AA380" i="10"/>
  <c r="AA381" i="10"/>
  <c r="AA383" i="10"/>
  <c r="AA384" i="10"/>
  <c r="AA385" i="10"/>
  <c r="AA390" i="10"/>
  <c r="AA391" i="10"/>
  <c r="AA395" i="10"/>
  <c r="AA400" i="10"/>
  <c r="AA402" i="10"/>
  <c r="AA403" i="10"/>
  <c r="AA405" i="10"/>
  <c r="AA407" i="10"/>
  <c r="AA408" i="10"/>
  <c r="AA409" i="10"/>
  <c r="AA305" i="10"/>
  <c r="AA386" i="10"/>
  <c r="I16" i="9"/>
  <c r="L6" i="10"/>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Z114" i="6"/>
  <c r="Z115" i="6"/>
  <c r="Z116" i="6"/>
  <c r="Z117" i="6"/>
  <c r="Z118" i="6"/>
  <c r="Z119" i="6"/>
  <c r="Z120" i="6"/>
  <c r="Z121" i="6"/>
  <c r="Z122" i="6"/>
  <c r="Z123" i="6"/>
  <c r="Z124" i="6"/>
  <c r="Z125" i="6"/>
  <c r="Z126" i="6"/>
  <c r="Z127" i="6"/>
  <c r="Z128" i="6"/>
  <c r="Z129" i="6"/>
  <c r="Z130" i="6"/>
  <c r="Z131" i="6"/>
  <c r="Z132" i="6"/>
  <c r="Z133" i="6"/>
  <c r="Z134" i="6"/>
  <c r="Z135" i="6"/>
  <c r="Z136" i="6"/>
  <c r="Z137" i="6"/>
  <c r="Z138" i="6"/>
  <c r="Z139" i="6"/>
  <c r="Z140" i="6"/>
  <c r="Z141" i="6"/>
  <c r="Z142" i="6"/>
  <c r="Z143" i="6"/>
  <c r="Z144" i="6"/>
  <c r="Z145" i="6"/>
  <c r="Z146" i="6"/>
  <c r="Z147" i="6"/>
  <c r="Z148" i="6"/>
  <c r="Z149" i="6"/>
  <c r="Z150" i="6"/>
  <c r="Z151" i="6"/>
  <c r="Z152" i="6"/>
  <c r="Z153" i="6"/>
  <c r="Z154" i="6"/>
  <c r="Z155" i="6"/>
  <c r="Z156" i="6"/>
  <c r="Z157" i="6"/>
  <c r="Z159" i="6"/>
  <c r="Z161" i="6"/>
  <c r="Z165" i="6"/>
  <c r="Z166" i="6"/>
  <c r="Z171" i="6"/>
  <c r="Z172" i="6"/>
  <c r="Z173" i="6"/>
  <c r="Z174" i="6"/>
  <c r="Z179" i="6"/>
  <c r="Z180" i="6"/>
  <c r="Z181" i="6"/>
  <c r="Z183" i="6"/>
  <c r="Z184" i="6"/>
  <c r="Z187" i="6"/>
  <c r="Z189" i="6"/>
  <c r="Z191" i="6"/>
  <c r="Z192" i="6"/>
  <c r="Z193" i="6"/>
  <c r="Z194" i="6"/>
  <c r="Z196" i="6"/>
  <c r="Z202" i="6"/>
  <c r="Z205" i="6"/>
  <c r="Z206" i="6"/>
  <c r="Z207" i="6"/>
  <c r="Z208" i="6"/>
  <c r="Z210" i="6"/>
  <c r="Z211" i="6"/>
  <c r="Z214" i="6"/>
  <c r="Z221" i="6"/>
  <c r="Z222" i="6"/>
  <c r="Z223" i="6"/>
  <c r="Z224" i="6"/>
  <c r="Z225" i="6"/>
  <c r="Z226" i="6"/>
  <c r="Z227" i="6"/>
  <c r="Z228" i="6"/>
  <c r="Z229" i="6"/>
  <c r="Z230" i="6"/>
  <c r="Z233" i="6"/>
  <c r="Z238" i="6"/>
  <c r="Z240" i="6"/>
  <c r="Z241" i="6"/>
  <c r="Z242" i="6"/>
  <c r="Z244" i="6"/>
  <c r="Z252" i="6"/>
  <c r="Z253" i="6"/>
  <c r="Z254" i="6"/>
  <c r="Z255" i="6"/>
  <c r="Z256" i="6"/>
  <c r="Z257" i="6"/>
  <c r="Z259" i="6"/>
  <c r="Z261" i="6"/>
  <c r="Z263" i="6"/>
  <c r="Z266" i="6"/>
  <c r="Z268" i="6"/>
  <c r="Z273" i="6"/>
  <c r="Z277" i="6"/>
  <c r="Z279" i="6"/>
  <c r="Z280" i="6"/>
  <c r="Z282" i="6"/>
  <c r="Z284" i="6"/>
  <c r="Z286" i="6"/>
  <c r="Z289" i="6"/>
  <c r="Z290" i="6"/>
  <c r="Z291" i="6"/>
  <c r="Z292" i="6"/>
  <c r="Z293" i="6"/>
  <c r="Z295" i="6"/>
  <c r="Z296" i="6"/>
  <c r="Z297" i="6"/>
  <c r="Z298" i="6"/>
  <c r="Z300" i="6"/>
  <c r="Z301" i="6"/>
  <c r="Z158" i="6"/>
  <c r="Z160" i="6"/>
  <c r="Z162" i="6"/>
  <c r="Z163" i="6"/>
  <c r="Z164" i="6"/>
  <c r="Z167" i="6"/>
  <c r="Z168" i="6"/>
  <c r="Z169" i="6"/>
  <c r="Z170" i="6"/>
  <c r="Z175" i="6"/>
  <c r="Z176" i="6"/>
  <c r="Z177" i="6"/>
  <c r="Z178" i="6"/>
  <c r="Z182" i="6"/>
  <c r="Z185" i="6"/>
  <c r="Z186" i="6"/>
  <c r="Z188" i="6"/>
  <c r="Z190" i="6"/>
  <c r="Z195" i="6"/>
  <c r="Z197" i="6"/>
  <c r="Z198" i="6"/>
  <c r="Z199" i="6"/>
  <c r="Z200" i="6"/>
  <c r="Z201" i="6"/>
  <c r="Z203" i="6"/>
  <c r="Z204" i="6"/>
  <c r="Z209" i="6"/>
  <c r="Z212" i="6"/>
  <c r="Z213" i="6"/>
  <c r="Z215" i="6"/>
  <c r="Z216" i="6"/>
  <c r="Z217" i="6"/>
  <c r="Z218" i="6"/>
  <c r="Z219" i="6"/>
  <c r="Z220" i="6"/>
  <c r="Z231" i="6"/>
  <c r="Z232" i="6"/>
  <c r="Z234" i="6"/>
  <c r="Z235" i="6"/>
  <c r="Z236" i="6"/>
  <c r="Z237" i="6"/>
  <c r="Z239" i="6"/>
  <c r="Z243" i="6"/>
  <c r="Z245" i="6"/>
  <c r="Z246" i="6"/>
  <c r="Z247" i="6"/>
  <c r="Z248" i="6"/>
  <c r="Z249" i="6"/>
  <c r="Z250" i="6"/>
  <c r="Z251" i="6"/>
  <c r="Z258" i="6"/>
  <c r="Z260" i="6"/>
  <c r="Z262" i="6"/>
  <c r="Z264" i="6"/>
  <c r="Z265" i="6"/>
  <c r="Z267" i="6"/>
  <c r="Z269" i="6"/>
  <c r="Z270" i="6"/>
  <c r="Z271" i="6"/>
  <c r="Z272" i="6"/>
  <c r="Z274" i="6"/>
  <c r="Z275" i="6"/>
  <c r="Z276" i="6"/>
  <c r="Z278" i="6"/>
  <c r="Z281" i="6"/>
  <c r="Z283" i="6"/>
  <c r="Z285" i="6"/>
  <c r="Z287" i="6"/>
  <c r="Z288" i="6"/>
  <c r="Z294" i="6"/>
  <c r="Z299" i="6"/>
  <c r="Z302" i="6"/>
  <c r="Z303" i="6"/>
  <c r="Z304" i="6"/>
  <c r="Z305" i="6"/>
  <c r="Z306" i="6"/>
  <c r="Z307" i="6"/>
  <c r="Z308" i="6"/>
  <c r="Z309" i="6"/>
  <c r="Z310" i="6"/>
  <c r="Z311" i="6"/>
  <c r="Z312" i="6"/>
  <c r="Z313" i="6"/>
  <c r="Z314" i="6"/>
  <c r="Z315" i="6"/>
  <c r="Z317" i="6"/>
  <c r="Z318" i="6"/>
  <c r="Z319" i="6"/>
  <c r="Z320" i="6"/>
  <c r="Z321" i="6"/>
  <c r="Z322" i="6"/>
  <c r="Z323" i="6"/>
  <c r="Z324" i="6"/>
  <c r="Z325" i="6"/>
  <c r="Z326" i="6"/>
  <c r="Z327" i="6"/>
  <c r="Z328" i="6"/>
  <c r="Z329" i="6"/>
  <c r="Z330" i="6"/>
  <c r="Z331" i="6"/>
  <c r="Z332" i="6"/>
  <c r="Z333" i="6"/>
  <c r="Z334" i="6"/>
  <c r="Z335" i="6"/>
  <c r="Z336" i="6"/>
  <c r="Z337" i="6"/>
  <c r="Z338" i="6"/>
  <c r="Z339" i="6"/>
  <c r="Z340" i="6"/>
  <c r="Z341" i="6"/>
  <c r="Z342" i="6"/>
  <c r="Z343" i="6"/>
  <c r="Z344" i="6"/>
  <c r="Z345" i="6"/>
  <c r="Z346" i="6"/>
  <c r="Z347" i="6"/>
  <c r="Z348" i="6"/>
  <c r="Z349" i="6"/>
  <c r="Z350" i="6"/>
  <c r="Z351" i="6"/>
  <c r="Z352" i="6"/>
  <c r="Z353" i="6"/>
  <c r="Z354" i="6"/>
  <c r="Z355" i="6"/>
  <c r="Z356" i="6"/>
  <c r="Z357" i="6"/>
  <c r="Z358" i="6"/>
  <c r="Z359" i="6"/>
  <c r="Z360" i="6"/>
  <c r="Z361" i="6"/>
  <c r="Z362" i="6"/>
  <c r="Z363" i="6"/>
  <c r="Z364" i="6"/>
  <c r="Z365" i="6"/>
  <c r="Z366" i="6"/>
  <c r="Z367" i="6"/>
  <c r="Z368" i="6"/>
  <c r="Z369" i="6"/>
  <c r="Z370" i="6"/>
  <c r="Z371" i="6"/>
  <c r="Z372" i="6"/>
  <c r="Z373" i="6"/>
  <c r="Z374" i="6"/>
  <c r="Z375" i="6"/>
  <c r="Z376" i="6"/>
  <c r="Z377" i="6"/>
  <c r="Z378" i="6"/>
  <c r="Z379" i="6"/>
  <c r="Z380" i="6"/>
  <c r="Z381" i="6"/>
  <c r="Z382" i="6"/>
  <c r="Z383" i="6"/>
  <c r="Z384" i="6"/>
  <c r="Z385" i="6"/>
  <c r="Z386" i="6"/>
  <c r="Z387" i="6"/>
  <c r="Z388" i="6"/>
  <c r="Z389" i="6"/>
  <c r="Z390" i="6"/>
  <c r="Z391" i="6"/>
  <c r="Z392" i="6"/>
  <c r="Z393" i="6"/>
  <c r="Z394" i="6"/>
  <c r="Z395" i="6"/>
  <c r="Z396" i="6"/>
  <c r="Z397" i="6"/>
  <c r="Z398" i="6"/>
  <c r="Z399" i="6"/>
  <c r="Z400" i="6"/>
  <c r="Z401" i="6"/>
  <c r="Z402" i="6"/>
  <c r="Z403" i="6"/>
  <c r="Z404" i="6"/>
  <c r="Z405" i="6"/>
  <c r="Z406" i="6"/>
  <c r="Z407" i="6"/>
  <c r="Z408" i="6"/>
  <c r="Z409" i="6"/>
  <c r="Z410" i="6"/>
  <c r="Z411" i="6"/>
  <c r="Z412" i="6"/>
  <c r="Z413" i="6"/>
  <c r="Z414" i="6"/>
  <c r="Z415" i="6"/>
  <c r="Z416" i="6"/>
  <c r="Z417" i="6"/>
  <c r="Z418" i="6"/>
  <c r="Z419" i="6"/>
  <c r="Z420" i="6"/>
  <c r="Z421" i="6"/>
  <c r="Z422" i="6"/>
  <c r="Z423" i="6"/>
  <c r="Z424" i="6"/>
  <c r="Z425" i="6"/>
  <c r="Z426" i="6"/>
  <c r="Z427" i="6"/>
  <c r="Z428" i="6"/>
  <c r="Z429" i="6"/>
  <c r="Z430" i="6"/>
  <c r="Z431" i="6"/>
  <c r="Z432" i="6"/>
  <c r="Z433" i="6"/>
  <c r="Z434" i="6"/>
  <c r="Z435" i="6"/>
  <c r="Z436" i="6"/>
  <c r="Z437" i="6"/>
  <c r="Z438" i="6"/>
  <c r="Z439" i="6"/>
  <c r="Z440" i="6"/>
  <c r="Z441" i="6"/>
  <c r="Z442" i="6"/>
  <c r="Z443" i="6"/>
  <c r="Z444" i="6"/>
  <c r="Z445" i="6"/>
  <c r="Z446" i="6"/>
  <c r="Z447" i="6"/>
  <c r="Z448" i="6"/>
  <c r="Z449" i="6"/>
  <c r="Z450" i="6"/>
  <c r="Z451" i="6"/>
  <c r="Z452" i="6"/>
  <c r="Z453" i="6"/>
  <c r="Z454" i="6"/>
  <c r="Z455" i="6"/>
  <c r="Z456" i="6"/>
  <c r="Z457" i="6"/>
  <c r="Z458" i="6"/>
  <c r="Z459" i="6"/>
  <c r="Z460" i="6"/>
  <c r="Z461" i="6"/>
  <c r="Z462" i="6"/>
  <c r="Z463" i="6"/>
  <c r="Z464" i="6"/>
  <c r="Z465" i="6"/>
  <c r="Z466" i="6"/>
  <c r="Z467" i="6"/>
  <c r="Z468" i="6"/>
  <c r="Z469" i="6"/>
  <c r="Z470" i="6"/>
  <c r="Z471" i="6"/>
  <c r="Z472" i="6"/>
  <c r="Z473" i="6"/>
  <c r="Z474" i="6"/>
  <c r="Z475" i="6"/>
  <c r="Z476" i="6"/>
  <c r="Z477" i="6"/>
  <c r="Z478" i="6"/>
  <c r="Z479" i="6"/>
  <c r="Z480" i="6"/>
  <c r="Z481" i="6"/>
  <c r="Z316"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60" i="6"/>
  <c r="Y162" i="6"/>
  <c r="Y164" i="6"/>
  <c r="Y165" i="6"/>
  <c r="Y167" i="6"/>
  <c r="Y169" i="6"/>
  <c r="Y170" i="6"/>
  <c r="Y171" i="6"/>
  <c r="Y176" i="6"/>
  <c r="Y178" i="6"/>
  <c r="Y182" i="6"/>
  <c r="Y185" i="6"/>
  <c r="Y186" i="6"/>
  <c r="Y187" i="6"/>
  <c r="Y188" i="6"/>
  <c r="Y190" i="6"/>
  <c r="Y197" i="6"/>
  <c r="Y198" i="6"/>
  <c r="Y200" i="6"/>
  <c r="Y201" i="6"/>
  <c r="Y207" i="6"/>
  <c r="Y208" i="6"/>
  <c r="Y209" i="6"/>
  <c r="Y210" i="6"/>
  <c r="Y211" i="6"/>
  <c r="Y213" i="6"/>
  <c r="Y215" i="6"/>
  <c r="Y217" i="6"/>
  <c r="Y218" i="6"/>
  <c r="Y228" i="6"/>
  <c r="Y232" i="6"/>
  <c r="Y233" i="6"/>
  <c r="Y234" i="6"/>
  <c r="Y235" i="6"/>
  <c r="Y236" i="6"/>
  <c r="Y237" i="6"/>
  <c r="Y239" i="6"/>
  <c r="Y240" i="6"/>
  <c r="Y244" i="6"/>
  <c r="Y245" i="6"/>
  <c r="Y246" i="6"/>
  <c r="Y248" i="6"/>
  <c r="Y249" i="6"/>
  <c r="Y250" i="6"/>
  <c r="Y251" i="6"/>
  <c r="Y252" i="6"/>
  <c r="Y256" i="6"/>
  <c r="Y260" i="6"/>
  <c r="Y262" i="6"/>
  <c r="Y264" i="6"/>
  <c r="Y265" i="6"/>
  <c r="Y267" i="6"/>
  <c r="Y269" i="6"/>
  <c r="Y270" i="6"/>
  <c r="Y271" i="6"/>
  <c r="Y272" i="6"/>
  <c r="Y273" i="6"/>
  <c r="Y274" i="6"/>
  <c r="Y275" i="6"/>
  <c r="Y276" i="6"/>
  <c r="Y278" i="6"/>
  <c r="Y281" i="6"/>
  <c r="Y283" i="6"/>
  <c r="Y285" i="6"/>
  <c r="Y287" i="6"/>
  <c r="Y291" i="6"/>
  <c r="Y294" i="6"/>
  <c r="Y299" i="6"/>
  <c r="Y300" i="6"/>
  <c r="Y159" i="6"/>
  <c r="Y161" i="6"/>
  <c r="Y163" i="6"/>
  <c r="Y166" i="6"/>
  <c r="Y168" i="6"/>
  <c r="Y172" i="6"/>
  <c r="Y173" i="6"/>
  <c r="Y174" i="6"/>
  <c r="Y175" i="6"/>
  <c r="Y177" i="6"/>
  <c r="Y179" i="6"/>
  <c r="Y180" i="6"/>
  <c r="Y181" i="6"/>
  <c r="Y183" i="6"/>
  <c r="Y184" i="6"/>
  <c r="Y189" i="6"/>
  <c r="Y191" i="6"/>
  <c r="Y192" i="6"/>
  <c r="Y193" i="6"/>
  <c r="Y194" i="6"/>
  <c r="Y195" i="6"/>
  <c r="Y196" i="6"/>
  <c r="Y199" i="6"/>
  <c r="Y202" i="6"/>
  <c r="Y203" i="6"/>
  <c r="Y204" i="6"/>
  <c r="Y205" i="6"/>
  <c r="Y206" i="6"/>
  <c r="Y212" i="6"/>
  <c r="Y214" i="6"/>
  <c r="Y216" i="6"/>
  <c r="Y219" i="6"/>
  <c r="Y220" i="6"/>
  <c r="Y221" i="6"/>
  <c r="Y222" i="6"/>
  <c r="Y223" i="6"/>
  <c r="Y224" i="6"/>
  <c r="Y225" i="6"/>
  <c r="Y226" i="6"/>
  <c r="Y227" i="6"/>
  <c r="Y229" i="6"/>
  <c r="Y230" i="6"/>
  <c r="Y231" i="6"/>
  <c r="Y238" i="6"/>
  <c r="Y241" i="6"/>
  <c r="Y242" i="6"/>
  <c r="Y243" i="6"/>
  <c r="Y247" i="6"/>
  <c r="Y253" i="6"/>
  <c r="Y254" i="6"/>
  <c r="Y255" i="6"/>
  <c r="Y257" i="6"/>
  <c r="Y258" i="6"/>
  <c r="Y259" i="6"/>
  <c r="Y261" i="6"/>
  <c r="Y263" i="6"/>
  <c r="Y266" i="6"/>
  <c r="Y268" i="6"/>
  <c r="Y277" i="6"/>
  <c r="Y279" i="6"/>
  <c r="Y280" i="6"/>
  <c r="Y282" i="6"/>
  <c r="Y284" i="6"/>
  <c r="Y286" i="6"/>
  <c r="Y288" i="6"/>
  <c r="Y289" i="6"/>
  <c r="Y290" i="6"/>
  <c r="Y292" i="6"/>
  <c r="Y293" i="6"/>
  <c r="Y295" i="6"/>
  <c r="Y296" i="6"/>
  <c r="Y297" i="6"/>
  <c r="Y298" i="6"/>
  <c r="Y301" i="6"/>
  <c r="Y302" i="6"/>
  <c r="Y303" i="6"/>
  <c r="Y304" i="6"/>
  <c r="Y305" i="6"/>
  <c r="Y306" i="6"/>
  <c r="Y307" i="6"/>
  <c r="Y308" i="6"/>
  <c r="Y309" i="6"/>
  <c r="Y310" i="6"/>
  <c r="Y311" i="6"/>
  <c r="Y312" i="6"/>
  <c r="Y313" i="6"/>
  <c r="Y314" i="6"/>
  <c r="Y315" i="6"/>
  <c r="Y317" i="6"/>
  <c r="Y318" i="6"/>
  <c r="Y319" i="6"/>
  <c r="Y320" i="6"/>
  <c r="Y321" i="6"/>
  <c r="Y322" i="6"/>
  <c r="Y323" i="6"/>
  <c r="Y324" i="6"/>
  <c r="Y325" i="6"/>
  <c r="Y326" i="6"/>
  <c r="Y327" i="6"/>
  <c r="Y328" i="6"/>
  <c r="Y329" i="6"/>
  <c r="Y330" i="6"/>
  <c r="Y331" i="6"/>
  <c r="Y332" i="6"/>
  <c r="Y333" i="6"/>
  <c r="Y334" i="6"/>
  <c r="Y335" i="6"/>
  <c r="Y336" i="6"/>
  <c r="Y337" i="6"/>
  <c r="Y338" i="6"/>
  <c r="Y339" i="6"/>
  <c r="Y340" i="6"/>
  <c r="Y341" i="6"/>
  <c r="Y342" i="6"/>
  <c r="Y343" i="6"/>
  <c r="Y344" i="6"/>
  <c r="Y345" i="6"/>
  <c r="Y346" i="6"/>
  <c r="Y347" i="6"/>
  <c r="Y348" i="6"/>
  <c r="Y349" i="6"/>
  <c r="Y350" i="6"/>
  <c r="Y351" i="6"/>
  <c r="Y352" i="6"/>
  <c r="Y353" i="6"/>
  <c r="Y354" i="6"/>
  <c r="Y355" i="6"/>
  <c r="Y356" i="6"/>
  <c r="Y357" i="6"/>
  <c r="Y358" i="6"/>
  <c r="Y359" i="6"/>
  <c r="Y360" i="6"/>
  <c r="Y361" i="6"/>
  <c r="Y362" i="6"/>
  <c r="Y363" i="6"/>
  <c r="Y364" i="6"/>
  <c r="Y365" i="6"/>
  <c r="Y366" i="6"/>
  <c r="Y367" i="6"/>
  <c r="Y368" i="6"/>
  <c r="Y369" i="6"/>
  <c r="Y370" i="6"/>
  <c r="Y371" i="6"/>
  <c r="Y372" i="6"/>
  <c r="Y373" i="6"/>
  <c r="Y374" i="6"/>
  <c r="Y375" i="6"/>
  <c r="Y376" i="6"/>
  <c r="Y377" i="6"/>
  <c r="Y378" i="6"/>
  <c r="Y379" i="6"/>
  <c r="Y380" i="6"/>
  <c r="Y381" i="6"/>
  <c r="Y382" i="6"/>
  <c r="Y383" i="6"/>
  <c r="Y384" i="6"/>
  <c r="Y385" i="6"/>
  <c r="Y386" i="6"/>
  <c r="Y387" i="6"/>
  <c r="Y388" i="6"/>
  <c r="Y389" i="6"/>
  <c r="Y390" i="6"/>
  <c r="Y391" i="6"/>
  <c r="Y392" i="6"/>
  <c r="Y393" i="6"/>
  <c r="Y394" i="6"/>
  <c r="Y395" i="6"/>
  <c r="Y396" i="6"/>
  <c r="Y397" i="6"/>
  <c r="Y398" i="6"/>
  <c r="Y399" i="6"/>
  <c r="Y400" i="6"/>
  <c r="Y401" i="6"/>
  <c r="Y402" i="6"/>
  <c r="Y403" i="6"/>
  <c r="Y404" i="6"/>
  <c r="Y405" i="6"/>
  <c r="Y406" i="6"/>
  <c r="Y407" i="6"/>
  <c r="Y408" i="6"/>
  <c r="Y409" i="6"/>
  <c r="Y410" i="6"/>
  <c r="Y411" i="6"/>
  <c r="Y412" i="6"/>
  <c r="Y413" i="6"/>
  <c r="Y414" i="6"/>
  <c r="Y415" i="6"/>
  <c r="Y416" i="6"/>
  <c r="Y417" i="6"/>
  <c r="Y418" i="6"/>
  <c r="Y419" i="6"/>
  <c r="Y420" i="6"/>
  <c r="Y421" i="6"/>
  <c r="Y422" i="6"/>
  <c r="Y423" i="6"/>
  <c r="Y424" i="6"/>
  <c r="Y425" i="6"/>
  <c r="Y426" i="6"/>
  <c r="Y427" i="6"/>
  <c r="Y428" i="6"/>
  <c r="Y429" i="6"/>
  <c r="Y430" i="6"/>
  <c r="Y431" i="6"/>
  <c r="Y432" i="6"/>
  <c r="Y433" i="6"/>
  <c r="Y434" i="6"/>
  <c r="Y435" i="6"/>
  <c r="Y436" i="6"/>
  <c r="Y437" i="6"/>
  <c r="Y438" i="6"/>
  <c r="Y439" i="6"/>
  <c r="Y440" i="6"/>
  <c r="Y441" i="6"/>
  <c r="Y442" i="6"/>
  <c r="Y443" i="6"/>
  <c r="Y444" i="6"/>
  <c r="Y445" i="6"/>
  <c r="Y446" i="6"/>
  <c r="Y447" i="6"/>
  <c r="Y448" i="6"/>
  <c r="Y449" i="6"/>
  <c r="Y450" i="6"/>
  <c r="Y451" i="6"/>
  <c r="Y452" i="6"/>
  <c r="Y453" i="6"/>
  <c r="Y454" i="6"/>
  <c r="Y455" i="6"/>
  <c r="Y456" i="6"/>
  <c r="Y457" i="6"/>
  <c r="Y458" i="6"/>
  <c r="Y459" i="6"/>
  <c r="Y460" i="6"/>
  <c r="Y461" i="6"/>
  <c r="Y462" i="6"/>
  <c r="Y463" i="6"/>
  <c r="Y464" i="6"/>
  <c r="Y465" i="6"/>
  <c r="Y466" i="6"/>
  <c r="Y467" i="6"/>
  <c r="Y468" i="6"/>
  <c r="Y469" i="6"/>
  <c r="Y470" i="6"/>
  <c r="Y471" i="6"/>
  <c r="Y472" i="6"/>
  <c r="Y473" i="6"/>
  <c r="Y474" i="6"/>
  <c r="Y475" i="6"/>
  <c r="Y476" i="6"/>
  <c r="Y477" i="6"/>
  <c r="Y478" i="6"/>
  <c r="Y479" i="6"/>
  <c r="Y480" i="6"/>
  <c r="Y481" i="6"/>
  <c r="Y316"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1" i="6"/>
  <c r="X163" i="6"/>
  <c r="X168" i="6"/>
  <c r="X169" i="6"/>
  <c r="X171" i="6"/>
  <c r="X172" i="6"/>
  <c r="X173" i="6"/>
  <c r="X174" i="6"/>
  <c r="X175" i="6"/>
  <c r="X177" i="6"/>
  <c r="X179" i="6"/>
  <c r="X180" i="6"/>
  <c r="X183" i="6"/>
  <c r="X184" i="6"/>
  <c r="X186" i="6"/>
  <c r="X188" i="6"/>
  <c r="X189" i="6"/>
  <c r="X190" i="6"/>
  <c r="X191" i="6"/>
  <c r="X192" i="6"/>
  <c r="X193" i="6"/>
  <c r="X194" i="6"/>
  <c r="X195" i="6"/>
  <c r="X196" i="6"/>
  <c r="X197" i="6"/>
  <c r="X199" i="6"/>
  <c r="X202" i="6"/>
  <c r="X203" i="6"/>
  <c r="X204" i="6"/>
  <c r="X210" i="6"/>
  <c r="X212" i="6"/>
  <c r="X214" i="6"/>
  <c r="X216" i="6"/>
  <c r="X217" i="6"/>
  <c r="X219" i="6"/>
  <c r="X220" i="6"/>
  <c r="X223" i="6"/>
  <c r="X224" i="6"/>
  <c r="X225" i="6"/>
  <c r="X227" i="6"/>
  <c r="X229" i="6"/>
  <c r="X230" i="6"/>
  <c r="X231" i="6"/>
  <c r="X233" i="6"/>
  <c r="X241" i="6"/>
  <c r="X242" i="6"/>
  <c r="X243" i="6"/>
  <c r="X246" i="6"/>
  <c r="X247" i="6"/>
  <c r="X249" i="6"/>
  <c r="X254" i="6"/>
  <c r="X255" i="6"/>
  <c r="X258" i="6"/>
  <c r="X259" i="6"/>
  <c r="X261" i="6"/>
  <c r="X263" i="6"/>
  <c r="X265" i="6"/>
  <c r="X267" i="6"/>
  <c r="X268" i="6"/>
  <c r="X269" i="6"/>
  <c r="X270" i="6"/>
  <c r="X272" i="6"/>
  <c r="X277" i="6"/>
  <c r="X280" i="6"/>
  <c r="X281" i="6"/>
  <c r="X282" i="6"/>
  <c r="X284" i="6"/>
  <c r="X286" i="6"/>
  <c r="X288" i="6"/>
  <c r="X289" i="6"/>
  <c r="X290" i="6"/>
  <c r="X292" i="6"/>
  <c r="X295" i="6"/>
  <c r="X296" i="6"/>
  <c r="X297" i="6"/>
  <c r="X299" i="6"/>
  <c r="X301" i="6"/>
  <c r="X302" i="6"/>
  <c r="X160" i="6"/>
  <c r="X162" i="6"/>
  <c r="X164" i="6"/>
  <c r="X165" i="6"/>
  <c r="X166" i="6"/>
  <c r="X167" i="6"/>
  <c r="X170" i="6"/>
  <c r="X176" i="6"/>
  <c r="X178" i="6"/>
  <c r="X181" i="6"/>
  <c r="X182" i="6"/>
  <c r="X185" i="6"/>
  <c r="X187" i="6"/>
  <c r="X198" i="6"/>
  <c r="X200" i="6"/>
  <c r="X201" i="6"/>
  <c r="X205" i="6"/>
  <c r="X206" i="6"/>
  <c r="X207" i="6"/>
  <c r="X208" i="6"/>
  <c r="X209" i="6"/>
  <c r="X211" i="6"/>
  <c r="X213" i="6"/>
  <c r="X215" i="6"/>
  <c r="X218" i="6"/>
  <c r="X221" i="6"/>
  <c r="X222" i="6"/>
  <c r="X226" i="6"/>
  <c r="X228" i="6"/>
  <c r="X232" i="6"/>
  <c r="X234" i="6"/>
  <c r="X235" i="6"/>
  <c r="X236" i="6"/>
  <c r="X237" i="6"/>
  <c r="X238" i="6"/>
  <c r="X239" i="6"/>
  <c r="X240" i="6"/>
  <c r="X244" i="6"/>
  <c r="X245" i="6"/>
  <c r="X248" i="6"/>
  <c r="X250" i="6"/>
  <c r="X251" i="6"/>
  <c r="X252" i="6"/>
  <c r="X253" i="6"/>
  <c r="X256" i="6"/>
  <c r="X257" i="6"/>
  <c r="X260" i="6"/>
  <c r="X262" i="6"/>
  <c r="X264" i="6"/>
  <c r="X266" i="6"/>
  <c r="X271" i="6"/>
  <c r="X273" i="6"/>
  <c r="X274" i="6"/>
  <c r="X275" i="6"/>
  <c r="X276" i="6"/>
  <c r="X278" i="6"/>
  <c r="X279" i="6"/>
  <c r="X283" i="6"/>
  <c r="X285" i="6"/>
  <c r="X287" i="6"/>
  <c r="X291" i="6"/>
  <c r="X293" i="6"/>
  <c r="X294" i="6"/>
  <c r="X298" i="6"/>
  <c r="X300" i="6"/>
  <c r="X303" i="6"/>
  <c r="X304" i="6"/>
  <c r="X305" i="6"/>
  <c r="X306" i="6"/>
  <c r="X307" i="6"/>
  <c r="X308" i="6"/>
  <c r="X309" i="6"/>
  <c r="X310" i="6"/>
  <c r="X311" i="6"/>
  <c r="X312" i="6"/>
  <c r="X313" i="6"/>
  <c r="X314" i="6"/>
  <c r="X315"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442" i="6"/>
  <c r="X443" i="6"/>
  <c r="X444" i="6"/>
  <c r="X445" i="6"/>
  <c r="X446" i="6"/>
  <c r="X447" i="6"/>
  <c r="X448" i="6"/>
  <c r="X449" i="6"/>
  <c r="X450" i="6"/>
  <c r="X451" i="6"/>
  <c r="X452" i="6"/>
  <c r="X453" i="6"/>
  <c r="X454" i="6"/>
  <c r="X455" i="6"/>
  <c r="X456" i="6"/>
  <c r="X457" i="6"/>
  <c r="X458" i="6"/>
  <c r="X459" i="6"/>
  <c r="X460" i="6"/>
  <c r="X461" i="6"/>
  <c r="X462" i="6"/>
  <c r="X463" i="6"/>
  <c r="X464" i="6"/>
  <c r="X465" i="6"/>
  <c r="X466" i="6"/>
  <c r="X467" i="6"/>
  <c r="X468" i="6"/>
  <c r="X469" i="6"/>
  <c r="X470" i="6"/>
  <c r="X471" i="6"/>
  <c r="X472" i="6"/>
  <c r="X474" i="6"/>
  <c r="X475" i="6"/>
  <c r="X476" i="6"/>
  <c r="X477" i="6"/>
  <c r="X478" i="6"/>
  <c r="X479" i="6"/>
  <c r="X480" i="6"/>
  <c r="X481" i="6"/>
  <c r="X316" i="6"/>
  <c r="X473"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60" i="6"/>
  <c r="W162" i="6"/>
  <c r="W165" i="6"/>
  <c r="W166" i="6"/>
  <c r="W167" i="6"/>
  <c r="W170" i="6"/>
  <c r="W172" i="6"/>
  <c r="W175" i="6"/>
  <c r="W176" i="6"/>
  <c r="W177" i="6"/>
  <c r="W178" i="6"/>
  <c r="W181" i="6"/>
  <c r="W182" i="6"/>
  <c r="W186" i="6"/>
  <c r="W188" i="6"/>
  <c r="W191" i="6"/>
  <c r="W192" i="6"/>
  <c r="W198" i="6"/>
  <c r="W199" i="6"/>
  <c r="W200" i="6"/>
  <c r="W201" i="6"/>
  <c r="W203" i="6"/>
  <c r="W205" i="6"/>
  <c r="W206" i="6"/>
  <c r="W209" i="6"/>
  <c r="W211" i="6"/>
  <c r="W212" i="6"/>
  <c r="W213" i="6"/>
  <c r="W214" i="6"/>
  <c r="W215" i="6"/>
  <c r="W218" i="6"/>
  <c r="W221" i="6"/>
  <c r="W222" i="6"/>
  <c r="W224" i="6"/>
  <c r="W226" i="6"/>
  <c r="W227" i="6"/>
  <c r="W228" i="6"/>
  <c r="W231" i="6"/>
  <c r="W232" i="6"/>
  <c r="W234" i="6"/>
  <c r="W235" i="6"/>
  <c r="W236" i="6"/>
  <c r="W237" i="6"/>
  <c r="W238" i="6"/>
  <c r="W240" i="6"/>
  <c r="W243" i="6"/>
  <c r="W244" i="6"/>
  <c r="W245" i="6"/>
  <c r="W250" i="6"/>
  <c r="W251" i="6"/>
  <c r="W253" i="6"/>
  <c r="W256" i="6"/>
  <c r="W257" i="6"/>
  <c r="W259" i="6"/>
  <c r="W260" i="6"/>
  <c r="W262" i="6"/>
  <c r="W264" i="6"/>
  <c r="W266" i="6"/>
  <c r="W274" i="6"/>
  <c r="W275" i="6"/>
  <c r="W279" i="6"/>
  <c r="W283" i="6"/>
  <c r="W285" i="6"/>
  <c r="W287" i="6"/>
  <c r="W291" i="6"/>
  <c r="W293" i="6"/>
  <c r="W294" i="6"/>
  <c r="W298" i="6"/>
  <c r="W300" i="6"/>
  <c r="W159" i="6"/>
  <c r="W161" i="6"/>
  <c r="W163" i="6"/>
  <c r="W164" i="6"/>
  <c r="W168" i="6"/>
  <c r="W169" i="6"/>
  <c r="W171" i="6"/>
  <c r="W173" i="6"/>
  <c r="W174" i="6"/>
  <c r="W179" i="6"/>
  <c r="W180" i="6"/>
  <c r="W183" i="6"/>
  <c r="W184" i="6"/>
  <c r="W185" i="6"/>
  <c r="W187" i="6"/>
  <c r="W189" i="6"/>
  <c r="W190" i="6"/>
  <c r="W193" i="6"/>
  <c r="W194" i="6"/>
  <c r="W195" i="6"/>
  <c r="W196" i="6"/>
  <c r="W197" i="6"/>
  <c r="W202" i="6"/>
  <c r="W204" i="6"/>
  <c r="W207" i="6"/>
  <c r="W208" i="6"/>
  <c r="W210" i="6"/>
  <c r="W216" i="6"/>
  <c r="W217" i="6"/>
  <c r="W219" i="6"/>
  <c r="W220" i="6"/>
  <c r="W223" i="6"/>
  <c r="W225" i="6"/>
  <c r="W229" i="6"/>
  <c r="W230" i="6"/>
  <c r="W233" i="6"/>
  <c r="W239" i="6"/>
  <c r="W241" i="6"/>
  <c r="W242" i="6"/>
  <c r="W246" i="6"/>
  <c r="W247" i="6"/>
  <c r="W248" i="6"/>
  <c r="W249" i="6"/>
  <c r="W252" i="6"/>
  <c r="W254" i="6"/>
  <c r="W255" i="6"/>
  <c r="W258" i="6"/>
  <c r="W261" i="6"/>
  <c r="W263" i="6"/>
  <c r="W265" i="6"/>
  <c r="W267" i="6"/>
  <c r="W268" i="6"/>
  <c r="W269" i="6"/>
  <c r="W270" i="6"/>
  <c r="W271" i="6"/>
  <c r="W272" i="6"/>
  <c r="W273" i="6"/>
  <c r="W276" i="6"/>
  <c r="W277" i="6"/>
  <c r="W278" i="6"/>
  <c r="W280" i="6"/>
  <c r="W281" i="6"/>
  <c r="W282" i="6"/>
  <c r="W284" i="6"/>
  <c r="W286" i="6"/>
  <c r="W288" i="6"/>
  <c r="W289" i="6"/>
  <c r="W290" i="6"/>
  <c r="W292" i="6"/>
  <c r="W295" i="6"/>
  <c r="W296" i="6"/>
  <c r="W297" i="6"/>
  <c r="W299" i="6"/>
  <c r="W301" i="6"/>
  <c r="W302" i="6"/>
  <c r="W303" i="6"/>
  <c r="W304" i="6"/>
  <c r="W305" i="6"/>
  <c r="W306" i="6"/>
  <c r="W307" i="6"/>
  <c r="W308" i="6"/>
  <c r="W309" i="6"/>
  <c r="W310" i="6"/>
  <c r="W311" i="6"/>
  <c r="W312" i="6"/>
  <c r="W313" i="6"/>
  <c r="W314" i="6"/>
  <c r="W315"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4" i="6"/>
  <c r="W475" i="6"/>
  <c r="W476" i="6"/>
  <c r="W477" i="6"/>
  <c r="W478" i="6"/>
  <c r="W479" i="6"/>
  <c r="W480" i="6"/>
  <c r="W481" i="6"/>
  <c r="W316" i="6"/>
  <c r="W473"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1" i="6"/>
  <c r="V162" i="6"/>
  <c r="V163" i="6"/>
  <c r="V165" i="6"/>
  <c r="V166" i="6"/>
  <c r="V168" i="6"/>
  <c r="V170" i="6"/>
  <c r="V171" i="6"/>
  <c r="V173" i="6"/>
  <c r="V174" i="6"/>
  <c r="V179" i="6"/>
  <c r="V180" i="6"/>
  <c r="V184" i="6"/>
  <c r="V185" i="6"/>
  <c r="V187" i="6"/>
  <c r="V190" i="6"/>
  <c r="V193" i="6"/>
  <c r="V194" i="6"/>
  <c r="V195" i="6"/>
  <c r="V197" i="6"/>
  <c r="V201" i="6"/>
  <c r="V202" i="6"/>
  <c r="V204" i="6"/>
  <c r="V207" i="6"/>
  <c r="V208" i="6"/>
  <c r="V209" i="6"/>
  <c r="V210" i="6"/>
  <c r="V213" i="6"/>
  <c r="V215" i="6"/>
  <c r="V216" i="6"/>
  <c r="V217" i="6"/>
  <c r="V219" i="6"/>
  <c r="V220" i="6"/>
  <c r="V222" i="6"/>
  <c r="V223" i="6"/>
  <c r="V225" i="6"/>
  <c r="V226" i="6"/>
  <c r="V229" i="6"/>
  <c r="V230" i="6"/>
  <c r="V239" i="6"/>
  <c r="V241" i="6"/>
  <c r="V242" i="6"/>
  <c r="V247" i="6"/>
  <c r="V248" i="6"/>
  <c r="V249" i="6"/>
  <c r="V252" i="6"/>
  <c r="V253" i="6"/>
  <c r="V254" i="6"/>
  <c r="V255" i="6"/>
  <c r="V257" i="6"/>
  <c r="V262" i="6"/>
  <c r="V263" i="6"/>
  <c r="V265" i="6"/>
  <c r="V267" i="6"/>
  <c r="V268" i="6"/>
  <c r="V271" i="6"/>
  <c r="V272" i="6"/>
  <c r="V273" i="6"/>
  <c r="V274" i="6"/>
  <c r="V276" i="6"/>
  <c r="V277" i="6"/>
  <c r="V278" i="6"/>
  <c r="V280" i="6"/>
  <c r="V282" i="6"/>
  <c r="V284" i="6"/>
  <c r="V285" i="6"/>
  <c r="V286" i="6"/>
  <c r="V288" i="6"/>
  <c r="V290" i="6"/>
  <c r="V292" i="6"/>
  <c r="V294" i="6"/>
  <c r="V295" i="6"/>
  <c r="V296" i="6"/>
  <c r="V298" i="6"/>
  <c r="V299" i="6"/>
  <c r="V301" i="6"/>
  <c r="V160" i="6"/>
  <c r="V164" i="6"/>
  <c r="V167" i="6"/>
  <c r="V169" i="6"/>
  <c r="V172" i="6"/>
  <c r="V175" i="6"/>
  <c r="V176" i="6"/>
  <c r="V177" i="6"/>
  <c r="V178" i="6"/>
  <c r="V181" i="6"/>
  <c r="V182" i="6"/>
  <c r="V183" i="6"/>
  <c r="V186" i="6"/>
  <c r="V188" i="6"/>
  <c r="V189" i="6"/>
  <c r="V191" i="6"/>
  <c r="V192" i="6"/>
  <c r="V196" i="6"/>
  <c r="V198" i="6"/>
  <c r="V199" i="6"/>
  <c r="V200" i="6"/>
  <c r="V203" i="6"/>
  <c r="V205" i="6"/>
  <c r="V206" i="6"/>
  <c r="V211" i="6"/>
  <c r="V212" i="6"/>
  <c r="V214" i="6"/>
  <c r="V218" i="6"/>
  <c r="V221" i="6"/>
  <c r="V224" i="6"/>
  <c r="V227" i="6"/>
  <c r="V228" i="6"/>
  <c r="V231" i="6"/>
  <c r="V232" i="6"/>
  <c r="V233" i="6"/>
  <c r="V234" i="6"/>
  <c r="V235" i="6"/>
  <c r="V236" i="6"/>
  <c r="V237" i="6"/>
  <c r="V238" i="6"/>
  <c r="V240" i="6"/>
  <c r="V243" i="6"/>
  <c r="V244" i="6"/>
  <c r="V245" i="6"/>
  <c r="V246" i="6"/>
  <c r="V250" i="6"/>
  <c r="V251" i="6"/>
  <c r="V256" i="6"/>
  <c r="V258" i="6"/>
  <c r="V259" i="6"/>
  <c r="V260" i="6"/>
  <c r="V261" i="6"/>
  <c r="V264" i="6"/>
  <c r="V266" i="6"/>
  <c r="V269" i="6"/>
  <c r="V270" i="6"/>
  <c r="V275" i="6"/>
  <c r="V279" i="6"/>
  <c r="V281" i="6"/>
  <c r="V283" i="6"/>
  <c r="V287" i="6"/>
  <c r="V289" i="6"/>
  <c r="V291" i="6"/>
  <c r="V293" i="6"/>
  <c r="V297" i="6"/>
  <c r="V300"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4" i="6"/>
  <c r="V475" i="6"/>
  <c r="V476" i="6"/>
  <c r="V477" i="6"/>
  <c r="V478" i="6"/>
  <c r="V479" i="6"/>
  <c r="V480" i="6"/>
  <c r="V481" i="6"/>
  <c r="V473"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136" i="6"/>
  <c r="AA137" i="6"/>
  <c r="AA138" i="6"/>
  <c r="AA139" i="6"/>
  <c r="AA140" i="6"/>
  <c r="AA141" i="6"/>
  <c r="AA142" i="6"/>
  <c r="AA143" i="6"/>
  <c r="AA144" i="6"/>
  <c r="AA145" i="6"/>
  <c r="AA146" i="6"/>
  <c r="AA147" i="6"/>
  <c r="AA148" i="6"/>
  <c r="AA149" i="6"/>
  <c r="AA150" i="6"/>
  <c r="AA151" i="6"/>
  <c r="AA152" i="6"/>
  <c r="AA153" i="6"/>
  <c r="AA154" i="6"/>
  <c r="AA155" i="6"/>
  <c r="AA156" i="6"/>
  <c r="AA157" i="6"/>
  <c r="AA158" i="6"/>
  <c r="AA160" i="6"/>
  <c r="AA162" i="6"/>
  <c r="AA163" i="6"/>
  <c r="AA164" i="6"/>
  <c r="AA167" i="6"/>
  <c r="AA168" i="6"/>
  <c r="AA170" i="6"/>
  <c r="AA175" i="6"/>
  <c r="AA176" i="6"/>
  <c r="AA177" i="6"/>
  <c r="AA178" i="6"/>
  <c r="AA181" i="6"/>
  <c r="AA182" i="6"/>
  <c r="AA185" i="6"/>
  <c r="AA186" i="6"/>
  <c r="AA188" i="6"/>
  <c r="AA190" i="6"/>
  <c r="AA195" i="6"/>
  <c r="AA198" i="6"/>
  <c r="AA199" i="6"/>
  <c r="AA200" i="6"/>
  <c r="AA203" i="6"/>
  <c r="AA204" i="6"/>
  <c r="AA205" i="6"/>
  <c r="AA206" i="6"/>
  <c r="AA210" i="6"/>
  <c r="AA211" i="6"/>
  <c r="AA212" i="6"/>
  <c r="AA215" i="6"/>
  <c r="AA216" i="6"/>
  <c r="AA217" i="6"/>
  <c r="AA219" i="6"/>
  <c r="AA220" i="6"/>
  <c r="AA221" i="6"/>
  <c r="AA226" i="6"/>
  <c r="AA230" i="6"/>
  <c r="AA231" i="6"/>
  <c r="AA232" i="6"/>
  <c r="AA234" i="6"/>
  <c r="AA235" i="6"/>
  <c r="AA236" i="6"/>
  <c r="AA237" i="6"/>
  <c r="AA239" i="6"/>
  <c r="AA241" i="6"/>
  <c r="AA243" i="6"/>
  <c r="AA245" i="6"/>
  <c r="AA246" i="6"/>
  <c r="AA247" i="6"/>
  <c r="AA248" i="6"/>
  <c r="AA249" i="6"/>
  <c r="AA250" i="6"/>
  <c r="AA251" i="6"/>
  <c r="AA257" i="6"/>
  <c r="AA260" i="6"/>
  <c r="AA262" i="6"/>
  <c r="AA264" i="6"/>
  <c r="AA265" i="6"/>
  <c r="AA269" i="6"/>
  <c r="AA270" i="6"/>
  <c r="AA271" i="6"/>
  <c r="AA272" i="6"/>
  <c r="AA274" i="6"/>
  <c r="AA275" i="6"/>
  <c r="AA276" i="6"/>
  <c r="AA283" i="6"/>
  <c r="AA287" i="6"/>
  <c r="AA288" i="6"/>
  <c r="AA290" i="6"/>
  <c r="AA298" i="6"/>
  <c r="AA299" i="6"/>
  <c r="AA159" i="6"/>
  <c r="AA161" i="6"/>
  <c r="AA165" i="6"/>
  <c r="AA166" i="6"/>
  <c r="AA169" i="6"/>
  <c r="AA171" i="6"/>
  <c r="AA172" i="6"/>
  <c r="AA173" i="6"/>
  <c r="AA174" i="6"/>
  <c r="AA179" i="6"/>
  <c r="AA180" i="6"/>
  <c r="AA183" i="6"/>
  <c r="AA184" i="6"/>
  <c r="AA187" i="6"/>
  <c r="AA189" i="6"/>
  <c r="AA191" i="6"/>
  <c r="AA192" i="6"/>
  <c r="AA193" i="6"/>
  <c r="AA194" i="6"/>
  <c r="AA196" i="6"/>
  <c r="AA197" i="6"/>
  <c r="AA201" i="6"/>
  <c r="AA202" i="6"/>
  <c r="AA207" i="6"/>
  <c r="AA208" i="6"/>
  <c r="AA209" i="6"/>
  <c r="AA213" i="6"/>
  <c r="AA214" i="6"/>
  <c r="AA218" i="6"/>
  <c r="AA222" i="6"/>
  <c r="AA223" i="6"/>
  <c r="AA224" i="6"/>
  <c r="AA225" i="6"/>
  <c r="AA227" i="6"/>
  <c r="AA228" i="6"/>
  <c r="AA229" i="6"/>
  <c r="AA233" i="6"/>
  <c r="AA238" i="6"/>
  <c r="AA240" i="6"/>
  <c r="AA242" i="6"/>
  <c r="AA244" i="6"/>
  <c r="AA252" i="6"/>
  <c r="AA253" i="6"/>
  <c r="AA254" i="6"/>
  <c r="AA255" i="6"/>
  <c r="AA256" i="6"/>
  <c r="AA258" i="6"/>
  <c r="AA259" i="6"/>
  <c r="AA261" i="6"/>
  <c r="AA263" i="6"/>
  <c r="AA266" i="6"/>
  <c r="AA267" i="6"/>
  <c r="AA268" i="6"/>
  <c r="AA273" i="6"/>
  <c r="AA277" i="6"/>
  <c r="AA278" i="6"/>
  <c r="AA279" i="6"/>
  <c r="AA280" i="6"/>
  <c r="AA281" i="6"/>
  <c r="AA282" i="6"/>
  <c r="AA284" i="6"/>
  <c r="AA285" i="6"/>
  <c r="AA286" i="6"/>
  <c r="AA289" i="6"/>
  <c r="AA291" i="6"/>
  <c r="AA292" i="6"/>
  <c r="AA293" i="6"/>
  <c r="AA294" i="6"/>
  <c r="AA295" i="6"/>
  <c r="AA296" i="6"/>
  <c r="AA297" i="6"/>
  <c r="AA300" i="6"/>
  <c r="AA301" i="6"/>
  <c r="AA302" i="6"/>
  <c r="AA303" i="6"/>
  <c r="AA304" i="6"/>
  <c r="AA305" i="6"/>
  <c r="AA306" i="6"/>
  <c r="AA307" i="6"/>
  <c r="AA308" i="6"/>
  <c r="AA309" i="6"/>
  <c r="AA310" i="6"/>
  <c r="AA311" i="6"/>
  <c r="AA312" i="6"/>
  <c r="AA313" i="6"/>
  <c r="AA314" i="6"/>
  <c r="AA315" i="6"/>
  <c r="AA317" i="6"/>
  <c r="AA318" i="6"/>
  <c r="AA319" i="6"/>
  <c r="AA320" i="6"/>
  <c r="AA321" i="6"/>
  <c r="AA322" i="6"/>
  <c r="AA323" i="6"/>
  <c r="AA324" i="6"/>
  <c r="AA325" i="6"/>
  <c r="AA326" i="6"/>
  <c r="AA327" i="6"/>
  <c r="AA328" i="6"/>
  <c r="AA329" i="6"/>
  <c r="AA330" i="6"/>
  <c r="AA331" i="6"/>
  <c r="AA332" i="6"/>
  <c r="AA333" i="6"/>
  <c r="AA334" i="6"/>
  <c r="AA335" i="6"/>
  <c r="AA336" i="6"/>
  <c r="AA337" i="6"/>
  <c r="AA338" i="6"/>
  <c r="AA339" i="6"/>
  <c r="AA340" i="6"/>
  <c r="AA341" i="6"/>
  <c r="AA342" i="6"/>
  <c r="AA343" i="6"/>
  <c r="AA344" i="6"/>
  <c r="AA345" i="6"/>
  <c r="AA346" i="6"/>
  <c r="AA347" i="6"/>
  <c r="AA348" i="6"/>
  <c r="AA349" i="6"/>
  <c r="AA350" i="6"/>
  <c r="AA351" i="6"/>
  <c r="AA352" i="6"/>
  <c r="AA353" i="6"/>
  <c r="AA354" i="6"/>
  <c r="AA355" i="6"/>
  <c r="AA356" i="6"/>
  <c r="AA357" i="6"/>
  <c r="AA358" i="6"/>
  <c r="AA359" i="6"/>
  <c r="AA360" i="6"/>
  <c r="AA361" i="6"/>
  <c r="AA362" i="6"/>
  <c r="AA363" i="6"/>
  <c r="AA364" i="6"/>
  <c r="AA365" i="6"/>
  <c r="AA366" i="6"/>
  <c r="AA367" i="6"/>
  <c r="AA368" i="6"/>
  <c r="AA369" i="6"/>
  <c r="AA370" i="6"/>
  <c r="AA371" i="6"/>
  <c r="AA372" i="6"/>
  <c r="AA373" i="6"/>
  <c r="AA374" i="6"/>
  <c r="AA375" i="6"/>
  <c r="AA376" i="6"/>
  <c r="AA377" i="6"/>
  <c r="AA378" i="6"/>
  <c r="AA379" i="6"/>
  <c r="AA380" i="6"/>
  <c r="AA381" i="6"/>
  <c r="AA382" i="6"/>
  <c r="AA383" i="6"/>
  <c r="AA384" i="6"/>
  <c r="AA385" i="6"/>
  <c r="AA386" i="6"/>
  <c r="AA387" i="6"/>
  <c r="AA388" i="6"/>
  <c r="AA389" i="6"/>
  <c r="AA390" i="6"/>
  <c r="AA391" i="6"/>
  <c r="AA392" i="6"/>
  <c r="AA393" i="6"/>
  <c r="AA394" i="6"/>
  <c r="AA395" i="6"/>
  <c r="AA396" i="6"/>
  <c r="AA397" i="6"/>
  <c r="AA398" i="6"/>
  <c r="AA399" i="6"/>
  <c r="AA400" i="6"/>
  <c r="AA401" i="6"/>
  <c r="AA402" i="6"/>
  <c r="AA403" i="6"/>
  <c r="AA404" i="6"/>
  <c r="AA405" i="6"/>
  <c r="AA406" i="6"/>
  <c r="AA407" i="6"/>
  <c r="AA408" i="6"/>
  <c r="AA409" i="6"/>
  <c r="AA410" i="6"/>
  <c r="AA411" i="6"/>
  <c r="AA412" i="6"/>
  <c r="AA413" i="6"/>
  <c r="AA414" i="6"/>
  <c r="AA415" i="6"/>
  <c r="AA416" i="6"/>
  <c r="AA417" i="6"/>
  <c r="AA418" i="6"/>
  <c r="AA419" i="6"/>
  <c r="AA420" i="6"/>
  <c r="AA421" i="6"/>
  <c r="AA422" i="6"/>
  <c r="AA423" i="6"/>
  <c r="AA424" i="6"/>
  <c r="AA425" i="6"/>
  <c r="AA426" i="6"/>
  <c r="AA427" i="6"/>
  <c r="AA428" i="6"/>
  <c r="AA429" i="6"/>
  <c r="AA430" i="6"/>
  <c r="AA431" i="6"/>
  <c r="AA432" i="6"/>
  <c r="AA433" i="6"/>
  <c r="AA434" i="6"/>
  <c r="AA435" i="6"/>
  <c r="AA436" i="6"/>
  <c r="AA437" i="6"/>
  <c r="AA438" i="6"/>
  <c r="AA439" i="6"/>
  <c r="AA440" i="6"/>
  <c r="AA441" i="6"/>
  <c r="AA442" i="6"/>
  <c r="AA443" i="6"/>
  <c r="AA444" i="6"/>
  <c r="AA445" i="6"/>
  <c r="AA446" i="6"/>
  <c r="AA447" i="6"/>
  <c r="AA448" i="6"/>
  <c r="AA449" i="6"/>
  <c r="AA450" i="6"/>
  <c r="AA451" i="6"/>
  <c r="AA452" i="6"/>
  <c r="AA453" i="6"/>
  <c r="AA454" i="6"/>
  <c r="AA455" i="6"/>
  <c r="AA456" i="6"/>
  <c r="AA457" i="6"/>
  <c r="AA458" i="6"/>
  <c r="AA459" i="6"/>
  <c r="AA460" i="6"/>
  <c r="AA461" i="6"/>
  <c r="AA462" i="6"/>
  <c r="AA463" i="6"/>
  <c r="AA464" i="6"/>
  <c r="AA465" i="6"/>
  <c r="AA466" i="6"/>
  <c r="AA467" i="6"/>
  <c r="AA468" i="6"/>
  <c r="AA469" i="6"/>
  <c r="AA470" i="6"/>
  <c r="AA471" i="6"/>
  <c r="AA472" i="6"/>
  <c r="AA473" i="6"/>
  <c r="AA474" i="6"/>
  <c r="AA475" i="6"/>
  <c r="AA476" i="6"/>
  <c r="AA477" i="6"/>
  <c r="AA478" i="6"/>
  <c r="AA479" i="6"/>
  <c r="AA480" i="6"/>
  <c r="AA481" i="6"/>
  <c r="AA316" i="6"/>
  <c r="I16" i="5"/>
  <c r="L6" i="6"/>
  <c r="M6" i="14"/>
  <c r="I17" i="13"/>
  <c r="M6" i="10"/>
  <c r="I17" i="9"/>
  <c r="M6" i="6"/>
  <c r="I17" i="5"/>
  <c r="AB11" i="14" l="1"/>
  <c r="AB12" i="14"/>
  <c r="AB13" i="14"/>
  <c r="AB14" i="14"/>
  <c r="AB15" i="14"/>
  <c r="AB16" i="14"/>
  <c r="AB17" i="14"/>
  <c r="AB18" i="14"/>
  <c r="AB19" i="14"/>
  <c r="AB20" i="14"/>
  <c r="AB21" i="14"/>
  <c r="AB22" i="14"/>
  <c r="AB23" i="14"/>
  <c r="AB24" i="14"/>
  <c r="AB25" i="14"/>
  <c r="AB26" i="14"/>
  <c r="AB27" i="14"/>
  <c r="AB28" i="14"/>
  <c r="AB29" i="14"/>
  <c r="AB30" i="14"/>
  <c r="AB31" i="14"/>
  <c r="AB32" i="14"/>
  <c r="AB33" i="14"/>
  <c r="AB34" i="14"/>
  <c r="AB35" i="14"/>
  <c r="AB36" i="14"/>
  <c r="AB37" i="14"/>
  <c r="AB38" i="14"/>
  <c r="AB39" i="14"/>
  <c r="AB40" i="14"/>
  <c r="AB41" i="14"/>
  <c r="AB42" i="14"/>
  <c r="AB43" i="14"/>
  <c r="AB44" i="14"/>
  <c r="AB45" i="14"/>
  <c r="AB46" i="14"/>
  <c r="AB47" i="14"/>
  <c r="AB48" i="14"/>
  <c r="AB49" i="14"/>
  <c r="AB50" i="14"/>
  <c r="AB51" i="14"/>
  <c r="AB52" i="14"/>
  <c r="AB53" i="14"/>
  <c r="AB56" i="14"/>
  <c r="AB57" i="14"/>
  <c r="AB58" i="14"/>
  <c r="AB59" i="14"/>
  <c r="AB63" i="14"/>
  <c r="AB66" i="14"/>
  <c r="AB70" i="14"/>
  <c r="AB72" i="14"/>
  <c r="AB74" i="14"/>
  <c r="AB75" i="14"/>
  <c r="AB76" i="14"/>
  <c r="AB77" i="14"/>
  <c r="AB78" i="14"/>
  <c r="AB80" i="14"/>
  <c r="AB82" i="14"/>
  <c r="AB84" i="14"/>
  <c r="AB85" i="14"/>
  <c r="AB87" i="14"/>
  <c r="AB107" i="14"/>
  <c r="AB110" i="14"/>
  <c r="AB111" i="14"/>
  <c r="AB112" i="14"/>
  <c r="AB116" i="14"/>
  <c r="AB118" i="14"/>
  <c r="AB119" i="14"/>
  <c r="AB124" i="14"/>
  <c r="AB126" i="14"/>
  <c r="AB131" i="14"/>
  <c r="AB134" i="14"/>
  <c r="AB135" i="14"/>
  <c r="AB139" i="14"/>
  <c r="AB141" i="14"/>
  <c r="AB142" i="14"/>
  <c r="AB145" i="14"/>
  <c r="AB150" i="14"/>
  <c r="AB154" i="14"/>
  <c r="AB156" i="14"/>
  <c r="AB158" i="14"/>
  <c r="AB159" i="14"/>
  <c r="AB163" i="14"/>
  <c r="AB164" i="14"/>
  <c r="AB165" i="14"/>
  <c r="AB168" i="14"/>
  <c r="AB169" i="14"/>
  <c r="AB171" i="14"/>
  <c r="AB172" i="14"/>
  <c r="AB173" i="14"/>
  <c r="AB174" i="14"/>
  <c r="AB205" i="14"/>
  <c r="AB206" i="14"/>
  <c r="AB207" i="14"/>
  <c r="AB208" i="14"/>
  <c r="AB55" i="14"/>
  <c r="AB60" i="14"/>
  <c r="AB61" i="14"/>
  <c r="AB62" i="14"/>
  <c r="AB64" i="14"/>
  <c r="AB65" i="14"/>
  <c r="AB67" i="14"/>
  <c r="AB68" i="14"/>
  <c r="AB69" i="14"/>
  <c r="AB71" i="14"/>
  <c r="AB73" i="14"/>
  <c r="AB79" i="14"/>
  <c r="AB81" i="14"/>
  <c r="AB83" i="14"/>
  <c r="AB86" i="14"/>
  <c r="AB88" i="14"/>
  <c r="AB89" i="14"/>
  <c r="AB90" i="14"/>
  <c r="AB91" i="14"/>
  <c r="AB92" i="14"/>
  <c r="AB93" i="14"/>
  <c r="AB94" i="14"/>
  <c r="AB95" i="14"/>
  <c r="AB96" i="14"/>
  <c r="AB97" i="14"/>
  <c r="AB98" i="14"/>
  <c r="AB99" i="14"/>
  <c r="AB100" i="14"/>
  <c r="AB101" i="14"/>
  <c r="AB102" i="14"/>
  <c r="AB103" i="14"/>
  <c r="AB104" i="14"/>
  <c r="AB105" i="14"/>
  <c r="AB106" i="14"/>
  <c r="AB108" i="14"/>
  <c r="AB109" i="14"/>
  <c r="AB113" i="14"/>
  <c r="AB114" i="14"/>
  <c r="AB115" i="14"/>
  <c r="AB117" i="14"/>
  <c r="AB120" i="14"/>
  <c r="AB121" i="14"/>
  <c r="AB122" i="14"/>
  <c r="AB123" i="14"/>
  <c r="AB125" i="14"/>
  <c r="AB127" i="14"/>
  <c r="AB128" i="14"/>
  <c r="AB129" i="14"/>
  <c r="AB130" i="14"/>
  <c r="AB132" i="14"/>
  <c r="AB133" i="14"/>
  <c r="AB136" i="14"/>
  <c r="AB137" i="14"/>
  <c r="AB138" i="14"/>
  <c r="AB140" i="14"/>
  <c r="AB143" i="14"/>
  <c r="AB144" i="14"/>
  <c r="AB146" i="14"/>
  <c r="AB147" i="14"/>
  <c r="AB148" i="14"/>
  <c r="AB149" i="14"/>
  <c r="AB151" i="14"/>
  <c r="AB152" i="14"/>
  <c r="AB153" i="14"/>
  <c r="AB155" i="14"/>
  <c r="AB157" i="14"/>
  <c r="AB160" i="14"/>
  <c r="AB161" i="14"/>
  <c r="AB162" i="14"/>
  <c r="AB166" i="14"/>
  <c r="AB167" i="14"/>
  <c r="AB170" i="14"/>
  <c r="AB175" i="14"/>
  <c r="AB176" i="14"/>
  <c r="AB177" i="14"/>
  <c r="AB178" i="14"/>
  <c r="AB179" i="14"/>
  <c r="AB180" i="14"/>
  <c r="AB181" i="14"/>
  <c r="AB182" i="14"/>
  <c r="AB183" i="14"/>
  <c r="AB184" i="14"/>
  <c r="AB185" i="14"/>
  <c r="AB186" i="14"/>
  <c r="AB187" i="14"/>
  <c r="AB188" i="14"/>
  <c r="AB189" i="14"/>
  <c r="AB190" i="14"/>
  <c r="AB191" i="14"/>
  <c r="AB192" i="14"/>
  <c r="AB193" i="14"/>
  <c r="AB194" i="14"/>
  <c r="AB195" i="14"/>
  <c r="AB196" i="14"/>
  <c r="AB197" i="14"/>
  <c r="AB198" i="14"/>
  <c r="AB199" i="14"/>
  <c r="AB200" i="14"/>
  <c r="AB201" i="14"/>
  <c r="AB202" i="14"/>
  <c r="AB203" i="14"/>
  <c r="AB204" i="14"/>
  <c r="AB209" i="14"/>
  <c r="AB210" i="14"/>
  <c r="AB211" i="14"/>
  <c r="AB212" i="14"/>
  <c r="AB213" i="14"/>
  <c r="AB214" i="14"/>
  <c r="AB215" i="14"/>
  <c r="AB216" i="14"/>
  <c r="AB217" i="14"/>
  <c r="AB218" i="14"/>
  <c r="AB219" i="14"/>
  <c r="AB220" i="14"/>
  <c r="AB221" i="14"/>
  <c r="AB222" i="14"/>
  <c r="AB223" i="14"/>
  <c r="AB224" i="14"/>
  <c r="AB225" i="14"/>
  <c r="AB226" i="14"/>
  <c r="AB227" i="14"/>
  <c r="AB228" i="14"/>
  <c r="AB229" i="14"/>
  <c r="AB230" i="14"/>
  <c r="AB231" i="14"/>
  <c r="AB232" i="14"/>
  <c r="AB233" i="14"/>
  <c r="AB234" i="14"/>
  <c r="AB235" i="14"/>
  <c r="AB236" i="14"/>
  <c r="AB237" i="14"/>
  <c r="AB238" i="14"/>
  <c r="AB239" i="14"/>
  <c r="AB240" i="14"/>
  <c r="AB241" i="14"/>
  <c r="AB242" i="14"/>
  <c r="AB243" i="14"/>
  <c r="AB244" i="14"/>
  <c r="AB245" i="14"/>
  <c r="AB246" i="14"/>
  <c r="AB247" i="14"/>
  <c r="AB248" i="14"/>
  <c r="AB249" i="14"/>
  <c r="AB250" i="14"/>
  <c r="AB251" i="14"/>
  <c r="AB252" i="14"/>
  <c r="AB253" i="14"/>
  <c r="AB254" i="14"/>
  <c r="AB255" i="14"/>
  <c r="AB256" i="14"/>
  <c r="AB257" i="14"/>
  <c r="AB258" i="14"/>
  <c r="AB259" i="14"/>
  <c r="AB260" i="14"/>
  <c r="AB261" i="14"/>
  <c r="AB262" i="14"/>
  <c r="AB263" i="14"/>
  <c r="AB264" i="14"/>
  <c r="AB265" i="14"/>
  <c r="AB266" i="14"/>
  <c r="AB267" i="14"/>
  <c r="AB268" i="14"/>
  <c r="AB269" i="14"/>
  <c r="AB270" i="14"/>
  <c r="AB271" i="14"/>
  <c r="AB272" i="14"/>
  <c r="AB273" i="14"/>
  <c r="AB274" i="14"/>
  <c r="AB275" i="14"/>
  <c r="AB276" i="14"/>
  <c r="AB277" i="14"/>
  <c r="AB278" i="14"/>
  <c r="AB279" i="14"/>
  <c r="AB280" i="14"/>
  <c r="AB281" i="14"/>
  <c r="AB282" i="14"/>
  <c r="AB283" i="14"/>
  <c r="AB284" i="14"/>
  <c r="AB285" i="14"/>
  <c r="AB286" i="14"/>
  <c r="AB287" i="14"/>
  <c r="AB288" i="14"/>
  <c r="AB289" i="14"/>
  <c r="AB290" i="14"/>
  <c r="AB291" i="14"/>
  <c r="AB292" i="14"/>
  <c r="AB293" i="14"/>
  <c r="AB294" i="14"/>
  <c r="AB295" i="14"/>
  <c r="AB296" i="14"/>
  <c r="AB297" i="14"/>
  <c r="AB298" i="14"/>
  <c r="AB299" i="14"/>
  <c r="AB300" i="14"/>
  <c r="AB301" i="14"/>
  <c r="AB302" i="14"/>
  <c r="AB303" i="14"/>
  <c r="AB304" i="14"/>
  <c r="AB305" i="14"/>
  <c r="AB306" i="14"/>
  <c r="AB307" i="14"/>
  <c r="AB308" i="14"/>
  <c r="AB309" i="14"/>
  <c r="AB310" i="14"/>
  <c r="AB311" i="14"/>
  <c r="AB312" i="14"/>
  <c r="AB313" i="14"/>
  <c r="AB314" i="14"/>
  <c r="AB315" i="14"/>
  <c r="AB316" i="14"/>
  <c r="AB317" i="14"/>
  <c r="AB318" i="14"/>
  <c r="AB319" i="14"/>
  <c r="AB320" i="14"/>
  <c r="AB321" i="14"/>
  <c r="AB322" i="14"/>
  <c r="AB323" i="14"/>
  <c r="AB324" i="14"/>
  <c r="AB325" i="14"/>
  <c r="AB326" i="14"/>
  <c r="AB327" i="14"/>
  <c r="AB328" i="14"/>
  <c r="AB329" i="14"/>
  <c r="AB330" i="14"/>
  <c r="AB331" i="14"/>
  <c r="AB332" i="14"/>
  <c r="AB333" i="14"/>
  <c r="AB334" i="14"/>
  <c r="AB335" i="14"/>
  <c r="AB336" i="14"/>
  <c r="AB337" i="14"/>
  <c r="AB338" i="14"/>
  <c r="AB339" i="14"/>
  <c r="AB340" i="14"/>
  <c r="AB341" i="14"/>
  <c r="AB342" i="14"/>
  <c r="AB343" i="14"/>
  <c r="AB344" i="14"/>
  <c r="AB345" i="14"/>
  <c r="AB346" i="14"/>
  <c r="AB347" i="14"/>
  <c r="AB348" i="14"/>
  <c r="AB349" i="14"/>
  <c r="AB350" i="14"/>
  <c r="AB351" i="14"/>
  <c r="AB352" i="14"/>
  <c r="AB353" i="14"/>
  <c r="AB354" i="14"/>
  <c r="AB355" i="14"/>
  <c r="AB356" i="14"/>
  <c r="AB357" i="14"/>
  <c r="AB358" i="14"/>
  <c r="AB359" i="14"/>
  <c r="AB360" i="14"/>
  <c r="AB361" i="14"/>
  <c r="AB362" i="14"/>
  <c r="AB363" i="14"/>
  <c r="AB54" i="14"/>
  <c r="AB307" i="10"/>
  <c r="AD307" i="10" s="1"/>
  <c r="AB323" i="10"/>
  <c r="AD323" i="10" s="1"/>
  <c r="AB328" i="10"/>
  <c r="AD328" i="10" s="1"/>
  <c r="AB338" i="10"/>
  <c r="AD338" i="10" s="1"/>
  <c r="AB339" i="10"/>
  <c r="AD339" i="10" s="1"/>
  <c r="AB342" i="10"/>
  <c r="AD342" i="10" s="1"/>
  <c r="AB347" i="10"/>
  <c r="AB348" i="10"/>
  <c r="AB352" i="10"/>
  <c r="AD352" i="10" s="1"/>
  <c r="AB358" i="10"/>
  <c r="AD358" i="10" s="1"/>
  <c r="AB367" i="10"/>
  <c r="AD367" i="10" s="1"/>
  <c r="AB369" i="10"/>
  <c r="AD369" i="10" s="1"/>
  <c r="AB375" i="10"/>
  <c r="AD375" i="10" s="1"/>
  <c r="AB376" i="10"/>
  <c r="AD376" i="10" s="1"/>
  <c r="AB380" i="10"/>
  <c r="AD380" i="10" s="1"/>
  <c r="AB381" i="10"/>
  <c r="AD381" i="10" s="1"/>
  <c r="AB382" i="10"/>
  <c r="AD382" i="10" s="1"/>
  <c r="AB385" i="10"/>
  <c r="AD385" i="10" s="1"/>
  <c r="AB387" i="10"/>
  <c r="AD387" i="10" s="1"/>
  <c r="AB393" i="10"/>
  <c r="AD393" i="10" s="1"/>
  <c r="AB395" i="10"/>
  <c r="AB306" i="10"/>
  <c r="AD306" i="10" s="1"/>
  <c r="AB313" i="10"/>
  <c r="AB321" i="10"/>
  <c r="AD321" i="10" s="1"/>
  <c r="AB327" i="10"/>
  <c r="AD327" i="10" s="1"/>
  <c r="AB330" i="10"/>
  <c r="AD330" i="10" s="1"/>
  <c r="AB331" i="10"/>
  <c r="AD331" i="10" s="1"/>
  <c r="AB334" i="10"/>
  <c r="AD334" i="10" s="1"/>
  <c r="AB335" i="10"/>
  <c r="AB350" i="10"/>
  <c r="AD350" i="10" s="1"/>
  <c r="AB351" i="10"/>
  <c r="AD351" i="10" s="1"/>
  <c r="AB11" i="10"/>
  <c r="AB12" i="10"/>
  <c r="AB13" i="10"/>
  <c r="AB14" i="10"/>
  <c r="AB15" i="10"/>
  <c r="AB16" i="10"/>
  <c r="AB17" i="10"/>
  <c r="AB18" i="10"/>
  <c r="AB19" i="10"/>
  <c r="AB20" i="10"/>
  <c r="AB21" i="10"/>
  <c r="AB22" i="10"/>
  <c r="AB23" i="10"/>
  <c r="AB24" i="10"/>
  <c r="AB25" i="10"/>
  <c r="AB26" i="10"/>
  <c r="AB27" i="10"/>
  <c r="AB28" i="10"/>
  <c r="AB29"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6"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5" i="10"/>
  <c r="AB96" i="10"/>
  <c r="AB97" i="10"/>
  <c r="AB98" i="10"/>
  <c r="AB99" i="10"/>
  <c r="AB100" i="10"/>
  <c r="AB101" i="10"/>
  <c r="AB102" i="10"/>
  <c r="AB103" i="10"/>
  <c r="AB104" i="10"/>
  <c r="AB105" i="10"/>
  <c r="AB106" i="10"/>
  <c r="AB107" i="10"/>
  <c r="AB108"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155" i="10"/>
  <c r="AB156" i="10"/>
  <c r="AB157" i="10"/>
  <c r="AB158" i="10"/>
  <c r="AB159" i="10"/>
  <c r="AB160" i="10"/>
  <c r="AB161" i="10"/>
  <c r="AB162" i="10"/>
  <c r="AB163" i="10"/>
  <c r="AB164" i="10"/>
  <c r="AB165" i="10"/>
  <c r="AB166" i="10"/>
  <c r="AB167" i="10"/>
  <c r="AB168" i="10"/>
  <c r="AB169" i="10"/>
  <c r="AB170" i="10"/>
  <c r="AB171" i="10"/>
  <c r="AB172" i="10"/>
  <c r="AB173" i="10"/>
  <c r="AB174" i="10"/>
  <c r="AB175" i="10"/>
  <c r="AB176" i="10"/>
  <c r="AB177" i="10"/>
  <c r="AB178" i="10"/>
  <c r="AB179" i="10"/>
  <c r="AB180" i="10"/>
  <c r="AB181" i="10"/>
  <c r="AB182" i="10"/>
  <c r="AB183" i="10"/>
  <c r="AB184" i="10"/>
  <c r="AB185" i="10"/>
  <c r="AB186" i="10"/>
  <c r="AB187" i="10"/>
  <c r="AB188" i="10"/>
  <c r="AB189" i="10"/>
  <c r="AB190" i="10"/>
  <c r="AB191" i="10"/>
  <c r="AB192" i="10"/>
  <c r="AB193" i="10"/>
  <c r="AB194" i="10"/>
  <c r="AB195" i="10"/>
  <c r="AB196" i="10"/>
  <c r="AB197" i="10"/>
  <c r="AB198" i="10"/>
  <c r="AB199" i="10"/>
  <c r="AB200" i="10"/>
  <c r="AB201" i="10"/>
  <c r="AB202" i="10"/>
  <c r="AB203" i="10"/>
  <c r="AB204" i="10"/>
  <c r="AB205" i="10"/>
  <c r="AB206" i="10"/>
  <c r="AB207" i="10"/>
  <c r="AB208" i="10"/>
  <c r="AB209" i="10"/>
  <c r="AB210" i="10"/>
  <c r="AB211" i="10"/>
  <c r="AB212" i="10"/>
  <c r="AB213" i="10"/>
  <c r="AB214" i="10"/>
  <c r="AB215" i="10"/>
  <c r="AB216" i="10"/>
  <c r="AB217" i="10"/>
  <c r="AB218" i="10"/>
  <c r="AB219" i="10"/>
  <c r="AB220" i="10"/>
  <c r="AB221" i="10"/>
  <c r="AB222" i="10"/>
  <c r="AB223" i="10"/>
  <c r="AB224" i="10"/>
  <c r="AB225" i="10"/>
  <c r="AB226" i="10"/>
  <c r="AB227" i="10"/>
  <c r="AB228" i="10"/>
  <c r="AB229" i="10"/>
  <c r="AB230" i="10"/>
  <c r="AB231" i="10"/>
  <c r="AB232" i="10"/>
  <c r="AB233" i="10"/>
  <c r="AB234" i="10"/>
  <c r="AB235" i="10"/>
  <c r="AB236" i="10"/>
  <c r="AB237" i="10"/>
  <c r="AB238" i="10"/>
  <c r="AB239" i="10"/>
  <c r="AB240" i="10"/>
  <c r="AB241" i="10"/>
  <c r="AB242" i="10"/>
  <c r="AB243" i="10"/>
  <c r="AB244" i="10"/>
  <c r="AB245" i="10"/>
  <c r="AB246" i="10"/>
  <c r="AB247" i="10"/>
  <c r="AD247" i="10" s="1"/>
  <c r="AB248" i="10"/>
  <c r="AD248" i="10" s="1"/>
  <c r="AB249" i="10"/>
  <c r="AD249" i="10" s="1"/>
  <c r="AB250" i="10"/>
  <c r="AD250" i="10" s="1"/>
  <c r="AB251" i="10"/>
  <c r="AD251" i="10" s="1"/>
  <c r="AB252" i="10"/>
  <c r="AD252" i="10" s="1"/>
  <c r="AB253" i="10"/>
  <c r="AD253" i="10" s="1"/>
  <c r="AB254" i="10"/>
  <c r="AD254" i="10" s="1"/>
  <c r="AB255" i="10"/>
  <c r="AD255" i="10" s="1"/>
  <c r="AB256" i="10"/>
  <c r="AD256" i="10" s="1"/>
  <c r="AB257" i="10"/>
  <c r="AD257" i="10" s="1"/>
  <c r="AB258" i="10"/>
  <c r="AD258" i="10" s="1"/>
  <c r="AB259" i="10"/>
  <c r="AD259" i="10" s="1"/>
  <c r="AB260" i="10"/>
  <c r="AD260" i="10" s="1"/>
  <c r="AB261" i="10"/>
  <c r="AD261" i="10" s="1"/>
  <c r="AB262" i="10"/>
  <c r="AD262" i="10" s="1"/>
  <c r="AB263" i="10"/>
  <c r="AD263" i="10" s="1"/>
  <c r="AB264" i="10"/>
  <c r="AD264" i="10" s="1"/>
  <c r="AB265" i="10"/>
  <c r="AD265" i="10" s="1"/>
  <c r="AB266" i="10"/>
  <c r="AD266" i="10" s="1"/>
  <c r="AB267" i="10"/>
  <c r="AD267" i="10" s="1"/>
  <c r="AB268" i="10"/>
  <c r="AD268" i="10" s="1"/>
  <c r="AB269" i="10"/>
  <c r="AD269" i="10" s="1"/>
  <c r="AB270" i="10"/>
  <c r="AD270" i="10" s="1"/>
  <c r="AB271" i="10"/>
  <c r="AD271" i="10" s="1"/>
  <c r="AB272" i="10"/>
  <c r="AD272" i="10" s="1"/>
  <c r="AB273" i="10"/>
  <c r="AD273" i="10" s="1"/>
  <c r="AB274" i="10"/>
  <c r="AD274" i="10" s="1"/>
  <c r="AB275" i="10"/>
  <c r="AD275" i="10" s="1"/>
  <c r="AB276" i="10"/>
  <c r="AD276" i="10" s="1"/>
  <c r="AB277" i="10"/>
  <c r="AD277" i="10" s="1"/>
  <c r="AB278" i="10"/>
  <c r="AD278" i="10" s="1"/>
  <c r="AB279" i="10"/>
  <c r="AD279" i="10" s="1"/>
  <c r="AB280" i="10"/>
  <c r="AD280" i="10" s="1"/>
  <c r="AB281" i="10"/>
  <c r="AD281" i="10" s="1"/>
  <c r="AB282" i="10"/>
  <c r="AD282" i="10" s="1"/>
  <c r="AB283" i="10"/>
  <c r="AD283" i="10" s="1"/>
  <c r="AB284" i="10"/>
  <c r="AD284" i="10" s="1"/>
  <c r="AB285" i="10"/>
  <c r="AD285" i="10" s="1"/>
  <c r="AB286" i="10"/>
  <c r="AD286" i="10" s="1"/>
  <c r="AB287" i="10"/>
  <c r="AD287" i="10" s="1"/>
  <c r="AB288" i="10"/>
  <c r="AD288" i="10" s="1"/>
  <c r="AB289" i="10"/>
  <c r="AD289" i="10" s="1"/>
  <c r="AB290" i="10"/>
  <c r="AD290" i="10" s="1"/>
  <c r="AB291" i="10"/>
  <c r="AD291" i="10" s="1"/>
  <c r="AB292" i="10"/>
  <c r="AD292" i="10" s="1"/>
  <c r="AB293" i="10"/>
  <c r="AD293" i="10" s="1"/>
  <c r="AB294" i="10"/>
  <c r="AD294" i="10" s="1"/>
  <c r="AB295" i="10"/>
  <c r="AD295" i="10" s="1"/>
  <c r="AB296" i="10"/>
  <c r="AD296" i="10" s="1"/>
  <c r="AB297" i="10"/>
  <c r="AD297" i="10" s="1"/>
  <c r="AB298" i="10"/>
  <c r="AD298" i="10" s="1"/>
  <c r="AB299" i="10"/>
  <c r="AD299" i="10" s="1"/>
  <c r="AB300" i="10"/>
  <c r="AD300" i="10" s="1"/>
  <c r="AB301" i="10"/>
  <c r="AD301" i="10" s="1"/>
  <c r="AB302" i="10"/>
  <c r="AD302" i="10" s="1"/>
  <c r="AB304" i="10"/>
  <c r="AD304" i="10" s="1"/>
  <c r="AB308" i="10"/>
  <c r="AB312" i="10"/>
  <c r="AD312" i="10" s="1"/>
  <c r="AB317" i="10"/>
  <c r="AB318" i="10"/>
  <c r="AD318" i="10" s="1"/>
  <c r="AB319" i="10"/>
  <c r="AD319" i="10" s="1"/>
  <c r="AB320" i="10"/>
  <c r="AD320" i="10" s="1"/>
  <c r="AB329" i="10"/>
  <c r="AD329" i="10" s="1"/>
  <c r="AB333" i="10"/>
  <c r="AD333" i="10" s="1"/>
  <c r="AB337" i="10"/>
  <c r="AD337" i="10" s="1"/>
  <c r="AB341" i="10"/>
  <c r="AD341" i="10" s="1"/>
  <c r="AB343" i="10"/>
  <c r="AD343" i="10" s="1"/>
  <c r="AB344" i="10"/>
  <c r="AD344" i="10" s="1"/>
  <c r="AB354" i="10"/>
  <c r="AB357" i="10"/>
  <c r="AD357" i="10" s="1"/>
  <c r="AB360" i="10"/>
  <c r="AD360" i="10" s="1"/>
  <c r="AB362" i="10"/>
  <c r="AD362" i="10" s="1"/>
  <c r="AB364" i="10"/>
  <c r="AB366" i="10"/>
  <c r="AB368" i="10"/>
  <c r="AB377" i="10"/>
  <c r="AD377" i="10" s="1"/>
  <c r="AB378" i="10"/>
  <c r="AB379" i="10"/>
  <c r="AB383" i="10"/>
  <c r="AD383" i="10" s="1"/>
  <c r="AB384" i="10"/>
  <c r="AB388" i="10"/>
  <c r="AD388" i="10" s="1"/>
  <c r="AB390" i="10"/>
  <c r="AD390" i="10" s="1"/>
  <c r="AB391" i="10"/>
  <c r="AD391" i="10" s="1"/>
  <c r="AB392" i="10"/>
  <c r="AD392" i="10" s="1"/>
  <c r="AB394" i="10"/>
  <c r="AD394" i="10" s="1"/>
  <c r="AB397" i="10"/>
  <c r="AB398" i="10"/>
  <c r="AD398" i="10" s="1"/>
  <c r="AB399" i="10"/>
  <c r="AD399" i="10" s="1"/>
  <c r="AB400" i="10"/>
  <c r="AD400" i="10" s="1"/>
  <c r="AB402" i="10"/>
  <c r="AD402" i="10" s="1"/>
  <c r="AB403" i="10"/>
  <c r="AD403" i="10" s="1"/>
  <c r="AB404" i="10"/>
  <c r="AD404" i="10" s="1"/>
  <c r="AB407" i="10"/>
  <c r="AD407" i="10" s="1"/>
  <c r="AB408" i="10"/>
  <c r="AD408" i="10" s="1"/>
  <c r="AB409" i="10"/>
  <c r="AD409" i="10" s="1"/>
  <c r="AB303" i="10"/>
  <c r="AB309" i="10"/>
  <c r="AD309" i="10" s="1"/>
  <c r="AB310" i="10"/>
  <c r="AB311" i="10"/>
  <c r="AD311" i="10" s="1"/>
  <c r="AB314" i="10"/>
  <c r="AD314" i="10" s="1"/>
  <c r="AB315" i="10"/>
  <c r="AD315" i="10" s="1"/>
  <c r="AB316" i="10"/>
  <c r="AD316" i="10" s="1"/>
  <c r="AB322" i="10"/>
  <c r="AB324" i="10"/>
  <c r="AD324" i="10" s="1"/>
  <c r="AB325" i="10"/>
  <c r="AD325" i="10" s="1"/>
  <c r="AB326" i="10"/>
  <c r="AD326" i="10" s="1"/>
  <c r="AB332" i="10"/>
  <c r="AD332" i="10" s="1"/>
  <c r="AB336" i="10"/>
  <c r="AB340" i="10"/>
  <c r="AD340" i="10" s="1"/>
  <c r="AB345" i="10"/>
  <c r="AB346" i="10"/>
  <c r="AD346" i="10" s="1"/>
  <c r="AB349" i="10"/>
  <c r="AB353" i="10"/>
  <c r="AD353" i="10" s="1"/>
  <c r="AB355" i="10"/>
  <c r="AB356" i="10"/>
  <c r="AD356" i="10" s="1"/>
  <c r="AB359" i="10"/>
  <c r="AD359" i="10" s="1"/>
  <c r="AB361" i="10"/>
  <c r="AD361" i="10" s="1"/>
  <c r="AB363" i="10"/>
  <c r="AD363" i="10" s="1"/>
  <c r="AB365" i="10"/>
  <c r="AD365" i="10" s="1"/>
  <c r="AB370" i="10"/>
  <c r="AD370" i="10" s="1"/>
  <c r="AB371" i="10"/>
  <c r="AB372" i="10"/>
  <c r="AB373" i="10"/>
  <c r="AB374" i="10"/>
  <c r="AB386" i="10"/>
  <c r="AD386" i="10" s="1"/>
  <c r="AB389" i="10"/>
  <c r="AD389" i="10" s="1"/>
  <c r="AB396" i="10"/>
  <c r="AD396" i="10" s="1"/>
  <c r="AB401" i="10"/>
  <c r="AD401" i="10" s="1"/>
  <c r="AB405" i="10"/>
  <c r="AD405" i="10" s="1"/>
  <c r="AB406" i="10"/>
  <c r="AD406" i="10" s="1"/>
  <c r="AB305" i="10"/>
  <c r="AD305" i="10" s="1"/>
  <c r="AB11" i="6"/>
  <c r="AD11" i="6" s="1"/>
  <c r="AB12" i="6"/>
  <c r="AB13" i="6"/>
  <c r="AD13" i="6" s="1"/>
  <c r="AB14" i="6"/>
  <c r="AB15" i="6"/>
  <c r="AD15" i="6" s="1"/>
  <c r="AB16" i="6"/>
  <c r="AB17" i="6"/>
  <c r="AD17" i="6" s="1"/>
  <c r="AB18" i="6"/>
  <c r="AB19" i="6"/>
  <c r="AD19" i="6" s="1"/>
  <c r="AB20" i="6"/>
  <c r="AB21" i="6"/>
  <c r="AB22" i="6"/>
  <c r="AD22" i="6" s="1"/>
  <c r="AB23" i="6"/>
  <c r="AB24" i="6"/>
  <c r="AD24" i="6" s="1"/>
  <c r="AB25" i="6"/>
  <c r="AD25" i="6" s="1"/>
  <c r="AB26" i="6"/>
  <c r="AB27" i="6"/>
  <c r="AD27" i="6" s="1"/>
  <c r="AB28" i="6"/>
  <c r="AD28" i="6" s="1"/>
  <c r="AB29" i="6"/>
  <c r="AB30" i="6"/>
  <c r="AB31" i="6"/>
  <c r="AD31" i="6" s="1"/>
  <c r="AB32" i="6"/>
  <c r="AB33" i="6"/>
  <c r="AB34" i="6"/>
  <c r="AB35" i="6"/>
  <c r="AB36" i="6"/>
  <c r="AD36" i="6" s="1"/>
  <c r="AB37" i="6"/>
  <c r="AD37" i="6" s="1"/>
  <c r="AB38" i="6"/>
  <c r="AD38" i="6" s="1"/>
  <c r="AB39" i="6"/>
  <c r="AB40" i="6"/>
  <c r="AB41" i="6"/>
  <c r="AD41" i="6" s="1"/>
  <c r="AB42" i="6"/>
  <c r="AD42" i="6" s="1"/>
  <c r="AB43" i="6"/>
  <c r="AD43" i="6" s="1"/>
  <c r="AB44" i="6"/>
  <c r="AB45" i="6"/>
  <c r="AD45" i="6" s="1"/>
  <c r="AB46" i="6"/>
  <c r="AB47" i="6"/>
  <c r="AD47" i="6" s="1"/>
  <c r="AB48" i="6"/>
  <c r="AD48" i="6" s="1"/>
  <c r="AB49" i="6"/>
  <c r="AD49" i="6" s="1"/>
  <c r="AB50" i="6"/>
  <c r="AB51" i="6"/>
  <c r="AD51" i="6" s="1"/>
  <c r="AB52" i="6"/>
  <c r="AB53" i="6"/>
  <c r="AD53" i="6" s="1"/>
  <c r="AB54" i="6"/>
  <c r="AB55" i="6"/>
  <c r="AD55" i="6" s="1"/>
  <c r="AB56" i="6"/>
  <c r="AD56" i="6" s="1"/>
  <c r="AB57" i="6"/>
  <c r="AB58" i="6"/>
  <c r="AD58" i="6" s="1"/>
  <c r="AB59" i="6"/>
  <c r="AD59" i="6" s="1"/>
  <c r="AB60" i="6"/>
  <c r="AB61" i="6"/>
  <c r="AB62" i="6"/>
  <c r="AB63" i="6"/>
  <c r="AD63" i="6" s="1"/>
  <c r="AB64" i="6"/>
  <c r="AD64" i="6" s="1"/>
  <c r="AB65" i="6"/>
  <c r="AB66" i="6"/>
  <c r="AB67" i="6"/>
  <c r="AD67" i="6" s="1"/>
  <c r="AB68" i="6"/>
  <c r="AD68" i="6" s="1"/>
  <c r="AB69" i="6"/>
  <c r="AD69" i="6" s="1"/>
  <c r="AB70" i="6"/>
  <c r="AB71" i="6"/>
  <c r="AD71" i="6" s="1"/>
  <c r="AB72" i="6"/>
  <c r="AD72" i="6" s="1"/>
  <c r="AB73" i="6"/>
  <c r="AB74" i="6"/>
  <c r="AD74" i="6" s="1"/>
  <c r="AB75" i="6"/>
  <c r="AD75" i="6" s="1"/>
  <c r="AB76" i="6"/>
  <c r="AB77" i="6"/>
  <c r="AD77" i="6" s="1"/>
  <c r="AB78" i="6"/>
  <c r="AD78" i="6" s="1"/>
  <c r="AB79" i="6"/>
  <c r="AB80" i="6"/>
  <c r="AD80" i="6" s="1"/>
  <c r="AB81" i="6"/>
  <c r="AB82" i="6"/>
  <c r="AD82" i="6" s="1"/>
  <c r="AB83" i="6"/>
  <c r="AB84" i="6"/>
  <c r="AD84" i="6" s="1"/>
  <c r="AB85" i="6"/>
  <c r="AB86" i="6"/>
  <c r="AD86" i="6" s="1"/>
  <c r="AB87" i="6"/>
  <c r="AD87" i="6" s="1"/>
  <c r="AB88" i="6"/>
  <c r="AB89" i="6"/>
  <c r="AB90" i="6"/>
  <c r="AB91" i="6"/>
  <c r="AD91" i="6" s="1"/>
  <c r="AB92" i="6"/>
  <c r="AB93" i="6"/>
  <c r="AD93" i="6" s="1"/>
  <c r="AB94" i="6"/>
  <c r="AD94" i="6" s="1"/>
  <c r="AB95" i="6"/>
  <c r="AD95" i="6" s="1"/>
  <c r="AB96" i="6"/>
  <c r="AB97" i="6"/>
  <c r="AD97" i="6" s="1"/>
  <c r="AB98" i="6"/>
  <c r="AB99" i="6"/>
  <c r="AB100" i="6"/>
  <c r="AD100" i="6" s="1"/>
  <c r="AB101" i="6"/>
  <c r="AB102" i="6"/>
  <c r="AB103" i="6"/>
  <c r="AD103" i="6" s="1"/>
  <c r="AB104" i="6"/>
  <c r="AD104" i="6" s="1"/>
  <c r="AB105" i="6"/>
  <c r="AB106" i="6"/>
  <c r="AB107" i="6"/>
  <c r="AD107" i="6" s="1"/>
  <c r="AB108" i="6"/>
  <c r="AB109" i="6"/>
  <c r="AB110" i="6"/>
  <c r="AD110" i="6" s="1"/>
  <c r="AB111" i="6"/>
  <c r="AB112" i="6"/>
  <c r="AD112" i="6" s="1"/>
  <c r="AB113" i="6"/>
  <c r="AD113" i="6" s="1"/>
  <c r="AB114" i="6"/>
  <c r="AB115" i="6"/>
  <c r="AB116" i="6"/>
  <c r="AD116" i="6" s="1"/>
  <c r="AB117" i="6"/>
  <c r="AD117" i="6" s="1"/>
  <c r="AB118" i="6"/>
  <c r="AB119" i="6"/>
  <c r="AB120" i="6"/>
  <c r="AB121" i="6"/>
  <c r="AD121" i="6" s="1"/>
  <c r="AB122" i="6"/>
  <c r="AD122" i="6" s="1"/>
  <c r="AB123" i="6"/>
  <c r="AB124" i="6"/>
  <c r="AD124" i="6" s="1"/>
  <c r="AB125" i="6"/>
  <c r="AB126" i="6"/>
  <c r="AD126" i="6" s="1"/>
  <c r="AB127" i="6"/>
  <c r="AB128" i="6"/>
  <c r="AD128" i="6" s="1"/>
  <c r="AB129" i="6"/>
  <c r="AB130" i="6"/>
  <c r="AD130" i="6" s="1"/>
  <c r="AB131" i="6"/>
  <c r="AB132" i="6"/>
  <c r="AB133" i="6"/>
  <c r="AD133" i="6" s="1"/>
  <c r="AB134" i="6"/>
  <c r="AD134" i="6" s="1"/>
  <c r="AB135" i="6"/>
  <c r="AB136" i="6"/>
  <c r="AB137" i="6"/>
  <c r="AD137" i="6" s="1"/>
  <c r="AB138" i="6"/>
  <c r="AD138" i="6" s="1"/>
  <c r="AB139" i="6"/>
  <c r="AD139" i="6" s="1"/>
  <c r="AB140" i="6"/>
  <c r="AB141" i="6"/>
  <c r="AD141" i="6" s="1"/>
  <c r="AB142" i="6"/>
  <c r="AD142" i="6" s="1"/>
  <c r="AB143" i="6"/>
  <c r="AB144" i="6"/>
  <c r="AD144" i="6" s="1"/>
  <c r="AB145" i="6"/>
  <c r="AD145" i="6" s="1"/>
  <c r="AB146" i="6"/>
  <c r="AB147" i="6"/>
  <c r="AD147" i="6" s="1"/>
  <c r="AB148" i="6"/>
  <c r="AD148" i="6" s="1"/>
  <c r="AB149" i="6"/>
  <c r="AB150" i="6"/>
  <c r="AD150" i="6" s="1"/>
  <c r="AB151" i="6"/>
  <c r="AB152" i="6"/>
  <c r="AD152" i="6" s="1"/>
  <c r="AB153" i="6"/>
  <c r="AB154" i="6"/>
  <c r="AB155" i="6"/>
  <c r="AD155" i="6" s="1"/>
  <c r="AB156" i="6"/>
  <c r="AD156" i="6" s="1"/>
  <c r="AB157" i="6"/>
  <c r="AB160" i="6"/>
  <c r="AD160" i="6" s="1"/>
  <c r="AB161" i="6"/>
  <c r="AD161" i="6" s="1"/>
  <c r="AB165" i="6"/>
  <c r="AB166" i="6"/>
  <c r="AB167" i="6"/>
  <c r="AD167" i="6" s="1"/>
  <c r="AB169" i="6"/>
  <c r="AD169" i="6" s="1"/>
  <c r="AB173" i="6"/>
  <c r="AD173" i="6" s="1"/>
  <c r="AB174" i="6"/>
  <c r="AB179" i="6"/>
  <c r="AD179" i="6" s="1"/>
  <c r="AB180" i="6"/>
  <c r="AD180" i="6" s="1"/>
  <c r="AB183" i="6"/>
  <c r="AD183" i="6" s="1"/>
  <c r="AB184" i="6"/>
  <c r="AB187" i="6"/>
  <c r="AB189" i="6"/>
  <c r="AD189" i="6" s="1"/>
  <c r="AB192" i="6"/>
  <c r="AD192" i="6" s="1"/>
  <c r="AB193" i="6"/>
  <c r="AD193" i="6" s="1"/>
  <c r="AB194" i="6"/>
  <c r="AB196" i="6"/>
  <c r="AD196" i="6" s="1"/>
  <c r="AB197" i="6"/>
  <c r="AD197" i="6" s="1"/>
  <c r="AB198" i="6"/>
  <c r="AD198" i="6" s="1"/>
  <c r="AB201" i="6"/>
  <c r="AD201" i="6" s="1"/>
  <c r="AB202" i="6"/>
  <c r="AB207" i="6"/>
  <c r="AD207" i="6" s="1"/>
  <c r="AB208" i="6"/>
  <c r="AB209" i="6"/>
  <c r="AB212" i="6"/>
  <c r="AD212" i="6" s="1"/>
  <c r="AB213" i="6"/>
  <c r="AD213" i="6" s="1"/>
  <c r="AB214" i="6"/>
  <c r="AD214" i="6" s="1"/>
  <c r="AB216" i="6"/>
  <c r="AD216" i="6" s="1"/>
  <c r="AB218" i="6"/>
  <c r="AD218" i="6" s="1"/>
  <c r="AB222" i="6"/>
  <c r="AD222" i="6" s="1"/>
  <c r="AB224" i="6"/>
  <c r="AD224" i="6" s="1"/>
  <c r="AB225" i="6"/>
  <c r="AD225" i="6" s="1"/>
  <c r="AB227" i="6"/>
  <c r="AD227" i="6" s="1"/>
  <c r="AB228" i="6"/>
  <c r="AD228" i="6" s="1"/>
  <c r="AB229" i="6"/>
  <c r="AD229" i="6" s="1"/>
  <c r="AB233" i="6"/>
  <c r="AD233" i="6" s="1"/>
  <c r="AB238" i="6"/>
  <c r="AD238" i="6" s="1"/>
  <c r="AB240" i="6"/>
  <c r="AD240" i="6" s="1"/>
  <c r="AB242" i="6"/>
  <c r="AD242" i="6" s="1"/>
  <c r="AB243" i="6"/>
  <c r="AD243" i="6" s="1"/>
  <c r="AB244" i="6"/>
  <c r="AD244" i="6" s="1"/>
  <c r="AB247" i="6"/>
  <c r="AD247" i="6" s="1"/>
  <c r="AB248" i="6"/>
  <c r="AD248" i="6" s="1"/>
  <c r="AB252" i="6"/>
  <c r="AD252" i="6" s="1"/>
  <c r="AB253" i="6"/>
  <c r="AD253" i="6" s="1"/>
  <c r="AB254" i="6"/>
  <c r="AD254" i="6" s="1"/>
  <c r="AB256" i="6"/>
  <c r="AD256" i="6" s="1"/>
  <c r="AB258" i="6"/>
  <c r="AD258" i="6" s="1"/>
  <c r="AB259" i="6"/>
  <c r="AD259" i="6" s="1"/>
  <c r="AB261" i="6"/>
  <c r="AD261" i="6" s="1"/>
  <c r="AB264" i="6"/>
  <c r="AD264" i="6" s="1"/>
  <c r="AB266" i="6"/>
  <c r="AD266" i="6" s="1"/>
  <c r="AB267" i="6"/>
  <c r="AD267" i="6" s="1"/>
  <c r="AB268" i="6"/>
  <c r="AD268" i="6" s="1"/>
  <c r="AB273" i="6"/>
  <c r="AD273" i="6" s="1"/>
  <c r="AB275" i="6"/>
  <c r="AD275" i="6" s="1"/>
  <c r="AB276" i="6"/>
  <c r="AD276" i="6" s="1"/>
  <c r="AB277" i="6"/>
  <c r="AD277" i="6" s="1"/>
  <c r="AB278" i="6"/>
  <c r="AD278" i="6" s="1"/>
  <c r="AB279" i="6"/>
  <c r="AD279" i="6" s="1"/>
  <c r="AB283" i="6"/>
  <c r="AD283" i="6" s="1"/>
  <c r="AB284" i="6"/>
  <c r="AD284" i="6" s="1"/>
  <c r="AB285" i="6"/>
  <c r="AD285" i="6" s="1"/>
  <c r="AB286" i="6"/>
  <c r="AD286" i="6" s="1"/>
  <c r="AB289" i="6"/>
  <c r="AD289" i="6" s="1"/>
  <c r="AB291" i="6"/>
  <c r="AD291" i="6" s="1"/>
  <c r="AB292" i="6"/>
  <c r="AD292" i="6" s="1"/>
  <c r="AB293" i="6"/>
  <c r="AD293" i="6" s="1"/>
  <c r="AB294" i="6"/>
  <c r="AD294" i="6" s="1"/>
  <c r="AB295" i="6"/>
  <c r="AD295" i="6" s="1"/>
  <c r="AB297" i="6"/>
  <c r="AD297" i="6" s="1"/>
  <c r="AB300" i="6"/>
  <c r="AD300" i="6" s="1"/>
  <c r="AB158" i="6"/>
  <c r="AD158" i="6" s="1"/>
  <c r="AB159" i="6"/>
  <c r="AB162" i="6"/>
  <c r="AB163" i="6"/>
  <c r="AD163" i="6" s="1"/>
  <c r="AB164" i="6"/>
  <c r="AD164" i="6" s="1"/>
  <c r="AB168" i="6"/>
  <c r="AD168" i="6" s="1"/>
  <c r="AB170" i="6"/>
  <c r="AD170" i="6" s="1"/>
  <c r="AB171" i="6"/>
  <c r="AB172" i="6"/>
  <c r="AD172" i="6" s="1"/>
  <c r="AB175" i="6"/>
  <c r="AD175" i="6" s="1"/>
  <c r="AB176" i="6"/>
  <c r="AD176" i="6" s="1"/>
  <c r="AB177" i="6"/>
  <c r="AD177" i="6" s="1"/>
  <c r="AB178" i="6"/>
  <c r="AD178" i="6" s="1"/>
  <c r="AB181" i="6"/>
  <c r="AD181" i="6" s="1"/>
  <c r="AB182" i="6"/>
  <c r="AD182" i="6" s="1"/>
  <c r="AB185" i="6"/>
  <c r="AD185" i="6" s="1"/>
  <c r="AB186" i="6"/>
  <c r="AD186" i="6" s="1"/>
  <c r="AB188" i="6"/>
  <c r="AD188" i="6" s="1"/>
  <c r="AB190" i="6"/>
  <c r="AD190" i="6" s="1"/>
  <c r="AB191" i="6"/>
  <c r="AD191" i="6" s="1"/>
  <c r="AB195" i="6"/>
  <c r="AB199" i="6"/>
  <c r="AD199" i="6" s="1"/>
  <c r="AB200" i="6"/>
  <c r="AD200" i="6" s="1"/>
  <c r="AB203" i="6"/>
  <c r="AD203" i="6" s="1"/>
  <c r="AB204" i="6"/>
  <c r="AD204" i="6" s="1"/>
  <c r="AB205" i="6"/>
  <c r="AD205" i="6" s="1"/>
  <c r="AB206" i="6"/>
  <c r="AD206" i="6" s="1"/>
  <c r="AB210" i="6"/>
  <c r="AD210" i="6" s="1"/>
  <c r="AB211" i="6"/>
  <c r="AD211" i="6" s="1"/>
  <c r="AB215" i="6"/>
  <c r="AD215" i="6" s="1"/>
  <c r="AB217" i="6"/>
  <c r="AD217" i="6" s="1"/>
  <c r="AB219" i="6"/>
  <c r="AD219" i="6" s="1"/>
  <c r="AB220" i="6"/>
  <c r="AD220" i="6" s="1"/>
  <c r="AB221" i="6"/>
  <c r="AD221" i="6" s="1"/>
  <c r="AB223" i="6"/>
  <c r="AD223" i="6" s="1"/>
  <c r="AB226" i="6"/>
  <c r="AD226" i="6" s="1"/>
  <c r="AB230" i="6"/>
  <c r="AD230" i="6" s="1"/>
  <c r="AB231" i="6"/>
  <c r="AD231" i="6" s="1"/>
  <c r="AB232" i="6"/>
  <c r="AD232" i="6" s="1"/>
  <c r="AB234" i="6"/>
  <c r="AD234" i="6" s="1"/>
  <c r="AB235" i="6"/>
  <c r="AD235" i="6" s="1"/>
  <c r="AB236" i="6"/>
  <c r="AD236" i="6" s="1"/>
  <c r="AB237" i="6"/>
  <c r="AD237" i="6" s="1"/>
  <c r="AB239" i="6"/>
  <c r="AD239" i="6" s="1"/>
  <c r="AB241" i="6"/>
  <c r="AD241" i="6" s="1"/>
  <c r="AB245" i="6"/>
  <c r="AD245" i="6" s="1"/>
  <c r="AB246" i="6"/>
  <c r="AD246" i="6" s="1"/>
  <c r="AB249" i="6"/>
  <c r="AD249" i="6" s="1"/>
  <c r="AB250" i="6"/>
  <c r="AD250" i="6" s="1"/>
  <c r="AB251" i="6"/>
  <c r="AD251" i="6" s="1"/>
  <c r="AB255" i="6"/>
  <c r="AD255" i="6" s="1"/>
  <c r="AB257" i="6"/>
  <c r="AD257" i="6" s="1"/>
  <c r="AB260" i="6"/>
  <c r="AD260" i="6" s="1"/>
  <c r="AB262" i="6"/>
  <c r="AD262" i="6" s="1"/>
  <c r="AB263" i="6"/>
  <c r="AD263" i="6" s="1"/>
  <c r="AB265" i="6"/>
  <c r="AD265" i="6" s="1"/>
  <c r="AB269" i="6"/>
  <c r="AD269" i="6" s="1"/>
  <c r="AB270" i="6"/>
  <c r="AD270" i="6" s="1"/>
  <c r="AB271" i="6"/>
  <c r="AD271" i="6" s="1"/>
  <c r="AB272" i="6"/>
  <c r="AD272" i="6" s="1"/>
  <c r="AB274" i="6"/>
  <c r="AD274" i="6" s="1"/>
  <c r="AB280" i="6"/>
  <c r="AD280" i="6" s="1"/>
  <c r="AB281" i="6"/>
  <c r="AD281" i="6" s="1"/>
  <c r="AB282" i="6"/>
  <c r="AD282" i="6" s="1"/>
  <c r="AB287" i="6"/>
  <c r="AD287" i="6" s="1"/>
  <c r="AB288" i="6"/>
  <c r="AD288" i="6" s="1"/>
  <c r="AB290" i="6"/>
  <c r="AD290" i="6" s="1"/>
  <c r="AB296" i="6"/>
  <c r="AD296" i="6" s="1"/>
  <c r="AB298" i="6"/>
  <c r="AD298" i="6" s="1"/>
  <c r="AB299" i="6"/>
  <c r="AD299" i="6" s="1"/>
  <c r="AB301" i="6"/>
  <c r="AD301" i="6" s="1"/>
  <c r="AB302" i="6"/>
  <c r="AD302" i="6" s="1"/>
  <c r="AB303" i="6"/>
  <c r="AD303" i="6" s="1"/>
  <c r="AB304" i="6"/>
  <c r="AD304" i="6" s="1"/>
  <c r="AB305" i="6"/>
  <c r="AD305" i="6" s="1"/>
  <c r="AB306" i="6"/>
  <c r="AD306" i="6" s="1"/>
  <c r="AB307" i="6"/>
  <c r="AD307" i="6" s="1"/>
  <c r="AB308" i="6"/>
  <c r="AD308" i="6" s="1"/>
  <c r="AB309" i="6"/>
  <c r="AD309" i="6" s="1"/>
  <c r="AB310" i="6"/>
  <c r="AD310" i="6" s="1"/>
  <c r="AB311" i="6"/>
  <c r="AD311" i="6" s="1"/>
  <c r="AB312" i="6"/>
  <c r="AD312" i="6" s="1"/>
  <c r="AB313" i="6"/>
  <c r="AD313" i="6" s="1"/>
  <c r="AB314" i="6"/>
  <c r="AD314" i="6" s="1"/>
  <c r="AB315" i="6"/>
  <c r="AD315" i="6" s="1"/>
  <c r="AB317" i="6"/>
  <c r="AD317" i="6" s="1"/>
  <c r="AB318" i="6"/>
  <c r="AD318" i="6" s="1"/>
  <c r="AB319" i="6"/>
  <c r="AD319" i="6" s="1"/>
  <c r="AB320" i="6"/>
  <c r="AD320" i="6" s="1"/>
  <c r="AB321" i="6"/>
  <c r="AD321" i="6" s="1"/>
  <c r="AB322" i="6"/>
  <c r="AD322" i="6" s="1"/>
  <c r="AB323" i="6"/>
  <c r="AD323" i="6" s="1"/>
  <c r="AB324" i="6"/>
  <c r="AD324" i="6" s="1"/>
  <c r="AB325" i="6"/>
  <c r="AD325" i="6" s="1"/>
  <c r="AB326" i="6"/>
  <c r="AD326" i="6" s="1"/>
  <c r="AB327" i="6"/>
  <c r="AD327" i="6" s="1"/>
  <c r="AB328" i="6"/>
  <c r="AD328" i="6" s="1"/>
  <c r="AB329" i="6"/>
  <c r="AD329" i="6" s="1"/>
  <c r="AB330" i="6"/>
  <c r="AD330" i="6" s="1"/>
  <c r="AB331" i="6"/>
  <c r="AD331" i="6" s="1"/>
  <c r="AB332" i="6"/>
  <c r="AD332" i="6" s="1"/>
  <c r="AB333" i="6"/>
  <c r="AD333" i="6" s="1"/>
  <c r="AB334" i="6"/>
  <c r="AD334" i="6" s="1"/>
  <c r="AB335" i="6"/>
  <c r="AD335" i="6" s="1"/>
  <c r="AB336" i="6"/>
  <c r="AD336" i="6" s="1"/>
  <c r="AB337" i="6"/>
  <c r="AD337" i="6" s="1"/>
  <c r="AB338" i="6"/>
  <c r="AD338" i="6" s="1"/>
  <c r="AB339" i="6"/>
  <c r="AD339" i="6" s="1"/>
  <c r="AB340" i="6"/>
  <c r="AD340" i="6" s="1"/>
  <c r="AB341" i="6"/>
  <c r="AD341" i="6" s="1"/>
  <c r="AB342" i="6"/>
  <c r="AD342" i="6" s="1"/>
  <c r="AB343" i="6"/>
  <c r="AD343" i="6" s="1"/>
  <c r="AB344" i="6"/>
  <c r="AD344" i="6" s="1"/>
  <c r="AB345" i="6"/>
  <c r="AD345" i="6" s="1"/>
  <c r="AB346" i="6"/>
  <c r="AD346" i="6" s="1"/>
  <c r="AB347" i="6"/>
  <c r="AD347" i="6" s="1"/>
  <c r="AB348" i="6"/>
  <c r="AD348" i="6" s="1"/>
  <c r="AB349" i="6"/>
  <c r="AD349" i="6" s="1"/>
  <c r="AB350" i="6"/>
  <c r="AD350" i="6" s="1"/>
  <c r="AB351" i="6"/>
  <c r="AD351" i="6" s="1"/>
  <c r="AB352" i="6"/>
  <c r="AD352" i="6" s="1"/>
  <c r="AB353" i="6"/>
  <c r="AD353" i="6" s="1"/>
  <c r="AB354" i="6"/>
  <c r="AD354" i="6" s="1"/>
  <c r="AB355" i="6"/>
  <c r="AD355" i="6" s="1"/>
  <c r="AB356" i="6"/>
  <c r="AD356" i="6" s="1"/>
  <c r="AB357" i="6"/>
  <c r="AD357" i="6" s="1"/>
  <c r="AB358" i="6"/>
  <c r="AD358" i="6" s="1"/>
  <c r="AB359" i="6"/>
  <c r="AD359" i="6" s="1"/>
  <c r="AB360" i="6"/>
  <c r="AD360" i="6" s="1"/>
  <c r="AB361" i="6"/>
  <c r="AD361" i="6" s="1"/>
  <c r="AB362" i="6"/>
  <c r="AD362" i="6" s="1"/>
  <c r="AB363" i="6"/>
  <c r="AD363" i="6" s="1"/>
  <c r="AB364" i="6"/>
  <c r="AD364" i="6" s="1"/>
  <c r="AB365" i="6"/>
  <c r="AD365" i="6" s="1"/>
  <c r="AB366" i="6"/>
  <c r="AD366" i="6" s="1"/>
  <c r="AB367" i="6"/>
  <c r="AD367" i="6" s="1"/>
  <c r="AB368" i="6"/>
  <c r="AD368" i="6" s="1"/>
  <c r="AB369" i="6"/>
  <c r="AD369" i="6" s="1"/>
  <c r="AB370" i="6"/>
  <c r="AD370" i="6" s="1"/>
  <c r="AB371" i="6"/>
  <c r="AD371" i="6" s="1"/>
  <c r="AB372" i="6"/>
  <c r="AD372" i="6" s="1"/>
  <c r="AB373" i="6"/>
  <c r="AD373" i="6" s="1"/>
  <c r="AB374" i="6"/>
  <c r="AD374" i="6" s="1"/>
  <c r="AB375" i="6"/>
  <c r="AD375" i="6" s="1"/>
  <c r="AB376" i="6"/>
  <c r="AD376" i="6" s="1"/>
  <c r="AB377" i="6"/>
  <c r="AD377" i="6" s="1"/>
  <c r="AB378" i="6"/>
  <c r="AD378" i="6" s="1"/>
  <c r="AB379" i="6"/>
  <c r="AD379" i="6" s="1"/>
  <c r="AB380" i="6"/>
  <c r="AD380" i="6" s="1"/>
  <c r="AB381" i="6"/>
  <c r="AD381" i="6" s="1"/>
  <c r="AB382" i="6"/>
  <c r="AD382" i="6" s="1"/>
  <c r="AB383" i="6"/>
  <c r="AD383" i="6" s="1"/>
  <c r="AB384" i="6"/>
  <c r="AD384" i="6" s="1"/>
  <c r="AB385" i="6"/>
  <c r="AD385" i="6" s="1"/>
  <c r="AB386" i="6"/>
  <c r="AD386" i="6" s="1"/>
  <c r="AB387" i="6"/>
  <c r="AD387" i="6" s="1"/>
  <c r="AB388" i="6"/>
  <c r="AD388" i="6" s="1"/>
  <c r="AB389" i="6"/>
  <c r="AD389" i="6" s="1"/>
  <c r="AB390" i="6"/>
  <c r="AD390" i="6" s="1"/>
  <c r="AB391" i="6"/>
  <c r="AD391" i="6" s="1"/>
  <c r="AB392" i="6"/>
  <c r="AD392" i="6" s="1"/>
  <c r="AB393" i="6"/>
  <c r="AD393" i="6" s="1"/>
  <c r="AB394" i="6"/>
  <c r="AD394" i="6" s="1"/>
  <c r="AB395" i="6"/>
  <c r="AD395" i="6" s="1"/>
  <c r="AB396" i="6"/>
  <c r="AD396" i="6" s="1"/>
  <c r="AB397" i="6"/>
  <c r="AD397" i="6" s="1"/>
  <c r="AB398" i="6"/>
  <c r="AD398" i="6" s="1"/>
  <c r="AB399" i="6"/>
  <c r="AD399" i="6" s="1"/>
  <c r="AB400" i="6"/>
  <c r="AD400" i="6" s="1"/>
  <c r="AB401" i="6"/>
  <c r="AD401" i="6" s="1"/>
  <c r="AB402" i="6"/>
  <c r="AD402" i="6" s="1"/>
  <c r="AB403" i="6"/>
  <c r="AD403" i="6" s="1"/>
  <c r="AB404" i="6"/>
  <c r="AD404" i="6" s="1"/>
  <c r="AB405" i="6"/>
  <c r="AD405" i="6" s="1"/>
  <c r="AB406" i="6"/>
  <c r="AD406" i="6" s="1"/>
  <c r="AB407" i="6"/>
  <c r="AD407" i="6" s="1"/>
  <c r="AB408" i="6"/>
  <c r="AD408" i="6" s="1"/>
  <c r="AB409" i="6"/>
  <c r="AD409" i="6" s="1"/>
  <c r="AB410" i="6"/>
  <c r="AD410" i="6" s="1"/>
  <c r="AB411" i="6"/>
  <c r="AD411" i="6" s="1"/>
  <c r="AB412" i="6"/>
  <c r="AD412" i="6" s="1"/>
  <c r="AB413" i="6"/>
  <c r="AD413" i="6" s="1"/>
  <c r="AB414" i="6"/>
  <c r="AD414" i="6" s="1"/>
  <c r="AB415" i="6"/>
  <c r="AD415" i="6" s="1"/>
  <c r="AB416" i="6"/>
  <c r="AD416" i="6" s="1"/>
  <c r="AB417" i="6"/>
  <c r="AD417" i="6" s="1"/>
  <c r="AB418" i="6"/>
  <c r="AD418" i="6" s="1"/>
  <c r="AB419" i="6"/>
  <c r="AD419" i="6" s="1"/>
  <c r="AB420" i="6"/>
  <c r="AD420" i="6" s="1"/>
  <c r="AB421" i="6"/>
  <c r="AD421" i="6" s="1"/>
  <c r="AB422" i="6"/>
  <c r="AD422" i="6" s="1"/>
  <c r="AB423" i="6"/>
  <c r="AD423" i="6" s="1"/>
  <c r="AB424" i="6"/>
  <c r="AD424" i="6" s="1"/>
  <c r="AB425" i="6"/>
  <c r="AD425" i="6" s="1"/>
  <c r="AB426" i="6"/>
  <c r="AD426" i="6" s="1"/>
  <c r="AB427" i="6"/>
  <c r="AD427" i="6" s="1"/>
  <c r="AB428" i="6"/>
  <c r="AD428" i="6" s="1"/>
  <c r="AB429" i="6"/>
  <c r="AD429" i="6" s="1"/>
  <c r="AB430" i="6"/>
  <c r="AD430" i="6" s="1"/>
  <c r="AB431" i="6"/>
  <c r="AD431" i="6" s="1"/>
  <c r="AB432" i="6"/>
  <c r="AD432" i="6" s="1"/>
  <c r="AB433" i="6"/>
  <c r="AD433" i="6" s="1"/>
  <c r="AB434" i="6"/>
  <c r="AD434" i="6" s="1"/>
  <c r="AB435" i="6"/>
  <c r="AD435" i="6" s="1"/>
  <c r="AB436" i="6"/>
  <c r="AD436" i="6" s="1"/>
  <c r="AB437" i="6"/>
  <c r="AD437" i="6" s="1"/>
  <c r="AB438" i="6"/>
  <c r="AD438" i="6" s="1"/>
  <c r="AB439" i="6"/>
  <c r="AD439" i="6" s="1"/>
  <c r="AB440" i="6"/>
  <c r="AD440" i="6" s="1"/>
  <c r="AB441" i="6"/>
  <c r="AD441" i="6" s="1"/>
  <c r="AB442" i="6"/>
  <c r="AD442" i="6" s="1"/>
  <c r="AB443" i="6"/>
  <c r="AD443" i="6" s="1"/>
  <c r="AB444" i="6"/>
  <c r="AD444" i="6" s="1"/>
  <c r="AB445" i="6"/>
  <c r="AD445" i="6" s="1"/>
  <c r="AB446" i="6"/>
  <c r="AD446" i="6" s="1"/>
  <c r="AB447" i="6"/>
  <c r="AD447" i="6" s="1"/>
  <c r="AB448" i="6"/>
  <c r="AD448" i="6" s="1"/>
  <c r="AB449" i="6"/>
  <c r="AD449" i="6" s="1"/>
  <c r="AB450" i="6"/>
  <c r="AD450" i="6" s="1"/>
  <c r="AB451" i="6"/>
  <c r="AD451" i="6" s="1"/>
  <c r="AB452" i="6"/>
  <c r="AD452" i="6" s="1"/>
  <c r="AB453" i="6"/>
  <c r="AD453" i="6" s="1"/>
  <c r="AB454" i="6"/>
  <c r="AD454" i="6" s="1"/>
  <c r="AB455" i="6"/>
  <c r="AD455" i="6" s="1"/>
  <c r="AB456" i="6"/>
  <c r="AD456" i="6" s="1"/>
  <c r="AB457" i="6"/>
  <c r="AD457" i="6" s="1"/>
  <c r="AB458" i="6"/>
  <c r="AD458" i="6" s="1"/>
  <c r="AB459" i="6"/>
  <c r="AD459" i="6" s="1"/>
  <c r="AB460" i="6"/>
  <c r="AD460" i="6" s="1"/>
  <c r="AB461" i="6"/>
  <c r="AD461" i="6" s="1"/>
  <c r="AB462" i="6"/>
  <c r="AD462" i="6" s="1"/>
  <c r="AB463" i="6"/>
  <c r="AD463" i="6" s="1"/>
  <c r="AB464" i="6"/>
  <c r="AD464" i="6" s="1"/>
  <c r="AB465" i="6"/>
  <c r="AD465" i="6" s="1"/>
  <c r="AB466" i="6"/>
  <c r="AD466" i="6" s="1"/>
  <c r="AB467" i="6"/>
  <c r="AD467" i="6" s="1"/>
  <c r="AB468" i="6"/>
  <c r="AD468" i="6" s="1"/>
  <c r="AB469" i="6"/>
  <c r="AD469" i="6" s="1"/>
  <c r="AB470" i="6"/>
  <c r="AD470" i="6" s="1"/>
  <c r="AB471" i="6"/>
  <c r="AD471" i="6" s="1"/>
  <c r="AB472" i="6"/>
  <c r="AD472" i="6" s="1"/>
  <c r="AB473" i="6"/>
  <c r="AD473" i="6" s="1"/>
  <c r="AB474" i="6"/>
  <c r="AD474" i="6" s="1"/>
  <c r="AB475" i="6"/>
  <c r="AD475" i="6" s="1"/>
  <c r="AB476" i="6"/>
  <c r="AD476" i="6" s="1"/>
  <c r="AB477" i="6"/>
  <c r="AD477" i="6" s="1"/>
  <c r="AB478" i="6"/>
  <c r="AD478" i="6" s="1"/>
  <c r="AB479" i="6"/>
  <c r="AD479" i="6" s="1"/>
  <c r="AB480" i="6"/>
  <c r="AD480" i="6" s="1"/>
  <c r="AB481" i="6"/>
  <c r="AD481" i="6" s="1"/>
  <c r="AB316" i="6"/>
  <c r="AD316" i="6" s="1"/>
  <c r="AC11" i="14"/>
  <c r="AD11" i="14" s="1"/>
  <c r="AC12" i="14"/>
  <c r="AD12" i="14" s="1"/>
  <c r="AC13" i="14"/>
  <c r="AD13" i="14" s="1"/>
  <c r="AC14" i="14"/>
  <c r="AD14" i="14" s="1"/>
  <c r="AC15" i="14"/>
  <c r="AD15" i="14" s="1"/>
  <c r="AC16" i="14"/>
  <c r="AD16" i="14" s="1"/>
  <c r="AC17" i="14"/>
  <c r="AD17" i="14" s="1"/>
  <c r="AC18" i="14"/>
  <c r="AD18" i="14" s="1"/>
  <c r="AC19" i="14"/>
  <c r="AD19" i="14" s="1"/>
  <c r="AC20" i="14"/>
  <c r="AD20" i="14" s="1"/>
  <c r="AC21" i="14"/>
  <c r="AD21" i="14" s="1"/>
  <c r="AC22" i="14"/>
  <c r="AD22" i="14" s="1"/>
  <c r="AC23" i="14"/>
  <c r="AD23" i="14" s="1"/>
  <c r="AC24" i="14"/>
  <c r="AD24" i="14" s="1"/>
  <c r="AC25" i="14"/>
  <c r="AD25" i="14" s="1"/>
  <c r="AC26" i="14"/>
  <c r="AD26" i="14" s="1"/>
  <c r="AC27" i="14"/>
  <c r="AD27" i="14" s="1"/>
  <c r="AC28" i="14"/>
  <c r="AD28" i="14" s="1"/>
  <c r="AC29" i="14"/>
  <c r="AD29" i="14" s="1"/>
  <c r="AC30" i="14"/>
  <c r="AD30" i="14" s="1"/>
  <c r="AC31" i="14"/>
  <c r="AD31" i="14" s="1"/>
  <c r="AC32" i="14"/>
  <c r="AD32" i="14" s="1"/>
  <c r="AC33" i="14"/>
  <c r="AD33" i="14" s="1"/>
  <c r="AC34" i="14"/>
  <c r="AD34" i="14" s="1"/>
  <c r="AC35" i="14"/>
  <c r="AD35" i="14" s="1"/>
  <c r="AC36" i="14"/>
  <c r="AD36" i="14" s="1"/>
  <c r="AC37" i="14"/>
  <c r="AD37" i="14" s="1"/>
  <c r="AC38" i="14"/>
  <c r="AD38" i="14" s="1"/>
  <c r="AC39" i="14"/>
  <c r="AD39" i="14" s="1"/>
  <c r="AC40" i="14"/>
  <c r="AD40" i="14" s="1"/>
  <c r="AC41" i="14"/>
  <c r="AD41" i="14" s="1"/>
  <c r="AC42" i="14"/>
  <c r="AD42" i="14" s="1"/>
  <c r="AC43" i="14"/>
  <c r="AD43" i="14" s="1"/>
  <c r="AC44" i="14"/>
  <c r="AD44" i="14" s="1"/>
  <c r="AC45" i="14"/>
  <c r="AD45" i="14" s="1"/>
  <c r="AC46" i="14"/>
  <c r="AD46" i="14" s="1"/>
  <c r="AC47" i="14"/>
  <c r="AD47" i="14" s="1"/>
  <c r="AC48" i="14"/>
  <c r="AD48" i="14" s="1"/>
  <c r="AC49" i="14"/>
  <c r="AD49" i="14" s="1"/>
  <c r="AC50" i="14"/>
  <c r="AD50" i="14" s="1"/>
  <c r="AC51" i="14"/>
  <c r="AD51" i="14" s="1"/>
  <c r="AC52" i="14"/>
  <c r="AD52" i="14" s="1"/>
  <c r="AC54" i="14"/>
  <c r="AD54" i="14" s="1"/>
  <c r="AC55" i="14"/>
  <c r="AD55" i="14" s="1"/>
  <c r="AC60" i="14"/>
  <c r="AD60" i="14" s="1"/>
  <c r="AC61" i="14"/>
  <c r="AD61" i="14" s="1"/>
  <c r="AC64" i="14"/>
  <c r="AD64" i="14" s="1"/>
  <c r="AC65" i="14"/>
  <c r="AD65" i="14" s="1"/>
  <c r="AC66" i="14"/>
  <c r="AD66" i="14" s="1"/>
  <c r="AC67" i="14"/>
  <c r="AD67" i="14" s="1"/>
  <c r="AC68" i="14"/>
  <c r="AD68" i="14" s="1"/>
  <c r="AC69" i="14"/>
  <c r="AD69" i="14" s="1"/>
  <c r="AC71" i="14"/>
  <c r="AD71" i="14" s="1"/>
  <c r="AC73" i="14"/>
  <c r="AD73" i="14" s="1"/>
  <c r="AC79" i="14"/>
  <c r="AD79" i="14" s="1"/>
  <c r="AC81" i="14"/>
  <c r="AD81" i="14" s="1"/>
  <c r="AC83" i="14"/>
  <c r="AD83" i="14" s="1"/>
  <c r="AC86" i="14"/>
  <c r="AD86" i="14" s="1"/>
  <c r="AC87" i="14"/>
  <c r="AD87" i="14" s="1"/>
  <c r="AC88" i="14"/>
  <c r="AD88" i="14" s="1"/>
  <c r="AC108" i="14"/>
  <c r="AD108" i="14" s="1"/>
  <c r="AC109" i="14"/>
  <c r="AD109" i="14" s="1"/>
  <c r="AC111" i="14"/>
  <c r="AD111" i="14" s="1"/>
  <c r="AC113" i="14"/>
  <c r="AD113" i="14" s="1"/>
  <c r="AC114" i="14"/>
  <c r="AD114" i="14" s="1"/>
  <c r="AC115" i="14"/>
  <c r="AD115" i="14" s="1"/>
  <c r="AC117" i="14"/>
  <c r="AD117" i="14" s="1"/>
  <c r="AC118" i="14"/>
  <c r="AD118" i="14" s="1"/>
  <c r="AC120" i="14"/>
  <c r="AD120" i="14" s="1"/>
  <c r="AC121" i="14"/>
  <c r="AD121" i="14" s="1"/>
  <c r="AC122" i="14"/>
  <c r="AD122" i="14" s="1"/>
  <c r="AC123" i="14"/>
  <c r="AD123" i="14" s="1"/>
  <c r="AC125" i="14"/>
  <c r="AD125" i="14" s="1"/>
  <c r="AC127" i="14"/>
  <c r="AD127" i="14" s="1"/>
  <c r="AC128" i="14"/>
  <c r="AD128" i="14" s="1"/>
  <c r="AC129" i="14"/>
  <c r="AD129" i="14" s="1"/>
  <c r="AC130" i="14"/>
  <c r="AD130" i="14" s="1"/>
  <c r="AC132" i="14"/>
  <c r="AD132" i="14" s="1"/>
  <c r="AC133" i="14"/>
  <c r="AD133" i="14" s="1"/>
  <c r="AC136" i="14"/>
  <c r="AD136" i="14" s="1"/>
  <c r="AC137" i="14"/>
  <c r="AD137" i="14" s="1"/>
  <c r="AC138" i="14"/>
  <c r="AD138" i="14" s="1"/>
  <c r="AC140" i="14"/>
  <c r="AD140" i="14" s="1"/>
  <c r="AC143" i="14"/>
  <c r="AD143" i="14" s="1"/>
  <c r="AC144" i="14"/>
  <c r="AD144" i="14" s="1"/>
  <c r="AC146" i="14"/>
  <c r="AD146" i="14" s="1"/>
  <c r="AC147" i="14"/>
  <c r="AD147" i="14" s="1"/>
  <c r="AC149" i="14"/>
  <c r="AD149" i="14" s="1"/>
  <c r="AC151" i="14"/>
  <c r="AD151" i="14" s="1"/>
  <c r="AC152" i="14"/>
  <c r="AD152" i="14" s="1"/>
  <c r="AC153" i="14"/>
  <c r="AD153" i="14" s="1"/>
  <c r="AC155" i="14"/>
  <c r="AD155" i="14" s="1"/>
  <c r="AC156" i="14"/>
  <c r="AD156" i="14" s="1"/>
  <c r="AC157" i="14"/>
  <c r="AD157" i="14" s="1"/>
  <c r="AC160" i="14"/>
  <c r="AD160" i="14" s="1"/>
  <c r="AC161" i="14"/>
  <c r="AD161" i="14" s="1"/>
  <c r="AC162" i="14"/>
  <c r="AD162" i="14" s="1"/>
  <c r="AC167" i="14"/>
  <c r="AD167" i="14" s="1"/>
  <c r="AC172" i="14"/>
  <c r="AD172" i="14" s="1"/>
  <c r="AC204" i="14"/>
  <c r="AD204" i="14" s="1"/>
  <c r="AC205" i="14"/>
  <c r="AD205" i="14" s="1"/>
  <c r="AC206" i="14"/>
  <c r="AD206" i="14" s="1"/>
  <c r="AC207" i="14"/>
  <c r="AD207" i="14" s="1"/>
  <c r="AC208" i="14"/>
  <c r="AD208" i="14" s="1"/>
  <c r="AC53" i="14"/>
  <c r="AD53" i="14" s="1"/>
  <c r="AC56" i="14"/>
  <c r="AD56" i="14" s="1"/>
  <c r="AC57" i="14"/>
  <c r="AD57" i="14" s="1"/>
  <c r="AC58" i="14"/>
  <c r="AD58" i="14" s="1"/>
  <c r="AC59" i="14"/>
  <c r="AD59" i="14" s="1"/>
  <c r="AC62" i="14"/>
  <c r="AD62" i="14" s="1"/>
  <c r="AC63" i="14"/>
  <c r="AD63" i="14" s="1"/>
  <c r="AC70" i="14"/>
  <c r="AD70" i="14" s="1"/>
  <c r="AC72" i="14"/>
  <c r="AD72" i="14" s="1"/>
  <c r="AC74" i="14"/>
  <c r="AD74" i="14" s="1"/>
  <c r="AC75" i="14"/>
  <c r="AD75" i="14" s="1"/>
  <c r="AC76" i="14"/>
  <c r="AD76" i="14" s="1"/>
  <c r="AC77" i="14"/>
  <c r="AD77" i="14" s="1"/>
  <c r="AC78" i="14"/>
  <c r="AD78" i="14" s="1"/>
  <c r="AC80" i="14"/>
  <c r="AD80" i="14" s="1"/>
  <c r="AC82" i="14"/>
  <c r="AD82" i="14" s="1"/>
  <c r="AC84" i="14"/>
  <c r="AD84" i="14" s="1"/>
  <c r="AC85" i="14"/>
  <c r="AD85" i="14" s="1"/>
  <c r="AC89" i="14"/>
  <c r="AD89" i="14" s="1"/>
  <c r="AC90" i="14"/>
  <c r="AD90" i="14" s="1"/>
  <c r="AC91" i="14"/>
  <c r="AD91" i="14" s="1"/>
  <c r="AC92" i="14"/>
  <c r="AD92" i="14" s="1"/>
  <c r="AC93" i="14"/>
  <c r="AD93" i="14" s="1"/>
  <c r="AC94" i="14"/>
  <c r="AD94" i="14" s="1"/>
  <c r="AC95" i="14"/>
  <c r="AD95" i="14" s="1"/>
  <c r="AC96" i="14"/>
  <c r="AD96" i="14" s="1"/>
  <c r="AC97" i="14"/>
  <c r="AD97" i="14" s="1"/>
  <c r="AC98" i="14"/>
  <c r="AD98" i="14" s="1"/>
  <c r="AC99" i="14"/>
  <c r="AD99" i="14" s="1"/>
  <c r="AC100" i="14"/>
  <c r="AD100" i="14" s="1"/>
  <c r="AC101" i="14"/>
  <c r="AD101" i="14" s="1"/>
  <c r="AC102" i="14"/>
  <c r="AD102" i="14" s="1"/>
  <c r="AC103" i="14"/>
  <c r="AD103" i="14" s="1"/>
  <c r="AC104" i="14"/>
  <c r="AD104" i="14" s="1"/>
  <c r="AC105" i="14"/>
  <c r="AD105" i="14" s="1"/>
  <c r="AC106" i="14"/>
  <c r="AD106" i="14" s="1"/>
  <c r="AC107" i="14"/>
  <c r="AD107" i="14" s="1"/>
  <c r="AC110" i="14"/>
  <c r="AD110" i="14" s="1"/>
  <c r="AC112" i="14"/>
  <c r="AD112" i="14" s="1"/>
  <c r="AC116" i="14"/>
  <c r="AD116" i="14" s="1"/>
  <c r="AC119" i="14"/>
  <c r="AD119" i="14" s="1"/>
  <c r="AC124" i="14"/>
  <c r="AD124" i="14" s="1"/>
  <c r="AC126" i="14"/>
  <c r="AD126" i="14" s="1"/>
  <c r="AC131" i="14"/>
  <c r="AD131" i="14" s="1"/>
  <c r="AC134" i="14"/>
  <c r="AD134" i="14" s="1"/>
  <c r="AC135" i="14"/>
  <c r="AD135" i="14" s="1"/>
  <c r="AC139" i="14"/>
  <c r="AD139" i="14" s="1"/>
  <c r="AC141" i="14"/>
  <c r="AD141" i="14" s="1"/>
  <c r="AC142" i="14"/>
  <c r="AD142" i="14" s="1"/>
  <c r="AC145" i="14"/>
  <c r="AD145" i="14" s="1"/>
  <c r="AC148" i="14"/>
  <c r="AD148" i="14" s="1"/>
  <c r="AC150" i="14"/>
  <c r="AD150" i="14" s="1"/>
  <c r="AC154" i="14"/>
  <c r="AD154" i="14" s="1"/>
  <c r="AC158" i="14"/>
  <c r="AD158" i="14" s="1"/>
  <c r="AC159" i="14"/>
  <c r="AD159" i="14" s="1"/>
  <c r="AC163" i="14"/>
  <c r="AD163" i="14" s="1"/>
  <c r="AC164" i="14"/>
  <c r="AD164" i="14" s="1"/>
  <c r="AC165" i="14"/>
  <c r="AD165" i="14" s="1"/>
  <c r="AC166" i="14"/>
  <c r="AD166" i="14" s="1"/>
  <c r="AC168" i="14"/>
  <c r="AD168" i="14" s="1"/>
  <c r="AC169" i="14"/>
  <c r="AD169" i="14" s="1"/>
  <c r="AC170" i="14"/>
  <c r="AD170" i="14" s="1"/>
  <c r="AC171" i="14"/>
  <c r="AD171" i="14" s="1"/>
  <c r="AC173" i="14"/>
  <c r="AD173" i="14" s="1"/>
  <c r="AC174" i="14"/>
  <c r="AD174" i="14" s="1"/>
  <c r="AC175" i="14"/>
  <c r="AD175" i="14" s="1"/>
  <c r="AC176" i="14"/>
  <c r="AD176" i="14" s="1"/>
  <c r="AC177" i="14"/>
  <c r="AD177" i="14" s="1"/>
  <c r="AC178" i="14"/>
  <c r="AD178" i="14" s="1"/>
  <c r="AC179" i="14"/>
  <c r="AD179" i="14" s="1"/>
  <c r="AC180" i="14"/>
  <c r="AD180" i="14" s="1"/>
  <c r="AC181" i="14"/>
  <c r="AD181" i="14" s="1"/>
  <c r="AC182" i="14"/>
  <c r="AD182" i="14" s="1"/>
  <c r="AC183" i="14"/>
  <c r="AD183" i="14" s="1"/>
  <c r="AC184" i="14"/>
  <c r="AD184" i="14" s="1"/>
  <c r="AC185" i="14"/>
  <c r="AD185" i="14" s="1"/>
  <c r="AC186" i="14"/>
  <c r="AD186" i="14" s="1"/>
  <c r="AC187" i="14"/>
  <c r="AD187" i="14" s="1"/>
  <c r="AC188" i="14"/>
  <c r="AD188" i="14" s="1"/>
  <c r="AC189" i="14"/>
  <c r="AD189" i="14" s="1"/>
  <c r="AC190" i="14"/>
  <c r="AD190" i="14" s="1"/>
  <c r="AC191" i="14"/>
  <c r="AD191" i="14" s="1"/>
  <c r="AC192" i="14"/>
  <c r="AD192" i="14" s="1"/>
  <c r="AC193" i="14"/>
  <c r="AD193" i="14" s="1"/>
  <c r="AC194" i="14"/>
  <c r="AD194" i="14" s="1"/>
  <c r="AC195" i="14"/>
  <c r="AD195" i="14" s="1"/>
  <c r="AC196" i="14"/>
  <c r="AD196" i="14" s="1"/>
  <c r="AC197" i="14"/>
  <c r="AD197" i="14" s="1"/>
  <c r="AC198" i="14"/>
  <c r="AD198" i="14" s="1"/>
  <c r="AC199" i="14"/>
  <c r="AD199" i="14" s="1"/>
  <c r="AC200" i="14"/>
  <c r="AD200" i="14" s="1"/>
  <c r="AC201" i="14"/>
  <c r="AD201" i="14" s="1"/>
  <c r="AC202" i="14"/>
  <c r="AD202" i="14" s="1"/>
  <c r="AC203" i="14"/>
  <c r="AD203" i="14" s="1"/>
  <c r="AC209" i="14"/>
  <c r="AD209" i="14" s="1"/>
  <c r="AC210" i="14"/>
  <c r="AD210" i="14" s="1"/>
  <c r="AC211" i="14"/>
  <c r="AC212" i="14"/>
  <c r="AD212" i="14" s="1"/>
  <c r="AC213" i="14"/>
  <c r="AD213" i="14" s="1"/>
  <c r="AC214" i="14"/>
  <c r="AD214" i="14" s="1"/>
  <c r="AC215" i="14"/>
  <c r="AD215" i="14" s="1"/>
  <c r="AC216" i="14"/>
  <c r="AD216" i="14" s="1"/>
  <c r="AC217" i="14"/>
  <c r="AD217" i="14" s="1"/>
  <c r="AC218" i="14"/>
  <c r="AD218" i="14" s="1"/>
  <c r="AC219" i="14"/>
  <c r="AD219" i="14" s="1"/>
  <c r="AC220" i="14"/>
  <c r="AD220" i="14" s="1"/>
  <c r="AC221" i="14"/>
  <c r="AD221" i="14" s="1"/>
  <c r="AC222" i="14"/>
  <c r="AD222" i="14" s="1"/>
  <c r="AC223" i="14"/>
  <c r="AD223" i="14" s="1"/>
  <c r="AC224" i="14"/>
  <c r="AD224" i="14" s="1"/>
  <c r="AC225" i="14"/>
  <c r="AD225" i="14" s="1"/>
  <c r="AC226" i="14"/>
  <c r="AD226" i="14" s="1"/>
  <c r="AC227" i="14"/>
  <c r="AD227" i="14" s="1"/>
  <c r="AC228" i="14"/>
  <c r="AD228" i="14" s="1"/>
  <c r="AC229" i="14"/>
  <c r="AD229" i="14" s="1"/>
  <c r="AC230" i="14"/>
  <c r="AD230" i="14" s="1"/>
  <c r="AC231" i="14"/>
  <c r="AD231" i="14" s="1"/>
  <c r="AC232" i="14"/>
  <c r="AD232" i="14" s="1"/>
  <c r="AC233" i="14"/>
  <c r="AD233" i="14" s="1"/>
  <c r="AC234" i="14"/>
  <c r="AD234" i="14" s="1"/>
  <c r="AC235" i="14"/>
  <c r="AD235" i="14" s="1"/>
  <c r="AC236" i="14"/>
  <c r="AD236" i="14" s="1"/>
  <c r="AC237" i="14"/>
  <c r="AD237" i="14" s="1"/>
  <c r="AC238" i="14"/>
  <c r="AD238" i="14" s="1"/>
  <c r="AC239" i="14"/>
  <c r="AD239" i="14" s="1"/>
  <c r="AC240" i="14"/>
  <c r="AD240" i="14" s="1"/>
  <c r="AC241" i="14"/>
  <c r="AD241" i="14" s="1"/>
  <c r="AC242" i="14"/>
  <c r="AD242" i="14" s="1"/>
  <c r="AC243" i="14"/>
  <c r="AD243" i="14" s="1"/>
  <c r="AC244" i="14"/>
  <c r="AD244" i="14" s="1"/>
  <c r="AC245" i="14"/>
  <c r="AD245" i="14" s="1"/>
  <c r="AC246" i="14"/>
  <c r="AD246" i="14" s="1"/>
  <c r="AC247" i="14"/>
  <c r="AD247" i="14" s="1"/>
  <c r="AC248" i="14"/>
  <c r="AD248" i="14" s="1"/>
  <c r="AC249" i="14"/>
  <c r="AD249" i="14" s="1"/>
  <c r="AC250" i="14"/>
  <c r="AD250" i="14" s="1"/>
  <c r="AC251" i="14"/>
  <c r="AD251" i="14" s="1"/>
  <c r="AC252" i="14"/>
  <c r="AD252" i="14" s="1"/>
  <c r="AC253" i="14"/>
  <c r="AD253" i="14" s="1"/>
  <c r="AC254" i="14"/>
  <c r="AD254" i="14" s="1"/>
  <c r="AC255" i="14"/>
  <c r="AD255" i="14" s="1"/>
  <c r="AC256" i="14"/>
  <c r="AD256" i="14" s="1"/>
  <c r="AC257" i="14"/>
  <c r="AD257" i="14" s="1"/>
  <c r="AC258" i="14"/>
  <c r="AD258" i="14" s="1"/>
  <c r="AC259" i="14"/>
  <c r="AD259" i="14" s="1"/>
  <c r="AC260" i="14"/>
  <c r="AD260" i="14" s="1"/>
  <c r="AC261" i="14"/>
  <c r="AD261" i="14" s="1"/>
  <c r="AC262" i="14"/>
  <c r="AD262" i="14" s="1"/>
  <c r="AC263" i="14"/>
  <c r="AD263" i="14" s="1"/>
  <c r="AC264" i="14"/>
  <c r="AD264" i="14" s="1"/>
  <c r="AC265" i="14"/>
  <c r="AD265" i="14" s="1"/>
  <c r="AC266" i="14"/>
  <c r="AD266" i="14" s="1"/>
  <c r="AC267" i="14"/>
  <c r="AD267" i="14" s="1"/>
  <c r="AC268" i="14"/>
  <c r="AD268" i="14" s="1"/>
  <c r="AC269" i="14"/>
  <c r="AD269" i="14" s="1"/>
  <c r="AC270" i="14"/>
  <c r="AD270" i="14" s="1"/>
  <c r="AC271" i="14"/>
  <c r="AD271" i="14" s="1"/>
  <c r="AC272" i="14"/>
  <c r="AD272" i="14" s="1"/>
  <c r="AC273" i="14"/>
  <c r="AD273" i="14" s="1"/>
  <c r="AC274" i="14"/>
  <c r="AD274" i="14" s="1"/>
  <c r="AC275" i="14"/>
  <c r="AD275" i="14" s="1"/>
  <c r="AC276" i="14"/>
  <c r="AD276" i="14" s="1"/>
  <c r="AC277" i="14"/>
  <c r="AD277" i="14" s="1"/>
  <c r="AC278" i="14"/>
  <c r="AD278" i="14" s="1"/>
  <c r="AC279" i="14"/>
  <c r="AD279" i="14" s="1"/>
  <c r="AC280" i="14"/>
  <c r="AD280" i="14" s="1"/>
  <c r="AC281" i="14"/>
  <c r="AD281" i="14" s="1"/>
  <c r="AC282" i="14"/>
  <c r="AD282" i="14" s="1"/>
  <c r="AC283" i="14"/>
  <c r="AD283" i="14" s="1"/>
  <c r="AC284" i="14"/>
  <c r="AD284" i="14" s="1"/>
  <c r="AC285" i="14"/>
  <c r="AD285" i="14" s="1"/>
  <c r="AC286" i="14"/>
  <c r="AD286" i="14" s="1"/>
  <c r="AC287" i="14"/>
  <c r="AD287" i="14" s="1"/>
  <c r="AC288" i="14"/>
  <c r="AD288" i="14" s="1"/>
  <c r="AC289" i="14"/>
  <c r="AD289" i="14" s="1"/>
  <c r="AC290" i="14"/>
  <c r="AD290" i="14" s="1"/>
  <c r="AC291" i="14"/>
  <c r="AD291" i="14" s="1"/>
  <c r="AC292" i="14"/>
  <c r="AD292" i="14" s="1"/>
  <c r="AC293" i="14"/>
  <c r="AD293" i="14" s="1"/>
  <c r="AC294" i="14"/>
  <c r="AD294" i="14" s="1"/>
  <c r="AC295" i="14"/>
  <c r="AD295" i="14" s="1"/>
  <c r="AC296" i="14"/>
  <c r="AD296" i="14" s="1"/>
  <c r="AC297" i="14"/>
  <c r="AD297" i="14" s="1"/>
  <c r="AC298" i="14"/>
  <c r="AD298" i="14" s="1"/>
  <c r="AC299" i="14"/>
  <c r="AD299" i="14" s="1"/>
  <c r="AC300" i="14"/>
  <c r="AD300" i="14" s="1"/>
  <c r="AC301" i="14"/>
  <c r="AD301" i="14" s="1"/>
  <c r="AC302" i="14"/>
  <c r="AD302" i="14" s="1"/>
  <c r="AC303" i="14"/>
  <c r="AD303" i="14" s="1"/>
  <c r="AC304" i="14"/>
  <c r="AD304" i="14" s="1"/>
  <c r="AC305" i="14"/>
  <c r="AD305" i="14" s="1"/>
  <c r="AC306" i="14"/>
  <c r="AD306" i="14" s="1"/>
  <c r="AC307" i="14"/>
  <c r="AD307" i="14" s="1"/>
  <c r="AC308" i="14"/>
  <c r="AD308" i="14" s="1"/>
  <c r="AC309" i="14"/>
  <c r="AD309" i="14" s="1"/>
  <c r="AC310" i="14"/>
  <c r="AD310" i="14" s="1"/>
  <c r="AC311" i="14"/>
  <c r="AD311" i="14" s="1"/>
  <c r="AC312" i="14"/>
  <c r="AD312" i="14" s="1"/>
  <c r="AC313" i="14"/>
  <c r="AD313" i="14" s="1"/>
  <c r="AC314" i="14"/>
  <c r="AD314" i="14" s="1"/>
  <c r="AC315" i="14"/>
  <c r="AD315" i="14" s="1"/>
  <c r="AC316" i="14"/>
  <c r="AD316" i="14" s="1"/>
  <c r="AC317" i="14"/>
  <c r="AD317" i="14" s="1"/>
  <c r="AC318" i="14"/>
  <c r="AD318" i="14" s="1"/>
  <c r="AC319" i="14"/>
  <c r="AD319" i="14" s="1"/>
  <c r="AC320" i="14"/>
  <c r="AD320" i="14" s="1"/>
  <c r="AC321" i="14"/>
  <c r="AD321" i="14" s="1"/>
  <c r="AC322" i="14"/>
  <c r="AD322" i="14" s="1"/>
  <c r="AC323" i="14"/>
  <c r="AD323" i="14" s="1"/>
  <c r="AC324" i="14"/>
  <c r="AD324" i="14" s="1"/>
  <c r="AC326" i="14"/>
  <c r="AD326" i="14" s="1"/>
  <c r="AC327" i="14"/>
  <c r="AD327" i="14" s="1"/>
  <c r="AC328" i="14"/>
  <c r="AD328" i="14" s="1"/>
  <c r="AC329" i="14"/>
  <c r="AD329" i="14" s="1"/>
  <c r="AC330" i="14"/>
  <c r="AD330" i="14" s="1"/>
  <c r="AC331" i="14"/>
  <c r="AD331" i="14" s="1"/>
  <c r="AC332" i="14"/>
  <c r="AD332" i="14" s="1"/>
  <c r="AC333" i="14"/>
  <c r="AD333" i="14" s="1"/>
  <c r="AC334" i="14"/>
  <c r="AD334" i="14" s="1"/>
  <c r="AC335" i="14"/>
  <c r="AD335" i="14" s="1"/>
  <c r="AC336" i="14"/>
  <c r="AD336" i="14" s="1"/>
  <c r="AC337" i="14"/>
  <c r="AD337" i="14" s="1"/>
  <c r="AC338" i="14"/>
  <c r="AD338" i="14" s="1"/>
  <c r="AC339" i="14"/>
  <c r="AD339" i="14" s="1"/>
  <c r="AC340" i="14"/>
  <c r="AD340" i="14" s="1"/>
  <c r="AC341" i="14"/>
  <c r="AD341" i="14" s="1"/>
  <c r="AC342" i="14"/>
  <c r="AD342" i="14" s="1"/>
  <c r="AC343" i="14"/>
  <c r="AD343" i="14" s="1"/>
  <c r="AC344" i="14"/>
  <c r="AD344" i="14" s="1"/>
  <c r="AC345" i="14"/>
  <c r="AD345" i="14" s="1"/>
  <c r="AC346" i="14"/>
  <c r="AD346" i="14" s="1"/>
  <c r="AC347" i="14"/>
  <c r="AD347" i="14" s="1"/>
  <c r="AC348" i="14"/>
  <c r="AD348" i="14" s="1"/>
  <c r="AC349" i="14"/>
  <c r="AD349" i="14" s="1"/>
  <c r="AC350" i="14"/>
  <c r="AD350" i="14" s="1"/>
  <c r="AC351" i="14"/>
  <c r="AD351" i="14" s="1"/>
  <c r="AC352" i="14"/>
  <c r="AD352" i="14" s="1"/>
  <c r="AC353" i="14"/>
  <c r="AD353" i="14" s="1"/>
  <c r="AC354" i="14"/>
  <c r="AD354" i="14" s="1"/>
  <c r="AC355" i="14"/>
  <c r="AD355" i="14" s="1"/>
  <c r="AC356" i="14"/>
  <c r="AD356" i="14" s="1"/>
  <c r="AC357" i="14"/>
  <c r="AD357" i="14" s="1"/>
  <c r="AC358" i="14"/>
  <c r="AD358" i="14" s="1"/>
  <c r="AC359" i="14"/>
  <c r="AD359" i="14" s="1"/>
  <c r="AC360" i="14"/>
  <c r="AD360" i="14" s="1"/>
  <c r="AC361" i="14"/>
  <c r="AD361" i="14" s="1"/>
  <c r="AC362" i="14"/>
  <c r="AD362" i="14" s="1"/>
  <c r="AC363" i="14"/>
  <c r="AD363" i="14" s="1"/>
  <c r="AC325" i="14"/>
  <c r="AD325" i="14" s="1"/>
  <c r="AC308" i="10"/>
  <c r="AC310" i="10"/>
  <c r="AC313" i="10"/>
  <c r="AC316" i="10"/>
  <c r="AC317" i="10"/>
  <c r="AC320" i="10"/>
  <c r="AC322" i="10"/>
  <c r="AC335" i="10"/>
  <c r="AC341" i="10"/>
  <c r="AC345" i="10"/>
  <c r="AC346" i="10"/>
  <c r="AC347" i="10"/>
  <c r="AC366" i="10"/>
  <c r="AC368" i="10"/>
  <c r="AC372" i="10"/>
  <c r="AC373" i="10"/>
  <c r="AC374" i="10"/>
  <c r="AC378" i="10"/>
  <c r="AC379" i="10"/>
  <c r="AC383" i="10"/>
  <c r="AC384" i="10"/>
  <c r="AC388" i="10"/>
  <c r="AC390" i="10"/>
  <c r="AC391" i="10"/>
  <c r="AC395" i="10"/>
  <c r="AC396" i="10"/>
  <c r="AC397" i="10"/>
  <c r="AC398" i="10"/>
  <c r="AC400" i="10"/>
  <c r="AC303" i="10"/>
  <c r="AC311" i="10"/>
  <c r="AC329" i="10"/>
  <c r="AC330" i="10"/>
  <c r="AC336" i="10"/>
  <c r="AC348" i="10"/>
  <c r="AC349" i="10"/>
  <c r="AC352" i="10"/>
  <c r="AC353" i="10"/>
  <c r="AC354" i="10"/>
  <c r="AC355" i="10"/>
  <c r="AC364" i="10"/>
  <c r="AC367" i="10"/>
  <c r="AC371"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D69" i="10" s="1"/>
  <c r="AC70" i="10"/>
  <c r="AD70" i="10" s="1"/>
  <c r="AC71" i="10"/>
  <c r="AD71" i="10" s="1"/>
  <c r="AC72" i="10"/>
  <c r="AD72" i="10" s="1"/>
  <c r="AC73" i="10"/>
  <c r="AD73" i="10" s="1"/>
  <c r="AC74" i="10"/>
  <c r="AD74" i="10" s="1"/>
  <c r="AC75" i="10"/>
  <c r="AD75" i="10" s="1"/>
  <c r="AC76" i="10"/>
  <c r="AD76" i="10" s="1"/>
  <c r="AC77" i="10"/>
  <c r="AD77" i="10" s="1"/>
  <c r="AC78" i="10"/>
  <c r="AD78" i="10" s="1"/>
  <c r="AC79" i="10"/>
  <c r="AD79" i="10" s="1"/>
  <c r="AC80" i="10"/>
  <c r="AD80" i="10" s="1"/>
  <c r="AC81" i="10"/>
  <c r="AD81" i="10" s="1"/>
  <c r="AC82" i="10"/>
  <c r="AD82" i="10" s="1"/>
  <c r="AC83" i="10"/>
  <c r="AD83" i="10" s="1"/>
  <c r="AC84" i="10"/>
  <c r="AD84" i="10" s="1"/>
  <c r="AC85" i="10"/>
  <c r="AD85" i="10" s="1"/>
  <c r="AC86" i="10"/>
  <c r="AD86" i="10" s="1"/>
  <c r="AC87" i="10"/>
  <c r="AD87" i="10" s="1"/>
  <c r="AC88" i="10"/>
  <c r="AD88" i="10" s="1"/>
  <c r="AC89" i="10"/>
  <c r="AD89" i="10" s="1"/>
  <c r="AC90" i="10"/>
  <c r="AD90" i="10" s="1"/>
  <c r="AC91" i="10"/>
  <c r="AD91" i="10" s="1"/>
  <c r="AC92" i="10"/>
  <c r="AD92" i="10" s="1"/>
  <c r="AC93" i="10"/>
  <c r="AD93" i="10" s="1"/>
  <c r="AC94" i="10"/>
  <c r="AD94" i="10" s="1"/>
  <c r="AC95" i="10"/>
  <c r="AD95" i="10" s="1"/>
  <c r="AC96" i="10"/>
  <c r="AD96" i="10" s="1"/>
  <c r="AC97" i="10"/>
  <c r="AD97" i="10" s="1"/>
  <c r="AC98" i="10"/>
  <c r="AD98" i="10" s="1"/>
  <c r="AC99" i="10"/>
  <c r="AD99" i="10" s="1"/>
  <c r="AC100" i="10"/>
  <c r="AD100" i="10" s="1"/>
  <c r="AC101" i="10"/>
  <c r="AD101" i="10" s="1"/>
  <c r="AC102" i="10"/>
  <c r="AD102" i="10" s="1"/>
  <c r="AC103" i="10"/>
  <c r="AD103" i="10" s="1"/>
  <c r="AC104" i="10"/>
  <c r="AD104" i="10" s="1"/>
  <c r="AC105" i="10"/>
  <c r="AD105" i="10" s="1"/>
  <c r="AC106" i="10"/>
  <c r="AD106" i="10" s="1"/>
  <c r="AC107" i="10"/>
  <c r="AD107" i="10" s="1"/>
  <c r="AC108" i="10"/>
  <c r="AD108" i="10" s="1"/>
  <c r="AC109" i="10"/>
  <c r="AD109" i="10" s="1"/>
  <c r="AC110" i="10"/>
  <c r="AD110" i="10" s="1"/>
  <c r="AC111" i="10"/>
  <c r="AD111" i="10" s="1"/>
  <c r="AC112" i="10"/>
  <c r="AD112" i="10" s="1"/>
  <c r="AC113" i="10"/>
  <c r="AD113" i="10" s="1"/>
  <c r="AC114" i="10"/>
  <c r="AD114" i="10" s="1"/>
  <c r="AC115" i="10"/>
  <c r="AD115" i="10" s="1"/>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9" i="10"/>
  <c r="AC150" i="10"/>
  <c r="AC151" i="10"/>
  <c r="AC152" i="10"/>
  <c r="AC153" i="10"/>
  <c r="AC154" i="10"/>
  <c r="AC155" i="10"/>
  <c r="AC156" i="10"/>
  <c r="AC157" i="10"/>
  <c r="AC158" i="10"/>
  <c r="AC159" i="10"/>
  <c r="AC160" i="10"/>
  <c r="AC161" i="10"/>
  <c r="AC162" i="10"/>
  <c r="AC163" i="10"/>
  <c r="AC164" i="10"/>
  <c r="AC165" i="10"/>
  <c r="AC166" i="10"/>
  <c r="AC167" i="10"/>
  <c r="AC168" i="10"/>
  <c r="AC169" i="10"/>
  <c r="AC170" i="10"/>
  <c r="AC171" i="10"/>
  <c r="AC172" i="10"/>
  <c r="AC173" i="10"/>
  <c r="AC174" i="10"/>
  <c r="AC175" i="10"/>
  <c r="AC176" i="10"/>
  <c r="AC177" i="10"/>
  <c r="AC178" i="10"/>
  <c r="AC179" i="10"/>
  <c r="AC180" i="10"/>
  <c r="AC181" i="10"/>
  <c r="AC182" i="10"/>
  <c r="AC183" i="10"/>
  <c r="AC184" i="10"/>
  <c r="AC185" i="10"/>
  <c r="AC186" i="10"/>
  <c r="AC187" i="10"/>
  <c r="AC188" i="10"/>
  <c r="AC189" i="10"/>
  <c r="AC190" i="10"/>
  <c r="AC191" i="10"/>
  <c r="AC192" i="10"/>
  <c r="AC193" i="10"/>
  <c r="AC194" i="10"/>
  <c r="AC195" i="10"/>
  <c r="AC196" i="10"/>
  <c r="AC197" i="10"/>
  <c r="AC198" i="10"/>
  <c r="AC199" i="10"/>
  <c r="AC200" i="10"/>
  <c r="AC201" i="10"/>
  <c r="AC202" i="10"/>
  <c r="AC203" i="10"/>
  <c r="AC204" i="10"/>
  <c r="AC205" i="10"/>
  <c r="AC206" i="10"/>
  <c r="AC207" i="10"/>
  <c r="AC208" i="10"/>
  <c r="AC209" i="10"/>
  <c r="AC210" i="10"/>
  <c r="AC211" i="10"/>
  <c r="AC212" i="10"/>
  <c r="AC213" i="10"/>
  <c r="AC214" i="10"/>
  <c r="AC215" i="10"/>
  <c r="AC216" i="10"/>
  <c r="AC217" i="10"/>
  <c r="AC218" i="10"/>
  <c r="AC219" i="10"/>
  <c r="AC220" i="10"/>
  <c r="AC221" i="10"/>
  <c r="AC222" i="10"/>
  <c r="AC223" i="10"/>
  <c r="AC224" i="10"/>
  <c r="AC225" i="10"/>
  <c r="AC226" i="10"/>
  <c r="AC227" i="10"/>
  <c r="AC228" i="10"/>
  <c r="AC229" i="10"/>
  <c r="AC230" i="10"/>
  <c r="AC231" i="10"/>
  <c r="AC232" i="10"/>
  <c r="AC233" i="10"/>
  <c r="AC234" i="10"/>
  <c r="AC235" i="10"/>
  <c r="AC236" i="10"/>
  <c r="AC237" i="10"/>
  <c r="AC238" i="10"/>
  <c r="AC239" i="10"/>
  <c r="AC240" i="10"/>
  <c r="AC241" i="10"/>
  <c r="AC242" i="10"/>
  <c r="AC243" i="10"/>
  <c r="AC244" i="10"/>
  <c r="AC245" i="10"/>
  <c r="AC246" i="10"/>
  <c r="AC247" i="10"/>
  <c r="AC248" i="10"/>
  <c r="AC249" i="10"/>
  <c r="AC250" i="10"/>
  <c r="AC251" i="10"/>
  <c r="AC252" i="10"/>
  <c r="AC253" i="10"/>
  <c r="AC254" i="10"/>
  <c r="AC255" i="10"/>
  <c r="AC256" i="10"/>
  <c r="AC257" i="10"/>
  <c r="AC258" i="10"/>
  <c r="AC259" i="10"/>
  <c r="AC260" i="10"/>
  <c r="AC261" i="10"/>
  <c r="AC262" i="10"/>
  <c r="AC263" i="10"/>
  <c r="AC264" i="10"/>
  <c r="AC265" i="10"/>
  <c r="AC266" i="10"/>
  <c r="AC267" i="10"/>
  <c r="AC268" i="10"/>
  <c r="AC269" i="10"/>
  <c r="AC270" i="10"/>
  <c r="AC271" i="10"/>
  <c r="AC272" i="10"/>
  <c r="AC273" i="10"/>
  <c r="AC274" i="10"/>
  <c r="AC275" i="10"/>
  <c r="AC276" i="10"/>
  <c r="AC277" i="10"/>
  <c r="AC278" i="10"/>
  <c r="AC279" i="10"/>
  <c r="AC280" i="10"/>
  <c r="AC281" i="10"/>
  <c r="AC282" i="10"/>
  <c r="AC283" i="10"/>
  <c r="AC284" i="10"/>
  <c r="AC285" i="10"/>
  <c r="AC286" i="10"/>
  <c r="AC287" i="10"/>
  <c r="AC288" i="10"/>
  <c r="AC289" i="10"/>
  <c r="AC290" i="10"/>
  <c r="AC291" i="10"/>
  <c r="AC292" i="10"/>
  <c r="AC293" i="10"/>
  <c r="AC294" i="10"/>
  <c r="AC295" i="10"/>
  <c r="AC296" i="10"/>
  <c r="AC297" i="10"/>
  <c r="AC298" i="10"/>
  <c r="AC299" i="10"/>
  <c r="AC300" i="10"/>
  <c r="AC301" i="10"/>
  <c r="AC302" i="10"/>
  <c r="AC306" i="10"/>
  <c r="AC312" i="10"/>
  <c r="AC319" i="10"/>
  <c r="AC323" i="10"/>
  <c r="AC324" i="10"/>
  <c r="AC325" i="10"/>
  <c r="AC326" i="10"/>
  <c r="AC327" i="10"/>
  <c r="AC331" i="10"/>
  <c r="AC332" i="10"/>
  <c r="AC333" i="10"/>
  <c r="AC334" i="10"/>
  <c r="AC340" i="10"/>
  <c r="AC342" i="10"/>
  <c r="AC350" i="10"/>
  <c r="AC359" i="10"/>
  <c r="AC360" i="10"/>
  <c r="AC363" i="10"/>
  <c r="AC365" i="10"/>
  <c r="AC369" i="10"/>
  <c r="AC370" i="10"/>
  <c r="AC382" i="10"/>
  <c r="AC385" i="10"/>
  <c r="AC386" i="10"/>
  <c r="AC389" i="10"/>
  <c r="AC393" i="10"/>
  <c r="AC399" i="10"/>
  <c r="AC406" i="10"/>
  <c r="AC304" i="10"/>
  <c r="AC307" i="10"/>
  <c r="AC309" i="10"/>
  <c r="AC314" i="10"/>
  <c r="AC315" i="10"/>
  <c r="AC318" i="10"/>
  <c r="AC321" i="10"/>
  <c r="AC328" i="10"/>
  <c r="AC337" i="10"/>
  <c r="AC338" i="10"/>
  <c r="AC339" i="10"/>
  <c r="AC343" i="10"/>
  <c r="AC344" i="10"/>
  <c r="AC351" i="10"/>
  <c r="AC356" i="10"/>
  <c r="AC357" i="10"/>
  <c r="AC358" i="10"/>
  <c r="AC361" i="10"/>
  <c r="AC362" i="10"/>
  <c r="AC375" i="10"/>
  <c r="AC376" i="10"/>
  <c r="AC377" i="10"/>
  <c r="AC380" i="10"/>
  <c r="AC381" i="10"/>
  <c r="AC387" i="10"/>
  <c r="AC392" i="10"/>
  <c r="AC394" i="10"/>
  <c r="AC401" i="10"/>
  <c r="AC402" i="10"/>
  <c r="AC403" i="10"/>
  <c r="AC404" i="10"/>
  <c r="AC405" i="10"/>
  <c r="AC407" i="10"/>
  <c r="AC408" i="10"/>
  <c r="AC409" i="10"/>
  <c r="AC148" i="10"/>
  <c r="AC305" i="10"/>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46" i="6"/>
  <c r="AC47" i="6"/>
  <c r="AC48" i="6"/>
  <c r="AC49" i="6"/>
  <c r="AC50" i="6"/>
  <c r="AC51" i="6"/>
  <c r="AC52" i="6"/>
  <c r="AC53" i="6"/>
  <c r="AC54" i="6"/>
  <c r="AC55" i="6"/>
  <c r="AC56" i="6"/>
  <c r="AC57" i="6"/>
  <c r="AC58" i="6"/>
  <c r="AC59" i="6"/>
  <c r="AC60" i="6"/>
  <c r="AC61" i="6"/>
  <c r="AC62" i="6"/>
  <c r="AC63" i="6"/>
  <c r="AC64" i="6"/>
  <c r="AC65" i="6"/>
  <c r="AC66" i="6"/>
  <c r="AC67" i="6"/>
  <c r="AC68" i="6"/>
  <c r="AC69" i="6"/>
  <c r="AC70" i="6"/>
  <c r="AC71" i="6"/>
  <c r="AC72" i="6"/>
  <c r="AC73" i="6"/>
  <c r="AC74" i="6"/>
  <c r="AC75" i="6"/>
  <c r="AC76" i="6"/>
  <c r="AC77" i="6"/>
  <c r="AC78" i="6"/>
  <c r="AC79" i="6"/>
  <c r="AC80" i="6"/>
  <c r="AC81" i="6"/>
  <c r="AC82" i="6"/>
  <c r="AC83" i="6"/>
  <c r="AC84" i="6"/>
  <c r="AC85" i="6"/>
  <c r="AC86" i="6"/>
  <c r="AC87" i="6"/>
  <c r="AC88" i="6"/>
  <c r="AC89" i="6"/>
  <c r="AC90" i="6"/>
  <c r="AC91" i="6"/>
  <c r="AC92" i="6"/>
  <c r="AC93" i="6"/>
  <c r="AC94" i="6"/>
  <c r="AC95" i="6"/>
  <c r="AC96" i="6"/>
  <c r="AC97" i="6"/>
  <c r="AC98" i="6"/>
  <c r="AC99" i="6"/>
  <c r="AC100" i="6"/>
  <c r="AC101" i="6"/>
  <c r="AC102" i="6"/>
  <c r="AC103" i="6"/>
  <c r="AC104" i="6"/>
  <c r="AC105" i="6"/>
  <c r="AC106" i="6"/>
  <c r="AC107" i="6"/>
  <c r="AC108" i="6"/>
  <c r="AC109" i="6"/>
  <c r="AC110" i="6"/>
  <c r="AC111" i="6"/>
  <c r="AC112" i="6"/>
  <c r="AC113" i="6"/>
  <c r="AC114" i="6"/>
  <c r="AC115" i="6"/>
  <c r="AC116" i="6"/>
  <c r="AC117" i="6"/>
  <c r="AC118" i="6"/>
  <c r="AC119" i="6"/>
  <c r="AC120" i="6"/>
  <c r="AC121" i="6"/>
  <c r="AC122" i="6"/>
  <c r="AC123" i="6"/>
  <c r="AC124" i="6"/>
  <c r="AC125" i="6"/>
  <c r="AC126" i="6"/>
  <c r="AC127" i="6"/>
  <c r="AC128" i="6"/>
  <c r="AC129" i="6"/>
  <c r="AC130" i="6"/>
  <c r="AC131" i="6"/>
  <c r="AC132" i="6"/>
  <c r="AC133" i="6"/>
  <c r="AC134" i="6"/>
  <c r="AC135" i="6"/>
  <c r="AC136" i="6"/>
  <c r="AC137" i="6"/>
  <c r="AC138" i="6"/>
  <c r="AC139" i="6"/>
  <c r="AC140" i="6"/>
  <c r="AC141" i="6"/>
  <c r="AC142" i="6"/>
  <c r="AC143" i="6"/>
  <c r="AC144" i="6"/>
  <c r="AC145" i="6"/>
  <c r="AC146" i="6"/>
  <c r="AC147" i="6"/>
  <c r="AC148" i="6"/>
  <c r="AC149" i="6"/>
  <c r="AC150" i="6"/>
  <c r="AC151" i="6"/>
  <c r="AC152" i="6"/>
  <c r="AC153" i="6"/>
  <c r="AC154" i="6"/>
  <c r="AC155" i="6"/>
  <c r="AC156" i="6"/>
  <c r="AC157" i="6"/>
  <c r="AC158" i="6"/>
  <c r="AC159" i="6"/>
  <c r="AC162" i="6"/>
  <c r="AC163" i="6"/>
  <c r="AC168" i="6"/>
  <c r="AC170" i="6"/>
  <c r="AC171" i="6"/>
  <c r="AC172" i="6"/>
  <c r="AC175" i="6"/>
  <c r="AC176" i="6"/>
  <c r="AC177" i="6"/>
  <c r="AC178" i="6"/>
  <c r="AC181" i="6"/>
  <c r="AC182" i="6"/>
  <c r="AC185" i="6"/>
  <c r="AC186" i="6"/>
  <c r="AC188" i="6"/>
  <c r="AC190" i="6"/>
  <c r="AC191" i="6"/>
  <c r="AC195" i="6"/>
  <c r="AC197" i="6"/>
  <c r="AC199" i="6"/>
  <c r="AC201" i="6"/>
  <c r="AC203" i="6"/>
  <c r="AC204" i="6"/>
  <c r="AC205" i="6"/>
  <c r="AC206" i="6"/>
  <c r="AC210" i="6"/>
  <c r="AC211" i="6"/>
  <c r="AC213" i="6"/>
  <c r="AC215" i="6"/>
  <c r="AC217" i="6"/>
  <c r="AC219" i="6"/>
  <c r="AC220" i="6"/>
  <c r="AC223" i="6"/>
  <c r="AC226" i="6"/>
  <c r="AC227" i="6"/>
  <c r="AC230" i="6"/>
  <c r="AC231" i="6"/>
  <c r="AC232" i="6"/>
  <c r="AC234" i="6"/>
  <c r="AC235" i="6"/>
  <c r="AC236" i="6"/>
  <c r="AC237" i="6"/>
  <c r="AC239" i="6"/>
  <c r="AC241" i="6"/>
  <c r="AC244" i="6"/>
  <c r="AC245" i="6"/>
  <c r="AC246" i="6"/>
  <c r="AC249" i="6"/>
  <c r="AC250" i="6"/>
  <c r="AC251" i="6"/>
  <c r="AC255" i="6"/>
  <c r="AC257" i="6"/>
  <c r="AC260" i="6"/>
  <c r="AC262" i="6"/>
  <c r="AC263" i="6"/>
  <c r="AC265" i="6"/>
  <c r="AC268" i="6"/>
  <c r="AC269" i="6"/>
  <c r="AC270" i="6"/>
  <c r="AC271" i="6"/>
  <c r="AC272" i="6"/>
  <c r="AC274" i="6"/>
  <c r="AC280" i="6"/>
  <c r="AC281" i="6"/>
  <c r="AC282" i="6"/>
  <c r="AC286" i="6"/>
  <c r="AC287" i="6"/>
  <c r="AC288" i="6"/>
  <c r="AC290" i="6"/>
  <c r="AC296" i="6"/>
  <c r="AC298" i="6"/>
  <c r="AC299" i="6"/>
  <c r="AC160" i="6"/>
  <c r="AC161" i="6"/>
  <c r="AC164" i="6"/>
  <c r="AC165" i="6"/>
  <c r="AC166" i="6"/>
  <c r="AC167" i="6"/>
  <c r="AC169" i="6"/>
  <c r="AC173" i="6"/>
  <c r="AC174" i="6"/>
  <c r="AC179" i="6"/>
  <c r="AC180" i="6"/>
  <c r="AC183" i="6"/>
  <c r="AC184" i="6"/>
  <c r="AC187" i="6"/>
  <c r="AC189" i="6"/>
  <c r="AC192" i="6"/>
  <c r="AC193" i="6"/>
  <c r="AC194" i="6"/>
  <c r="AC196" i="6"/>
  <c r="AC198" i="6"/>
  <c r="AC200" i="6"/>
  <c r="AC202" i="6"/>
  <c r="AC207" i="6"/>
  <c r="AC208" i="6"/>
  <c r="AC209" i="6"/>
  <c r="AC212" i="6"/>
  <c r="AC214" i="6"/>
  <c r="AC216" i="6"/>
  <c r="AC218" i="6"/>
  <c r="AC221" i="6"/>
  <c r="AC222" i="6"/>
  <c r="AC224" i="6"/>
  <c r="AC225" i="6"/>
  <c r="AC228" i="6"/>
  <c r="AC229" i="6"/>
  <c r="AC233" i="6"/>
  <c r="AC238" i="6"/>
  <c r="AC240" i="6"/>
  <c r="AC242" i="6"/>
  <c r="AC243" i="6"/>
  <c r="AC247" i="6"/>
  <c r="AC248" i="6"/>
  <c r="AC252" i="6"/>
  <c r="AC253" i="6"/>
  <c r="AC254" i="6"/>
  <c r="AC256" i="6"/>
  <c r="AC258" i="6"/>
  <c r="AC259" i="6"/>
  <c r="AC261" i="6"/>
  <c r="AC264" i="6"/>
  <c r="AC266" i="6"/>
  <c r="AC267" i="6"/>
  <c r="AC273" i="6"/>
  <c r="AC275" i="6"/>
  <c r="AC276" i="6"/>
  <c r="AC277" i="6"/>
  <c r="AC278" i="6"/>
  <c r="AC279" i="6"/>
  <c r="AC283" i="6"/>
  <c r="AC284" i="6"/>
  <c r="AC285" i="6"/>
  <c r="AC289" i="6"/>
  <c r="AC291" i="6"/>
  <c r="AC292" i="6"/>
  <c r="AC293" i="6"/>
  <c r="AC294" i="6"/>
  <c r="AC295" i="6"/>
  <c r="AC297" i="6"/>
  <c r="AC300" i="6"/>
  <c r="AC301" i="6"/>
  <c r="AC302" i="6"/>
  <c r="AC303" i="6"/>
  <c r="AC304" i="6"/>
  <c r="AC305" i="6"/>
  <c r="AC306" i="6"/>
  <c r="AC307" i="6"/>
  <c r="AC308" i="6"/>
  <c r="AC309" i="6"/>
  <c r="AC310" i="6"/>
  <c r="AC311" i="6"/>
  <c r="AC312" i="6"/>
  <c r="AC313" i="6"/>
  <c r="AC314" i="6"/>
  <c r="AC315" i="6"/>
  <c r="AC317" i="6"/>
  <c r="AC318" i="6"/>
  <c r="AC319" i="6"/>
  <c r="AC320" i="6"/>
  <c r="AC321" i="6"/>
  <c r="AC322" i="6"/>
  <c r="AC323" i="6"/>
  <c r="AC324" i="6"/>
  <c r="AC325" i="6"/>
  <c r="AC326" i="6"/>
  <c r="AC327" i="6"/>
  <c r="AC328" i="6"/>
  <c r="AC329" i="6"/>
  <c r="AC330" i="6"/>
  <c r="AC331" i="6"/>
  <c r="AC332" i="6"/>
  <c r="AC333" i="6"/>
  <c r="AC334" i="6"/>
  <c r="AC335" i="6"/>
  <c r="AC336" i="6"/>
  <c r="AC337" i="6"/>
  <c r="AC338" i="6"/>
  <c r="AC339" i="6"/>
  <c r="AC340" i="6"/>
  <c r="AC341" i="6"/>
  <c r="AC342" i="6"/>
  <c r="AC343" i="6"/>
  <c r="AC344" i="6"/>
  <c r="AC345" i="6"/>
  <c r="AC346" i="6"/>
  <c r="AC347" i="6"/>
  <c r="AC348" i="6"/>
  <c r="AC349" i="6"/>
  <c r="AC350" i="6"/>
  <c r="AC351" i="6"/>
  <c r="AC352" i="6"/>
  <c r="AC353" i="6"/>
  <c r="AC354" i="6"/>
  <c r="AC355" i="6"/>
  <c r="AC356" i="6"/>
  <c r="AC357" i="6"/>
  <c r="AC358" i="6"/>
  <c r="AC359" i="6"/>
  <c r="AC360" i="6"/>
  <c r="AC361" i="6"/>
  <c r="AC362" i="6"/>
  <c r="AC363" i="6"/>
  <c r="AC364" i="6"/>
  <c r="AC365" i="6"/>
  <c r="AC366" i="6"/>
  <c r="AC367" i="6"/>
  <c r="AC368" i="6"/>
  <c r="AC369" i="6"/>
  <c r="AC370" i="6"/>
  <c r="AC371" i="6"/>
  <c r="AC372" i="6"/>
  <c r="AC373" i="6"/>
  <c r="AC374" i="6"/>
  <c r="AC375" i="6"/>
  <c r="AC376" i="6"/>
  <c r="AC377" i="6"/>
  <c r="AC378" i="6"/>
  <c r="AC379" i="6"/>
  <c r="AC380" i="6"/>
  <c r="AC381" i="6"/>
  <c r="AC382" i="6"/>
  <c r="AC383" i="6"/>
  <c r="AC384" i="6"/>
  <c r="AC385" i="6"/>
  <c r="AC386" i="6"/>
  <c r="AC387" i="6"/>
  <c r="AC388" i="6"/>
  <c r="AC389" i="6"/>
  <c r="AC390" i="6"/>
  <c r="AC391" i="6"/>
  <c r="AC392" i="6"/>
  <c r="AC393" i="6"/>
  <c r="AC394" i="6"/>
  <c r="AC395" i="6"/>
  <c r="AC396" i="6"/>
  <c r="AC397" i="6"/>
  <c r="AC398" i="6"/>
  <c r="AC399" i="6"/>
  <c r="AC400" i="6"/>
  <c r="AC401" i="6"/>
  <c r="AC402" i="6"/>
  <c r="AC403" i="6"/>
  <c r="AC404" i="6"/>
  <c r="AC405" i="6"/>
  <c r="AC406" i="6"/>
  <c r="AC407" i="6"/>
  <c r="AC408" i="6"/>
  <c r="AC409" i="6"/>
  <c r="AC410" i="6"/>
  <c r="AC411" i="6"/>
  <c r="AC412" i="6"/>
  <c r="AC413" i="6"/>
  <c r="AC414" i="6"/>
  <c r="AC415" i="6"/>
  <c r="AC416" i="6"/>
  <c r="AC417" i="6"/>
  <c r="AC418" i="6"/>
  <c r="AC419" i="6"/>
  <c r="AC420" i="6"/>
  <c r="AC421" i="6"/>
  <c r="AC422" i="6"/>
  <c r="AC423" i="6"/>
  <c r="AC424" i="6"/>
  <c r="AC425" i="6"/>
  <c r="AC426" i="6"/>
  <c r="AC427" i="6"/>
  <c r="AC428" i="6"/>
  <c r="AC429" i="6"/>
  <c r="AC430" i="6"/>
  <c r="AC431" i="6"/>
  <c r="AC432" i="6"/>
  <c r="AC433" i="6"/>
  <c r="AC434" i="6"/>
  <c r="AC435" i="6"/>
  <c r="AC436" i="6"/>
  <c r="AC437" i="6"/>
  <c r="AC438" i="6"/>
  <c r="AC439" i="6"/>
  <c r="AC440" i="6"/>
  <c r="AC441" i="6"/>
  <c r="AC442" i="6"/>
  <c r="AC443" i="6"/>
  <c r="AC444" i="6"/>
  <c r="AC445" i="6"/>
  <c r="AC446" i="6"/>
  <c r="AC447" i="6"/>
  <c r="AC448" i="6"/>
  <c r="AC449" i="6"/>
  <c r="AC450" i="6"/>
  <c r="AC451" i="6"/>
  <c r="AC452" i="6"/>
  <c r="AC453" i="6"/>
  <c r="AC454" i="6"/>
  <c r="AC455" i="6"/>
  <c r="AC456" i="6"/>
  <c r="AC457" i="6"/>
  <c r="AC458" i="6"/>
  <c r="AC459" i="6"/>
  <c r="AC460" i="6"/>
  <c r="AC461" i="6"/>
  <c r="AC462" i="6"/>
  <c r="AC463" i="6"/>
  <c r="AC464" i="6"/>
  <c r="AC465" i="6"/>
  <c r="AC466" i="6"/>
  <c r="AC467" i="6"/>
  <c r="AC468" i="6"/>
  <c r="AC469" i="6"/>
  <c r="AC470" i="6"/>
  <c r="AC471" i="6"/>
  <c r="AC472" i="6"/>
  <c r="AC473" i="6"/>
  <c r="AC474" i="6"/>
  <c r="AC475" i="6"/>
  <c r="AC476" i="6"/>
  <c r="AC478" i="6"/>
  <c r="AC479" i="6"/>
  <c r="AC480" i="6"/>
  <c r="AC481" i="6"/>
  <c r="AC316" i="6"/>
  <c r="AC477" i="6"/>
  <c r="AD12" i="6"/>
  <c r="AD16" i="6"/>
  <c r="AD23" i="6"/>
  <c r="AD29" i="6"/>
  <c r="AD32" i="6"/>
  <c r="AD35" i="6"/>
  <c r="AD40" i="6"/>
  <c r="AD46" i="6"/>
  <c r="AD54" i="6"/>
  <c r="AD60" i="6"/>
  <c r="AD62" i="6"/>
  <c r="AD66" i="6"/>
  <c r="AD76" i="6"/>
  <c r="AD79" i="6"/>
  <c r="AD81" i="6"/>
  <c r="AD88" i="6"/>
  <c r="AD90" i="6"/>
  <c r="AD92" i="6"/>
  <c r="AD98" i="6"/>
  <c r="AD101" i="6"/>
  <c r="AD106" i="6"/>
  <c r="AD109" i="6"/>
  <c r="AD115" i="6"/>
  <c r="AD119" i="6"/>
  <c r="AD125" i="6"/>
  <c r="AD132" i="6"/>
  <c r="AD135" i="6"/>
  <c r="AD146" i="6"/>
  <c r="AD153" i="6"/>
  <c r="AD159" i="6"/>
  <c r="AD165" i="6"/>
  <c r="AD174" i="6"/>
  <c r="AD187" i="6"/>
  <c r="AD195" i="6"/>
  <c r="AD208" i="6"/>
  <c r="AD14" i="6"/>
  <c r="AD18" i="6"/>
  <c r="AD21" i="6"/>
  <c r="AD26" i="6"/>
  <c r="AD33" i="6"/>
  <c r="AD39" i="6"/>
  <c r="AD52" i="6"/>
  <c r="AD57" i="6"/>
  <c r="AD61" i="6"/>
  <c r="AD65" i="6"/>
  <c r="AD70" i="6"/>
  <c r="AD73" i="6"/>
  <c r="AD83" i="6"/>
  <c r="AD85" i="6"/>
  <c r="AD89" i="6"/>
  <c r="AD96" i="6"/>
  <c r="AD99" i="6"/>
  <c r="AD102" i="6"/>
  <c r="AD105" i="6"/>
  <c r="AD108" i="6"/>
  <c r="AD111" i="6"/>
  <c r="AD114" i="6"/>
  <c r="AD118" i="6"/>
  <c r="AD123" i="6"/>
  <c r="AD127" i="6"/>
  <c r="AD131" i="6"/>
  <c r="AD140" i="6"/>
  <c r="AD149" i="6"/>
  <c r="AD154" i="6"/>
  <c r="AD157" i="6"/>
  <c r="AD162" i="6"/>
  <c r="AD166" i="6"/>
  <c r="AD171" i="6"/>
  <c r="AD184" i="6"/>
  <c r="AD194" i="6"/>
  <c r="AD202" i="6"/>
  <c r="AD209" i="6"/>
  <c r="AD20" i="6"/>
  <c r="AD30" i="6"/>
  <c r="AD34" i="6"/>
  <c r="AD44" i="6"/>
  <c r="AD50" i="6"/>
  <c r="AD120" i="6"/>
  <c r="AD129" i="6"/>
  <c r="AD136" i="6"/>
  <c r="AD143" i="6"/>
  <c r="AD151" i="6"/>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163" i="10"/>
  <c r="AD164" i="10"/>
  <c r="AD165" i="10"/>
  <c r="AD166" i="10"/>
  <c r="AD167" i="10"/>
  <c r="AD168" i="10"/>
  <c r="AD169" i="10"/>
  <c r="AD170" i="10"/>
  <c r="AD171" i="10"/>
  <c r="AD172" i="10"/>
  <c r="AD173" i="10"/>
  <c r="AD174" i="10"/>
  <c r="AD175" i="10"/>
  <c r="AD176" i="10"/>
  <c r="AD177" i="10"/>
  <c r="AD178" i="10"/>
  <c r="AD179" i="10"/>
  <c r="AD180" i="10"/>
  <c r="AD181" i="10"/>
  <c r="AD182" i="10"/>
  <c r="AD183" i="10"/>
  <c r="AD184" i="10"/>
  <c r="AD185" i="10"/>
  <c r="AD186" i="10"/>
  <c r="AD187" i="10"/>
  <c r="AD188" i="10"/>
  <c r="AD189" i="10"/>
  <c r="AD190" i="10"/>
  <c r="AD191" i="10"/>
  <c r="AD192" i="10"/>
  <c r="AD193" i="10"/>
  <c r="AD194" i="10"/>
  <c r="AD195" i="10"/>
  <c r="AD196" i="10"/>
  <c r="AD197" i="10"/>
  <c r="AD198" i="10"/>
  <c r="AD199" i="10"/>
  <c r="AD200" i="10"/>
  <c r="AD201" i="10"/>
  <c r="AD202" i="10"/>
  <c r="AD203" i="10"/>
  <c r="AD204" i="10"/>
  <c r="AD205" i="10"/>
  <c r="AD206" i="10"/>
  <c r="AD207" i="10"/>
  <c r="AD208" i="10"/>
  <c r="AD209" i="10"/>
  <c r="AD210" i="10"/>
  <c r="AD211" i="10"/>
  <c r="AD212" i="10"/>
  <c r="AD213" i="10"/>
  <c r="AD214" i="10"/>
  <c r="AD215" i="10"/>
  <c r="AD216" i="10"/>
  <c r="AD217" i="10"/>
  <c r="AD218" i="10"/>
  <c r="AD219" i="10"/>
  <c r="AD220" i="10"/>
  <c r="AD221" i="10"/>
  <c r="AD222" i="10"/>
  <c r="AD223" i="10"/>
  <c r="AD224" i="10"/>
  <c r="AD225" i="10"/>
  <c r="AD226" i="10"/>
  <c r="AD227" i="10"/>
  <c r="AD228" i="10"/>
  <c r="AD229" i="10"/>
  <c r="AD230" i="10"/>
  <c r="AD231" i="10"/>
  <c r="AD232" i="10"/>
  <c r="AD233" i="10"/>
  <c r="AD234" i="10"/>
  <c r="AD235" i="10"/>
  <c r="AD236" i="10"/>
  <c r="AD237" i="10"/>
  <c r="AD238" i="10"/>
  <c r="AD239" i="10"/>
  <c r="AD240" i="10"/>
  <c r="AD241" i="10"/>
  <c r="AD242" i="10"/>
  <c r="AD243" i="10"/>
  <c r="AD244" i="10"/>
  <c r="AD245" i="10"/>
  <c r="AD246" i="10"/>
  <c r="AF358" i="10" l="1"/>
  <c r="AE358" i="10"/>
  <c r="AE369" i="10"/>
  <c r="AF369" i="10"/>
  <c r="AE376" i="10"/>
  <c r="AF376" i="10"/>
  <c r="AE381" i="10"/>
  <c r="AF381" i="10"/>
  <c r="AE382" i="10"/>
  <c r="AF382" i="10"/>
  <c r="AE387" i="10"/>
  <c r="AF387" i="10"/>
  <c r="AF327" i="10"/>
  <c r="AE327" i="10"/>
  <c r="AE331" i="10"/>
  <c r="AF331" i="10"/>
  <c r="AE334" i="10"/>
  <c r="AF334" i="10"/>
  <c r="AF350" i="10"/>
  <c r="AE350" i="10"/>
  <c r="AE351" i="10"/>
  <c r="AF351" i="10"/>
  <c r="AE318" i="10"/>
  <c r="AF318" i="10"/>
  <c r="AE319" i="10"/>
  <c r="AF319" i="10"/>
  <c r="AE333" i="10"/>
  <c r="AF333" i="10"/>
  <c r="AE343" i="10"/>
  <c r="AF343" i="10"/>
  <c r="AE357" i="10"/>
  <c r="AF357" i="10"/>
  <c r="AE403" i="10"/>
  <c r="AF403" i="10"/>
  <c r="AE309" i="10"/>
  <c r="AF309" i="10"/>
  <c r="AE325" i="10"/>
  <c r="AF325" i="10"/>
  <c r="AF326" i="10"/>
  <c r="AE326" i="10"/>
  <c r="AE340" i="10"/>
  <c r="AF340" i="10"/>
  <c r="AF361" i="10"/>
  <c r="AE361" i="10"/>
  <c r="AE386" i="10"/>
  <c r="AF386" i="10"/>
  <c r="AE389" i="10"/>
  <c r="AF389" i="10"/>
  <c r="AE305" i="10"/>
  <c r="AF305" i="10"/>
  <c r="AF13" i="6"/>
  <c r="AE13" i="6"/>
  <c r="AE17" i="6"/>
  <c r="AF17" i="6"/>
  <c r="AE24" i="6"/>
  <c r="AF24" i="6"/>
  <c r="AE28" i="6"/>
  <c r="AF28" i="6"/>
  <c r="AE36" i="6"/>
  <c r="AF36" i="6"/>
  <c r="AE43" i="6"/>
  <c r="AF43" i="6"/>
  <c r="AE45" i="6"/>
  <c r="AF45" i="6"/>
  <c r="AE51" i="6"/>
  <c r="AF51" i="6"/>
  <c r="AE59" i="6"/>
  <c r="AF59" i="6"/>
  <c r="AE64" i="6"/>
  <c r="AF64" i="6"/>
  <c r="AE67" i="6"/>
  <c r="AF67" i="6"/>
  <c r="AE69" i="6"/>
  <c r="AF69" i="6"/>
  <c r="AE72" i="6"/>
  <c r="AF72" i="6"/>
  <c r="AE75" i="6"/>
  <c r="AF75" i="6"/>
  <c r="AE78" i="6"/>
  <c r="AF78" i="6"/>
  <c r="AE80" i="6"/>
  <c r="AF80" i="6"/>
  <c r="AE84" i="6"/>
  <c r="AF84" i="6"/>
  <c r="AE87" i="6"/>
  <c r="AF87" i="6"/>
  <c r="AE91" i="6"/>
  <c r="AF91" i="6"/>
  <c r="AE93" i="6"/>
  <c r="AF93" i="6"/>
  <c r="AE97" i="6"/>
  <c r="AF97" i="6"/>
  <c r="AE100" i="6"/>
  <c r="AF100" i="6"/>
  <c r="AE103" i="6"/>
  <c r="AF103" i="6"/>
  <c r="AE110" i="6"/>
  <c r="AF110" i="6"/>
  <c r="AE112" i="6"/>
  <c r="AF112" i="6"/>
  <c r="AE116" i="6"/>
  <c r="AF116" i="6"/>
  <c r="AE121" i="6"/>
  <c r="AF121" i="6"/>
  <c r="AE124" i="6"/>
  <c r="AF124" i="6"/>
  <c r="AE134" i="6"/>
  <c r="AF134" i="6"/>
  <c r="AE137" i="6"/>
  <c r="AF137" i="6"/>
  <c r="AE142" i="6"/>
  <c r="AF142" i="6"/>
  <c r="AE148" i="6"/>
  <c r="AF148" i="6"/>
  <c r="AE152" i="6"/>
  <c r="AF152" i="6"/>
  <c r="AE158" i="6"/>
  <c r="AF158" i="6"/>
  <c r="AE163" i="6"/>
  <c r="AF163" i="6"/>
  <c r="AE168" i="6"/>
  <c r="AF168" i="6"/>
  <c r="AE173" i="6"/>
  <c r="AF173" i="6"/>
  <c r="AE180" i="6"/>
  <c r="AF180" i="6"/>
  <c r="AE185" i="6"/>
  <c r="AF185" i="6"/>
  <c r="AE193" i="6"/>
  <c r="AF193" i="6"/>
  <c r="AE201" i="6"/>
  <c r="AF201" i="6"/>
  <c r="AE207" i="6"/>
  <c r="AF207" i="6"/>
  <c r="AE11" i="14"/>
  <c r="AF11" i="14"/>
  <c r="AE12" i="14"/>
  <c r="AF12" i="14"/>
  <c r="AE13" i="14"/>
  <c r="AF13" i="14"/>
  <c r="AE14" i="14"/>
  <c r="AF14" i="14"/>
  <c r="AE15" i="14"/>
  <c r="AF15" i="14"/>
  <c r="AE16" i="14"/>
  <c r="AF16" i="14"/>
  <c r="AE17" i="14"/>
  <c r="AF17" i="14"/>
  <c r="AE18" i="14"/>
  <c r="AF18" i="14"/>
  <c r="AE19" i="14"/>
  <c r="AF19" i="14"/>
  <c r="AE20" i="14"/>
  <c r="AF20" i="14"/>
  <c r="AE21" i="14"/>
  <c r="AF21" i="14"/>
  <c r="AE22" i="14"/>
  <c r="AF22" i="14"/>
  <c r="AE23" i="14"/>
  <c r="AF23" i="14"/>
  <c r="AE24" i="14"/>
  <c r="AF24" i="14"/>
  <c r="AE25" i="14"/>
  <c r="AF25" i="14"/>
  <c r="AE26" i="14"/>
  <c r="AF26" i="14"/>
  <c r="AE27" i="14"/>
  <c r="AF27" i="14"/>
  <c r="AE28" i="14"/>
  <c r="AF28" i="14"/>
  <c r="AE29" i="14"/>
  <c r="AF29" i="14"/>
  <c r="AE30" i="14"/>
  <c r="AF30" i="14"/>
  <c r="AE31" i="14"/>
  <c r="AF31" i="14"/>
  <c r="AE32" i="14"/>
  <c r="AF32" i="14"/>
  <c r="AE33" i="14"/>
  <c r="AF33" i="14"/>
  <c r="AE34" i="14"/>
  <c r="AF34" i="14"/>
  <c r="AE35" i="14"/>
  <c r="AF35" i="14"/>
  <c r="AE36" i="14"/>
  <c r="AF36" i="14"/>
  <c r="AE37" i="14"/>
  <c r="AF37" i="14"/>
  <c r="AE38" i="14"/>
  <c r="AF38" i="14"/>
  <c r="AE39" i="14"/>
  <c r="AF39" i="14"/>
  <c r="AE40" i="14"/>
  <c r="AF40" i="14"/>
  <c r="AE41" i="14"/>
  <c r="AF41" i="14"/>
  <c r="AE42" i="14"/>
  <c r="AF42" i="14"/>
  <c r="AE43" i="14"/>
  <c r="AF43" i="14"/>
  <c r="AE44" i="14"/>
  <c r="AF44" i="14"/>
  <c r="AE45" i="14"/>
  <c r="AF45" i="14"/>
  <c r="AE46" i="14"/>
  <c r="AF46" i="14"/>
  <c r="AE47" i="14"/>
  <c r="AF47" i="14"/>
  <c r="AE48" i="14"/>
  <c r="AF48" i="14"/>
  <c r="AE49" i="14"/>
  <c r="AF49" i="14"/>
  <c r="AE50" i="14"/>
  <c r="AF50" i="14"/>
  <c r="AE51" i="14"/>
  <c r="AF51" i="14"/>
  <c r="AE52" i="14"/>
  <c r="AF52" i="14"/>
  <c r="AE57" i="14"/>
  <c r="AF57" i="14"/>
  <c r="AE59" i="14"/>
  <c r="AF59" i="14"/>
  <c r="AE60" i="14"/>
  <c r="AF60" i="14"/>
  <c r="AE61" i="14"/>
  <c r="AF61" i="14"/>
  <c r="AE62" i="14"/>
  <c r="AF62" i="14"/>
  <c r="AE63" i="14"/>
  <c r="AF63" i="14"/>
  <c r="AE64" i="14"/>
  <c r="AF64" i="14"/>
  <c r="AE66" i="14"/>
  <c r="AF66" i="14"/>
  <c r="AE67" i="14"/>
  <c r="AF67" i="14"/>
  <c r="AE71" i="14"/>
  <c r="AF71" i="14"/>
  <c r="AE73" i="14"/>
  <c r="AF73" i="14"/>
  <c r="AE74" i="14"/>
  <c r="AF74" i="14"/>
  <c r="AE75" i="14"/>
  <c r="AF75" i="14"/>
  <c r="AE76" i="14"/>
  <c r="AF76" i="14"/>
  <c r="AE77" i="14"/>
  <c r="AF77" i="14"/>
  <c r="AE79" i="14"/>
  <c r="AF79" i="14"/>
  <c r="AE82" i="14"/>
  <c r="AF82" i="14"/>
  <c r="AE83" i="14"/>
  <c r="AF83" i="14"/>
  <c r="AE108" i="14"/>
  <c r="AF108" i="14"/>
  <c r="AE109" i="14"/>
  <c r="AF109" i="14"/>
  <c r="AE111" i="14"/>
  <c r="AF111" i="14"/>
  <c r="AE114" i="14"/>
  <c r="AF114" i="14"/>
  <c r="AE118" i="14"/>
  <c r="AF118" i="14"/>
  <c r="AE120" i="14"/>
  <c r="AF120" i="14"/>
  <c r="AE126" i="14"/>
  <c r="AF126" i="14"/>
  <c r="AE127" i="14"/>
  <c r="AF127" i="14"/>
  <c r="AE129" i="14"/>
  <c r="AF129" i="14"/>
  <c r="AE130" i="14"/>
  <c r="AF130" i="14"/>
  <c r="AE132" i="14"/>
  <c r="AF132" i="14"/>
  <c r="AE133" i="14"/>
  <c r="AF133" i="14"/>
  <c r="AE134" i="14"/>
  <c r="AF134" i="14"/>
  <c r="AE135" i="14"/>
  <c r="AF135" i="14"/>
  <c r="AE136" i="14"/>
  <c r="AF136" i="14"/>
  <c r="AE140" i="14"/>
  <c r="AF140" i="14"/>
  <c r="AE143" i="14"/>
  <c r="AF143" i="14"/>
  <c r="AE146" i="14"/>
  <c r="AF146" i="14"/>
  <c r="AE149" i="14"/>
  <c r="AF149" i="14"/>
  <c r="AE151" i="14"/>
  <c r="AF151" i="14"/>
  <c r="AE154" i="14"/>
  <c r="AF154" i="14"/>
  <c r="AE155" i="14"/>
  <c r="AF155" i="14"/>
  <c r="AE156" i="14"/>
  <c r="AF156" i="14"/>
  <c r="AE160" i="14"/>
  <c r="AF160" i="14"/>
  <c r="AE161" i="14"/>
  <c r="AF161" i="14"/>
  <c r="AE164" i="14"/>
  <c r="AF164" i="14"/>
  <c r="AE166" i="14"/>
  <c r="AF166" i="14"/>
  <c r="AE169" i="14"/>
  <c r="AF169" i="14"/>
  <c r="AE171" i="14"/>
  <c r="AF171" i="14"/>
  <c r="AE172" i="14"/>
  <c r="AF172" i="14"/>
  <c r="AE173" i="14"/>
  <c r="AF173" i="14"/>
  <c r="AE175" i="14"/>
  <c r="AF175" i="14"/>
  <c r="AE176" i="14"/>
  <c r="AF176" i="14"/>
  <c r="AE205" i="14"/>
  <c r="AF205" i="14"/>
  <c r="AE206" i="14"/>
  <c r="AF206" i="14"/>
  <c r="AE207" i="14"/>
  <c r="AF207" i="14"/>
  <c r="AE208" i="14"/>
  <c r="AF208" i="14"/>
  <c r="AE53" i="14"/>
  <c r="AF53" i="14"/>
  <c r="AE55" i="14"/>
  <c r="AF55" i="14"/>
  <c r="AE56" i="14"/>
  <c r="AF56" i="14"/>
  <c r="AE58" i="14"/>
  <c r="AF58" i="14"/>
  <c r="AE65" i="14"/>
  <c r="AF65" i="14"/>
  <c r="AE68" i="14"/>
  <c r="AF68" i="14"/>
  <c r="AE69" i="14"/>
  <c r="AF69" i="14"/>
  <c r="AE70" i="14"/>
  <c r="AF70" i="14"/>
  <c r="AE72" i="14"/>
  <c r="AF72" i="14"/>
  <c r="AE78" i="14"/>
  <c r="AF78" i="14"/>
  <c r="AE80" i="14"/>
  <c r="AF80" i="14"/>
  <c r="AE81" i="14"/>
  <c r="AF81" i="14"/>
  <c r="AE84" i="14"/>
  <c r="AF84" i="14"/>
  <c r="AE85" i="14"/>
  <c r="AF85" i="14"/>
  <c r="AE86" i="14"/>
  <c r="AF86" i="14"/>
  <c r="AE87" i="14"/>
  <c r="AF87" i="14"/>
  <c r="AE88" i="14"/>
  <c r="AF88" i="14"/>
  <c r="AE89" i="14"/>
  <c r="AF89" i="14"/>
  <c r="AE90" i="14"/>
  <c r="AF90" i="14"/>
  <c r="AE91" i="14"/>
  <c r="AF91" i="14"/>
  <c r="AE92" i="14"/>
  <c r="AF92" i="14"/>
  <c r="AE93" i="14"/>
  <c r="AF93" i="14"/>
  <c r="AE94" i="14"/>
  <c r="AF94" i="14"/>
  <c r="AE95" i="14"/>
  <c r="AF95" i="14"/>
  <c r="AE96" i="14"/>
  <c r="AF96" i="14"/>
  <c r="AE97" i="14"/>
  <c r="AF97" i="14"/>
  <c r="AE98" i="14"/>
  <c r="AF98" i="14"/>
  <c r="AE99" i="14"/>
  <c r="AF99" i="14"/>
  <c r="AE100" i="14"/>
  <c r="AF100" i="14"/>
  <c r="AE101" i="14"/>
  <c r="AF101" i="14"/>
  <c r="AE102" i="14"/>
  <c r="AF102" i="14"/>
  <c r="AE103" i="14"/>
  <c r="AF103" i="14"/>
  <c r="AE104" i="14"/>
  <c r="AF104" i="14"/>
  <c r="AE105" i="14"/>
  <c r="AF105" i="14"/>
  <c r="AE106" i="14"/>
  <c r="AF106" i="14"/>
  <c r="AE107" i="14"/>
  <c r="AF107" i="14"/>
  <c r="AE110" i="14"/>
  <c r="AF110" i="14"/>
  <c r="AE112" i="14"/>
  <c r="AF112" i="14"/>
  <c r="AE113" i="14"/>
  <c r="AF113" i="14"/>
  <c r="AE115" i="14"/>
  <c r="AF115" i="14"/>
  <c r="AE116" i="14"/>
  <c r="AF116" i="14"/>
  <c r="AE117" i="14"/>
  <c r="AF117" i="14"/>
  <c r="AE119" i="14"/>
  <c r="AF119" i="14"/>
  <c r="AE121" i="14"/>
  <c r="AF121" i="14"/>
  <c r="AE122" i="14"/>
  <c r="AF122" i="14"/>
  <c r="AE123" i="14"/>
  <c r="AF123" i="14"/>
  <c r="AE124" i="14"/>
  <c r="AF124" i="14"/>
  <c r="AE125" i="14"/>
  <c r="AF125" i="14"/>
  <c r="AE128" i="14"/>
  <c r="AF128" i="14"/>
  <c r="AE131" i="14"/>
  <c r="AF131" i="14"/>
  <c r="AE137" i="14"/>
  <c r="AF137" i="14"/>
  <c r="AE138" i="14"/>
  <c r="AF138" i="14"/>
  <c r="AE139" i="14"/>
  <c r="AF139" i="14"/>
  <c r="AE141" i="14"/>
  <c r="AF141" i="14"/>
  <c r="AE142" i="14"/>
  <c r="AF142" i="14"/>
  <c r="AE144" i="14"/>
  <c r="AF144" i="14"/>
  <c r="AE145" i="14"/>
  <c r="AF145" i="14"/>
  <c r="AE147" i="14"/>
  <c r="AF147" i="14"/>
  <c r="AE148" i="14"/>
  <c r="AF148" i="14"/>
  <c r="AE150" i="14"/>
  <c r="AF150" i="14"/>
  <c r="AE152" i="14"/>
  <c r="AF152" i="14"/>
  <c r="AE153" i="14"/>
  <c r="AF153" i="14"/>
  <c r="AE157" i="14"/>
  <c r="AF157" i="14"/>
  <c r="AE158" i="14"/>
  <c r="AF158" i="14"/>
  <c r="AE159" i="14"/>
  <c r="AF159" i="14"/>
  <c r="AE162" i="14"/>
  <c r="AF162" i="14"/>
  <c r="AE163" i="14"/>
  <c r="AF163" i="14"/>
  <c r="AE165" i="14"/>
  <c r="AF165" i="14"/>
  <c r="AE167" i="14"/>
  <c r="AF167" i="14"/>
  <c r="AE168" i="14"/>
  <c r="AF168" i="14"/>
  <c r="AE170" i="14"/>
  <c r="AF170" i="14"/>
  <c r="AE174" i="14"/>
  <c r="AF174" i="14"/>
  <c r="AE177" i="14"/>
  <c r="AF177" i="14"/>
  <c r="AE178" i="14"/>
  <c r="AF178" i="14"/>
  <c r="AE179" i="14"/>
  <c r="AF179" i="14"/>
  <c r="AE180" i="14"/>
  <c r="AF180" i="14"/>
  <c r="AE181" i="14"/>
  <c r="AF181" i="14"/>
  <c r="AE182" i="14"/>
  <c r="AF182" i="14"/>
  <c r="AE183" i="14"/>
  <c r="AF183" i="14"/>
  <c r="AE184" i="14"/>
  <c r="AF184" i="14"/>
  <c r="AE185" i="14"/>
  <c r="AF185" i="14"/>
  <c r="AE186" i="14"/>
  <c r="AF186" i="14"/>
  <c r="AE187" i="14"/>
  <c r="AF187" i="14"/>
  <c r="AE188" i="14"/>
  <c r="AF188" i="14"/>
  <c r="AE189" i="14"/>
  <c r="AF189" i="14"/>
  <c r="AE190" i="14"/>
  <c r="AF190" i="14"/>
  <c r="AE191" i="14"/>
  <c r="AF191" i="14"/>
  <c r="AE192" i="14"/>
  <c r="AF192" i="14"/>
  <c r="AE193" i="14"/>
  <c r="AF193" i="14"/>
  <c r="AE194" i="14"/>
  <c r="AF194" i="14"/>
  <c r="AE195" i="14"/>
  <c r="AF195" i="14"/>
  <c r="AE196" i="14"/>
  <c r="AF196" i="14"/>
  <c r="AE197" i="14"/>
  <c r="AF197" i="14"/>
  <c r="AE198" i="14"/>
  <c r="AF198" i="14"/>
  <c r="AE199" i="14"/>
  <c r="AF199" i="14"/>
  <c r="AE200" i="14"/>
  <c r="AF200" i="14"/>
  <c r="AE201" i="14"/>
  <c r="AF201" i="14"/>
  <c r="AE202" i="14"/>
  <c r="AF202" i="14"/>
  <c r="AE203" i="14"/>
  <c r="AF203" i="14"/>
  <c r="AE204" i="14"/>
  <c r="AF204" i="14"/>
  <c r="AE209" i="14"/>
  <c r="AF209" i="14"/>
  <c r="AE210" i="14"/>
  <c r="AF210" i="14"/>
  <c r="AF212" i="14"/>
  <c r="AE212" i="14"/>
  <c r="AE213" i="14"/>
  <c r="AF213" i="14"/>
  <c r="AF214" i="14"/>
  <c r="AE214" i="14"/>
  <c r="AF215" i="14"/>
  <c r="AE215" i="14"/>
  <c r="AE216" i="14"/>
  <c r="AF216" i="14"/>
  <c r="AE217" i="14"/>
  <c r="AF217" i="14"/>
  <c r="AF218" i="14"/>
  <c r="AE218" i="14"/>
  <c r="AF219" i="14"/>
  <c r="AE219" i="14"/>
  <c r="AE220" i="14"/>
  <c r="AF220" i="14"/>
  <c r="AE221" i="14"/>
  <c r="AF221" i="14"/>
  <c r="AF222" i="14"/>
  <c r="AE222" i="14"/>
  <c r="AF223" i="14"/>
  <c r="AE223" i="14"/>
  <c r="AF224" i="14"/>
  <c r="AE224" i="14"/>
  <c r="AF225" i="14"/>
  <c r="AE225" i="14"/>
  <c r="AF226" i="14"/>
  <c r="AE226" i="14"/>
  <c r="AF227" i="14"/>
  <c r="AE227" i="14"/>
  <c r="AF228" i="14"/>
  <c r="AE228" i="14"/>
  <c r="AF229" i="14"/>
  <c r="AE229" i="14"/>
  <c r="AE230" i="14"/>
  <c r="AF230" i="14"/>
  <c r="AF231" i="14"/>
  <c r="AE231" i="14"/>
  <c r="AF232" i="14"/>
  <c r="AE232" i="14"/>
  <c r="AF233" i="14"/>
  <c r="AE233" i="14"/>
  <c r="AF234" i="14"/>
  <c r="AE234" i="14"/>
  <c r="AF235" i="14"/>
  <c r="AE235" i="14"/>
  <c r="AF236" i="14"/>
  <c r="AE236" i="14"/>
  <c r="AE237" i="14"/>
  <c r="AF237" i="14"/>
  <c r="AE238" i="14"/>
  <c r="AF238" i="14"/>
  <c r="AF239" i="14"/>
  <c r="AE239" i="14"/>
  <c r="AF240" i="14"/>
  <c r="AE240" i="14"/>
  <c r="AF241" i="14"/>
  <c r="AE241" i="14"/>
  <c r="AE242" i="14"/>
  <c r="AF242" i="14"/>
  <c r="AE243" i="14"/>
  <c r="AF243" i="14"/>
  <c r="AE244" i="14"/>
  <c r="AF244" i="14"/>
  <c r="AF245" i="14"/>
  <c r="AE245" i="14"/>
  <c r="AF246" i="14"/>
  <c r="AE246" i="14"/>
  <c r="AF247" i="14"/>
  <c r="AE247" i="14"/>
  <c r="AE248" i="14"/>
  <c r="AF248" i="14"/>
  <c r="AF249" i="14"/>
  <c r="AE249" i="14"/>
  <c r="AF250" i="14"/>
  <c r="AE250" i="14"/>
  <c r="AF251" i="14"/>
  <c r="AE251" i="14"/>
  <c r="AF252" i="14"/>
  <c r="AE252" i="14"/>
  <c r="AE253" i="14"/>
  <c r="AF253" i="14"/>
  <c r="AE254" i="14"/>
  <c r="AF254" i="14"/>
  <c r="AF255" i="14"/>
  <c r="AE255" i="14"/>
  <c r="AE256" i="14"/>
  <c r="AF256" i="14"/>
  <c r="AF257" i="14"/>
  <c r="AE257" i="14"/>
  <c r="AF258" i="14"/>
  <c r="AE258" i="14"/>
  <c r="AF259" i="14"/>
  <c r="AE259" i="14"/>
  <c r="AE260" i="14"/>
  <c r="AF260" i="14"/>
  <c r="AE261" i="14"/>
  <c r="AF261" i="14"/>
  <c r="AF262" i="14"/>
  <c r="AE262" i="14"/>
  <c r="AE263" i="14"/>
  <c r="AF263" i="14"/>
  <c r="AE264" i="14"/>
  <c r="AF264" i="14"/>
  <c r="AE265" i="14"/>
  <c r="AF265" i="14"/>
  <c r="AF266" i="14"/>
  <c r="AE266" i="14"/>
  <c r="AF267" i="14"/>
  <c r="AE267" i="14"/>
  <c r="AE268" i="14"/>
  <c r="AF268" i="14"/>
  <c r="AF269" i="14"/>
  <c r="AE269" i="14"/>
  <c r="AE270" i="14"/>
  <c r="AF270" i="14"/>
  <c r="AF271" i="14"/>
  <c r="AE271" i="14"/>
  <c r="AF272" i="14"/>
  <c r="AE272" i="14"/>
  <c r="AE273" i="14"/>
  <c r="AF273" i="14"/>
  <c r="AE274" i="14"/>
  <c r="AF274" i="14"/>
  <c r="AF275" i="14"/>
  <c r="AE275" i="14"/>
  <c r="AE276" i="14"/>
  <c r="AF276" i="14"/>
  <c r="AF277" i="14"/>
  <c r="AE277" i="14"/>
  <c r="AF278" i="14"/>
  <c r="AE278" i="14"/>
  <c r="AF279" i="14"/>
  <c r="AE279" i="14"/>
  <c r="AE280" i="14"/>
  <c r="AF280" i="14"/>
  <c r="AF281" i="14"/>
  <c r="AE281" i="14"/>
  <c r="AE282" i="14"/>
  <c r="AF282" i="14"/>
  <c r="AE283" i="14"/>
  <c r="AF283" i="14"/>
  <c r="AF284" i="14"/>
  <c r="AE284" i="14"/>
  <c r="AE285" i="14"/>
  <c r="AF285" i="14"/>
  <c r="AF286" i="14"/>
  <c r="AE286" i="14"/>
  <c r="AF287" i="14"/>
  <c r="AE287" i="14"/>
  <c r="AF288" i="14"/>
  <c r="AE288" i="14"/>
  <c r="AF289" i="14"/>
  <c r="AE289" i="14"/>
  <c r="AF290" i="14"/>
  <c r="AE290" i="14"/>
  <c r="AE291" i="14"/>
  <c r="AF291" i="14"/>
  <c r="AF292" i="14"/>
  <c r="AE292" i="14"/>
  <c r="AF293" i="14"/>
  <c r="AE293" i="14"/>
  <c r="AF294" i="14"/>
  <c r="AE294" i="14"/>
  <c r="AE295" i="14"/>
  <c r="AF295" i="14"/>
  <c r="AF296" i="14"/>
  <c r="AE296" i="14"/>
  <c r="AF297" i="14"/>
  <c r="AE297" i="14"/>
  <c r="AF298" i="14"/>
  <c r="AE298" i="14"/>
  <c r="AE299" i="14"/>
  <c r="AF299" i="14"/>
  <c r="AE300" i="14"/>
  <c r="AF300" i="14"/>
  <c r="AE301" i="14"/>
  <c r="AF301" i="14"/>
  <c r="AF302" i="14"/>
  <c r="AE302" i="14"/>
  <c r="AE303" i="14"/>
  <c r="AF303" i="14"/>
  <c r="AF304" i="14"/>
  <c r="AE304" i="14"/>
  <c r="AF305" i="14"/>
  <c r="AE305" i="14"/>
  <c r="AE306" i="14"/>
  <c r="AF306" i="14"/>
  <c r="AF307" i="14"/>
  <c r="AE307" i="14"/>
  <c r="AF308" i="14"/>
  <c r="AE308" i="14"/>
  <c r="AF309" i="14"/>
  <c r="AE309" i="14"/>
  <c r="AF310" i="14"/>
  <c r="AE310" i="14"/>
  <c r="AF311" i="14"/>
  <c r="AE311" i="14"/>
  <c r="AF312" i="14"/>
  <c r="AE312" i="14"/>
  <c r="AE313" i="14"/>
  <c r="AF313" i="14"/>
  <c r="AF314" i="14"/>
  <c r="AE314" i="14"/>
  <c r="AE315" i="14"/>
  <c r="AF315" i="14"/>
  <c r="AF316" i="14"/>
  <c r="AE316" i="14"/>
  <c r="AF317" i="14"/>
  <c r="AE317" i="14"/>
  <c r="AF318" i="14"/>
  <c r="AE318" i="14"/>
  <c r="AF319" i="14"/>
  <c r="AE319" i="14"/>
  <c r="AF320" i="14"/>
  <c r="AE320" i="14"/>
  <c r="AF321" i="14"/>
  <c r="AE321" i="14"/>
  <c r="AF322" i="14"/>
  <c r="AE322" i="14"/>
  <c r="AF323" i="14"/>
  <c r="AE323" i="14"/>
  <c r="AF324" i="14"/>
  <c r="AE324" i="14"/>
  <c r="AF325" i="14"/>
  <c r="AE325" i="14"/>
  <c r="AF326" i="14"/>
  <c r="AE326" i="14"/>
  <c r="AE327" i="14"/>
  <c r="AF327" i="14"/>
  <c r="AE328" i="14"/>
  <c r="AF328" i="14"/>
  <c r="AF329" i="14"/>
  <c r="AE329" i="14"/>
  <c r="AF330" i="14"/>
  <c r="AE330" i="14"/>
  <c r="AE331" i="14"/>
  <c r="AF331" i="14"/>
  <c r="AF332" i="14"/>
  <c r="AE332" i="14"/>
  <c r="AE333" i="14"/>
  <c r="AF333" i="14"/>
  <c r="AF334" i="14"/>
  <c r="AE334" i="14"/>
  <c r="AF335" i="14"/>
  <c r="AE335" i="14"/>
  <c r="AF336" i="14"/>
  <c r="AE336" i="14"/>
  <c r="AF337" i="14"/>
  <c r="AE337" i="14"/>
  <c r="AF338" i="14"/>
  <c r="AE338" i="14"/>
  <c r="AF339" i="14"/>
  <c r="AE339" i="14"/>
  <c r="AF340" i="14"/>
  <c r="AE340" i="14"/>
  <c r="AF341" i="14"/>
  <c r="AE341" i="14"/>
  <c r="AE342" i="14"/>
  <c r="AF342" i="14"/>
  <c r="AE343" i="14"/>
  <c r="AF343" i="14"/>
  <c r="AF344" i="14"/>
  <c r="AE344" i="14"/>
  <c r="AE345" i="14"/>
  <c r="AF345" i="14"/>
  <c r="AE346" i="14"/>
  <c r="AF346" i="14"/>
  <c r="AF347" i="14"/>
  <c r="AE347" i="14"/>
  <c r="AF348" i="14"/>
  <c r="AE348" i="14"/>
  <c r="AE349" i="14"/>
  <c r="AF349" i="14"/>
  <c r="AE350" i="14"/>
  <c r="AF350" i="14"/>
  <c r="AF351" i="14"/>
  <c r="AE351" i="14"/>
  <c r="AE352" i="14"/>
  <c r="AF352" i="14"/>
  <c r="AF353" i="14"/>
  <c r="AE353" i="14"/>
  <c r="AF354" i="14"/>
  <c r="AE354" i="14"/>
  <c r="AE355" i="14"/>
  <c r="AF355" i="14"/>
  <c r="AE356" i="14"/>
  <c r="AF356" i="14"/>
  <c r="AF358" i="14"/>
  <c r="AE358" i="14"/>
  <c r="AF359" i="14"/>
  <c r="AE359" i="14"/>
  <c r="AE360" i="14"/>
  <c r="AF360" i="14"/>
  <c r="AF361" i="14"/>
  <c r="AE361" i="14"/>
  <c r="AE362" i="14"/>
  <c r="AF362" i="14"/>
  <c r="AE363" i="14"/>
  <c r="AF363" i="14"/>
  <c r="AF54" i="14"/>
  <c r="AE54" i="14"/>
  <c r="AF357" i="14"/>
  <c r="AE357" i="14"/>
  <c r="AF12" i="6"/>
  <c r="AE12" i="6"/>
  <c r="AF16" i="6"/>
  <c r="AE16" i="6"/>
  <c r="AE23" i="6"/>
  <c r="AF23" i="6"/>
  <c r="AE29" i="6"/>
  <c r="AF29" i="6"/>
  <c r="AE32" i="6"/>
  <c r="AF32" i="6"/>
  <c r="AE35" i="6"/>
  <c r="AF35" i="6"/>
  <c r="AE40" i="6"/>
  <c r="AF40" i="6"/>
  <c r="AE46" i="6"/>
  <c r="AF46" i="6"/>
  <c r="AE54" i="6"/>
  <c r="AF54" i="6"/>
  <c r="AE60" i="6"/>
  <c r="AF60" i="6"/>
  <c r="AE62" i="6"/>
  <c r="AF62" i="6"/>
  <c r="AE66" i="6"/>
  <c r="AF66" i="6"/>
  <c r="AE76" i="6"/>
  <c r="AF76" i="6"/>
  <c r="AE79" i="6"/>
  <c r="AF79" i="6"/>
  <c r="AE81" i="6"/>
  <c r="AF81" i="6"/>
  <c r="AE88" i="6"/>
  <c r="AF88" i="6"/>
  <c r="AE90" i="6"/>
  <c r="AF90" i="6"/>
  <c r="AE92" i="6"/>
  <c r="AF92" i="6"/>
  <c r="AE98" i="6"/>
  <c r="AF98" i="6"/>
  <c r="AE101" i="6"/>
  <c r="AF101" i="6"/>
  <c r="AE106" i="6"/>
  <c r="AF106" i="6"/>
  <c r="AE109" i="6"/>
  <c r="AF109" i="6"/>
  <c r="AE115" i="6"/>
  <c r="AF115" i="6"/>
  <c r="AE119" i="6"/>
  <c r="AF119" i="6"/>
  <c r="AE125" i="6"/>
  <c r="AF125" i="6"/>
  <c r="AE132" i="6"/>
  <c r="AF132" i="6"/>
  <c r="AE135" i="6"/>
  <c r="AF135" i="6"/>
  <c r="AE146" i="6"/>
  <c r="AF146" i="6"/>
  <c r="AE153" i="6"/>
  <c r="AF153" i="6"/>
  <c r="AE159" i="6"/>
  <c r="AF159" i="6"/>
  <c r="AE165" i="6"/>
  <c r="AF165" i="6"/>
  <c r="AE174" i="6"/>
  <c r="AF174" i="6"/>
  <c r="AE187" i="6"/>
  <c r="AF187" i="6"/>
  <c r="AE195" i="6"/>
  <c r="AF195" i="6"/>
  <c r="AE208" i="6"/>
  <c r="AF208" i="6"/>
  <c r="AF14" i="6"/>
  <c r="AE14" i="6"/>
  <c r="AF18" i="6"/>
  <c r="AE18" i="6"/>
  <c r="AE21" i="6"/>
  <c r="AF21" i="6"/>
  <c r="AF26" i="6"/>
  <c r="AE26" i="6"/>
  <c r="AE33" i="6"/>
  <c r="AF33" i="6"/>
  <c r="AE39" i="6"/>
  <c r="AF39" i="6"/>
  <c r="AE52" i="6"/>
  <c r="AF52" i="6"/>
  <c r="AE57" i="6"/>
  <c r="AF57" i="6"/>
  <c r="AE61" i="6"/>
  <c r="AF61" i="6"/>
  <c r="AE65" i="6"/>
  <c r="AF65" i="6"/>
  <c r="AE70" i="6"/>
  <c r="AF70" i="6"/>
  <c r="AE73" i="6"/>
  <c r="AF73" i="6"/>
  <c r="AE83" i="6"/>
  <c r="AF83" i="6"/>
  <c r="AE85" i="6"/>
  <c r="AF85" i="6"/>
  <c r="AE89" i="6"/>
  <c r="AF89" i="6"/>
  <c r="AE96" i="6"/>
  <c r="AF96" i="6"/>
  <c r="AE99" i="6"/>
  <c r="AF99" i="6"/>
  <c r="AE102" i="6"/>
  <c r="AF102" i="6"/>
  <c r="AE105" i="6"/>
  <c r="AF105" i="6"/>
  <c r="AE108" i="6"/>
  <c r="AF108" i="6"/>
  <c r="AE111" i="6"/>
  <c r="AF111" i="6"/>
  <c r="AE114" i="6"/>
  <c r="AF114" i="6"/>
  <c r="AE118" i="6"/>
  <c r="AF118" i="6"/>
  <c r="AE123" i="6"/>
  <c r="AF123" i="6"/>
  <c r="AE127" i="6"/>
  <c r="AF127" i="6"/>
  <c r="AE131" i="6"/>
  <c r="AF131" i="6"/>
  <c r="AE140" i="6"/>
  <c r="AF140" i="6"/>
  <c r="AE149" i="6"/>
  <c r="AF149" i="6"/>
  <c r="AE154" i="6"/>
  <c r="AF154" i="6"/>
  <c r="AE157" i="6"/>
  <c r="AF157" i="6"/>
  <c r="AE162" i="6"/>
  <c r="AF162" i="6"/>
  <c r="AE166" i="6"/>
  <c r="AF166" i="6"/>
  <c r="AE171" i="6"/>
  <c r="AF171" i="6"/>
  <c r="AE184" i="6"/>
  <c r="AF184" i="6"/>
  <c r="AE194" i="6"/>
  <c r="AF194" i="6"/>
  <c r="AE202" i="6"/>
  <c r="AF202" i="6"/>
  <c r="AE209" i="6"/>
  <c r="AF209" i="6"/>
  <c r="AF20" i="6"/>
  <c r="AE20" i="6"/>
  <c r="AE30" i="6"/>
  <c r="AF30" i="6"/>
  <c r="AE34" i="6"/>
  <c r="AF34" i="6"/>
  <c r="AE44" i="6"/>
  <c r="AF44" i="6"/>
  <c r="AE50" i="6"/>
  <c r="AF50" i="6"/>
  <c r="AE120" i="6"/>
  <c r="AF120" i="6"/>
  <c r="AE129" i="6"/>
  <c r="AF129" i="6"/>
  <c r="AE136" i="6"/>
  <c r="AF136" i="6"/>
  <c r="AE143" i="6"/>
  <c r="AF143" i="6"/>
  <c r="AE151" i="6"/>
  <c r="AF151" i="6"/>
  <c r="AE69" i="10"/>
  <c r="AF69" i="10"/>
  <c r="AE70" i="10"/>
  <c r="AF70" i="10"/>
  <c r="AE71" i="10"/>
  <c r="AF71" i="10"/>
  <c r="AE72" i="10"/>
  <c r="AF72" i="10"/>
  <c r="AE73" i="10"/>
  <c r="AF73" i="10"/>
  <c r="AE74" i="10"/>
  <c r="AF74" i="10"/>
  <c r="AE75" i="10"/>
  <c r="AF75" i="10"/>
  <c r="AE76" i="10"/>
  <c r="AF76" i="10"/>
  <c r="AE77" i="10"/>
  <c r="AF77" i="10"/>
  <c r="AE78" i="10"/>
  <c r="AF78" i="10"/>
  <c r="AE79" i="10"/>
  <c r="AF79" i="10"/>
  <c r="AE80" i="10"/>
  <c r="AF80" i="10"/>
  <c r="AE81" i="10"/>
  <c r="AF81" i="10"/>
  <c r="AE82" i="10"/>
  <c r="AF82" i="10"/>
  <c r="AE83" i="10"/>
  <c r="AF83" i="10"/>
  <c r="AE84" i="10"/>
  <c r="AF84" i="10"/>
  <c r="AE85" i="10"/>
  <c r="AF85" i="10"/>
  <c r="AE86" i="10"/>
  <c r="AF86" i="10"/>
  <c r="AE87" i="10"/>
  <c r="AF87" i="10"/>
  <c r="AE88" i="10"/>
  <c r="AF88" i="10"/>
  <c r="AE89" i="10"/>
  <c r="AF89" i="10"/>
  <c r="AE90" i="10"/>
  <c r="AF90" i="10"/>
  <c r="AE91" i="10"/>
  <c r="AF91" i="10"/>
  <c r="AE92" i="10"/>
  <c r="AF92" i="10"/>
  <c r="AE93" i="10"/>
  <c r="AF93" i="10"/>
  <c r="AE94" i="10"/>
  <c r="AF94" i="10"/>
  <c r="AE95" i="10"/>
  <c r="AF95" i="10"/>
  <c r="AE96" i="10"/>
  <c r="AF96" i="10"/>
  <c r="AE97" i="10"/>
  <c r="AF97" i="10"/>
  <c r="AE98" i="10"/>
  <c r="AF98" i="10"/>
  <c r="AE99" i="10"/>
  <c r="AF99" i="10"/>
  <c r="AE100" i="10"/>
  <c r="AF100" i="10"/>
  <c r="AE101" i="10"/>
  <c r="AF101" i="10"/>
  <c r="AE102" i="10"/>
  <c r="AF102" i="10"/>
  <c r="AE103" i="10"/>
  <c r="AF103" i="10"/>
  <c r="AE104" i="10"/>
  <c r="AF104" i="10"/>
  <c r="AE105" i="10"/>
  <c r="AF105" i="10"/>
  <c r="AE106" i="10"/>
  <c r="AF106" i="10"/>
  <c r="AE107" i="10"/>
  <c r="AF107" i="10"/>
  <c r="AE108" i="10"/>
  <c r="AF108" i="10"/>
  <c r="AE109" i="10"/>
  <c r="AF109" i="10"/>
  <c r="AE110" i="10"/>
  <c r="AF110" i="10"/>
  <c r="AE111" i="10"/>
  <c r="AF111" i="10"/>
  <c r="AE112" i="10"/>
  <c r="AF112" i="10"/>
  <c r="AE113" i="10"/>
  <c r="AF113" i="10"/>
  <c r="AE114" i="10"/>
  <c r="AF114" i="10"/>
  <c r="AE115" i="10"/>
  <c r="AF115" i="10"/>
  <c r="AE116" i="10"/>
  <c r="AF116" i="10"/>
  <c r="AE117" i="10"/>
  <c r="AF117" i="10"/>
  <c r="AE118" i="10"/>
  <c r="AF118" i="10"/>
  <c r="AE119" i="10"/>
  <c r="AF119" i="10"/>
  <c r="AE120" i="10"/>
  <c r="AF120" i="10"/>
  <c r="AE121" i="10"/>
  <c r="AF121" i="10"/>
  <c r="AE122" i="10"/>
  <c r="AF122" i="10"/>
  <c r="AE123" i="10"/>
  <c r="AF123" i="10"/>
  <c r="AE124" i="10"/>
  <c r="AF124" i="10"/>
  <c r="AE125" i="10"/>
  <c r="AF125" i="10"/>
  <c r="AE126" i="10"/>
  <c r="AF126" i="10"/>
  <c r="AE127" i="10"/>
  <c r="AF127" i="10"/>
  <c r="AE128" i="10"/>
  <c r="AF128" i="10"/>
  <c r="AE129" i="10"/>
  <c r="AF129" i="10"/>
  <c r="AE130" i="10"/>
  <c r="AF130" i="10"/>
  <c r="AE131" i="10"/>
  <c r="AF131" i="10"/>
  <c r="AE132" i="10"/>
  <c r="AF132" i="10"/>
  <c r="AE133" i="10"/>
  <c r="AF133" i="10"/>
  <c r="AE134" i="10"/>
  <c r="AF134" i="10"/>
  <c r="AE135" i="10"/>
  <c r="AF135" i="10"/>
  <c r="AE136" i="10"/>
  <c r="AF136" i="10"/>
  <c r="AE137" i="10"/>
  <c r="AF137" i="10"/>
  <c r="AE138" i="10"/>
  <c r="AF138" i="10"/>
  <c r="AE139" i="10"/>
  <c r="AF139" i="10"/>
  <c r="AE140" i="10"/>
  <c r="AF140" i="10"/>
  <c r="AE141" i="10"/>
  <c r="AF141" i="10"/>
  <c r="AE142" i="10"/>
  <c r="AF142" i="10"/>
  <c r="AE143" i="10"/>
  <c r="AF143" i="10"/>
  <c r="AE144" i="10"/>
  <c r="AF144" i="10"/>
  <c r="AE145" i="10"/>
  <c r="AF145" i="10"/>
  <c r="AE146" i="10"/>
  <c r="AF146" i="10"/>
  <c r="AE147" i="10"/>
  <c r="AF147" i="10"/>
  <c r="AE148" i="10"/>
  <c r="AF148" i="10"/>
  <c r="AE149" i="10"/>
  <c r="AF149" i="10"/>
  <c r="AE150" i="10"/>
  <c r="AF150" i="10"/>
  <c r="AE151" i="10"/>
  <c r="AF151" i="10"/>
  <c r="AE152" i="10"/>
  <c r="AF152" i="10"/>
  <c r="AE153" i="10"/>
  <c r="AF153" i="10"/>
  <c r="AE154" i="10"/>
  <c r="AF154" i="10"/>
  <c r="AE155" i="10"/>
  <c r="AF155" i="10"/>
  <c r="AE156" i="10"/>
  <c r="AF156" i="10"/>
  <c r="AE157" i="10"/>
  <c r="AF157" i="10"/>
  <c r="AE158" i="10"/>
  <c r="AF158" i="10"/>
  <c r="AE159" i="10"/>
  <c r="AF159" i="10"/>
  <c r="AE160" i="10"/>
  <c r="AF160" i="10"/>
  <c r="AE161" i="10"/>
  <c r="AF161" i="10"/>
  <c r="AE162" i="10"/>
  <c r="AF162" i="10"/>
  <c r="AE163" i="10"/>
  <c r="AF163" i="10"/>
  <c r="AE164" i="10"/>
  <c r="AF164" i="10"/>
  <c r="AE165" i="10"/>
  <c r="AF165" i="10"/>
  <c r="AE166" i="10"/>
  <c r="AF166" i="10"/>
  <c r="AE167" i="10"/>
  <c r="AF167" i="10"/>
  <c r="AE168" i="10"/>
  <c r="AF168" i="10"/>
  <c r="AE169" i="10"/>
  <c r="AF169" i="10"/>
  <c r="AE170" i="10"/>
  <c r="AF170" i="10"/>
  <c r="AE171" i="10"/>
  <c r="AF171" i="10"/>
  <c r="AE172" i="10"/>
  <c r="AF172" i="10"/>
  <c r="AE173" i="10"/>
  <c r="AF173" i="10"/>
  <c r="AE174" i="10"/>
  <c r="AF174" i="10"/>
  <c r="AE175" i="10"/>
  <c r="AF175" i="10"/>
  <c r="AE176" i="10"/>
  <c r="AF176" i="10"/>
  <c r="AE177" i="10"/>
  <c r="AF177" i="10"/>
  <c r="AE178" i="10"/>
  <c r="AF178" i="10"/>
  <c r="AE179" i="10"/>
  <c r="AF179" i="10"/>
  <c r="AE180" i="10"/>
  <c r="AF180" i="10"/>
  <c r="AE181" i="10"/>
  <c r="AF181" i="10"/>
  <c r="AE182" i="10"/>
  <c r="AF182" i="10"/>
  <c r="AE183" i="10"/>
  <c r="AF183" i="10"/>
  <c r="AE184" i="10"/>
  <c r="AF184" i="10"/>
  <c r="AE185" i="10"/>
  <c r="AF185" i="10"/>
  <c r="AE186" i="10"/>
  <c r="AF186" i="10"/>
  <c r="AE187" i="10"/>
  <c r="AF187" i="10"/>
  <c r="AE188" i="10"/>
  <c r="AF188" i="10"/>
  <c r="AE189" i="10"/>
  <c r="AF189" i="10"/>
  <c r="AE190" i="10"/>
  <c r="AF190" i="10"/>
  <c r="AE191" i="10"/>
  <c r="AF191" i="10"/>
  <c r="AE192" i="10"/>
  <c r="AF192" i="10"/>
  <c r="AE193" i="10"/>
  <c r="AF193" i="10"/>
  <c r="AE194" i="10"/>
  <c r="AF194" i="10"/>
  <c r="AE195" i="10"/>
  <c r="AF195" i="10"/>
  <c r="AE196" i="10"/>
  <c r="AF196" i="10"/>
  <c r="AE197" i="10"/>
  <c r="AF197" i="10"/>
  <c r="AE198" i="10"/>
  <c r="AF198" i="10"/>
  <c r="AE199" i="10"/>
  <c r="AF199" i="10"/>
  <c r="AE200" i="10"/>
  <c r="AF200" i="10"/>
  <c r="AE201" i="10"/>
  <c r="AF201" i="10"/>
  <c r="AE202" i="10"/>
  <c r="AF202" i="10"/>
  <c r="AE203" i="10"/>
  <c r="AF203" i="10"/>
  <c r="AE204" i="10"/>
  <c r="AF204" i="10"/>
  <c r="AE205" i="10"/>
  <c r="AF205" i="10"/>
  <c r="AE206" i="10"/>
  <c r="AF206" i="10"/>
  <c r="AE207" i="10"/>
  <c r="AF207" i="10"/>
  <c r="AE208" i="10"/>
  <c r="AF208" i="10"/>
  <c r="AE209" i="10"/>
  <c r="AF209" i="10"/>
  <c r="AE210" i="10"/>
  <c r="AF210" i="10"/>
  <c r="AE211" i="10"/>
  <c r="AF211" i="10"/>
  <c r="AE212" i="10"/>
  <c r="AF212" i="10"/>
  <c r="AE213" i="10"/>
  <c r="AF213" i="10"/>
  <c r="AE214" i="10"/>
  <c r="AF214" i="10"/>
  <c r="AE215" i="10"/>
  <c r="AF215" i="10"/>
  <c r="AE216" i="10"/>
  <c r="AF216" i="10"/>
  <c r="AE217" i="10"/>
  <c r="AF217" i="10"/>
  <c r="AE218" i="10"/>
  <c r="AF218" i="10"/>
  <c r="AE219" i="10"/>
  <c r="AF219" i="10"/>
  <c r="AE220" i="10"/>
  <c r="AF220" i="10"/>
  <c r="AE221" i="10"/>
  <c r="AF221" i="10"/>
  <c r="AE222" i="10"/>
  <c r="AF222" i="10"/>
  <c r="AE223" i="10"/>
  <c r="AF223" i="10"/>
  <c r="AE224" i="10"/>
  <c r="AF224" i="10"/>
  <c r="AE225" i="10"/>
  <c r="AF225" i="10"/>
  <c r="AE226" i="10"/>
  <c r="AF226" i="10"/>
  <c r="AE227" i="10"/>
  <c r="AF227" i="10"/>
  <c r="AE228" i="10"/>
  <c r="AF228" i="10"/>
  <c r="AE229" i="10"/>
  <c r="AF229" i="10"/>
  <c r="AE230" i="10"/>
  <c r="AF230" i="10"/>
  <c r="AE231" i="10"/>
  <c r="AF231" i="10"/>
  <c r="AE232" i="10"/>
  <c r="AF232" i="10"/>
  <c r="AE233" i="10"/>
  <c r="AF233" i="10"/>
  <c r="AE234" i="10"/>
  <c r="AF234" i="10"/>
  <c r="AE235" i="10"/>
  <c r="AF235" i="10"/>
  <c r="AE236" i="10"/>
  <c r="AF236" i="10"/>
  <c r="AE237" i="10"/>
  <c r="AF237" i="10"/>
  <c r="AE238" i="10"/>
  <c r="AF238" i="10"/>
  <c r="AE239" i="10"/>
  <c r="AF239" i="10"/>
  <c r="AE240" i="10"/>
  <c r="AF240" i="10"/>
  <c r="AE241" i="10"/>
  <c r="AF241" i="10"/>
  <c r="AE242" i="10"/>
  <c r="AF242" i="10"/>
  <c r="AE243" i="10"/>
  <c r="AF243" i="10"/>
  <c r="AE244" i="10"/>
  <c r="AF244" i="10"/>
  <c r="AE245" i="10"/>
  <c r="AF245" i="10"/>
  <c r="AE246" i="10"/>
  <c r="AF246" i="10"/>
  <c r="AE247" i="10"/>
  <c r="AF247" i="10"/>
  <c r="AE248" i="10"/>
  <c r="AF248" i="10"/>
  <c r="AE249" i="10"/>
  <c r="AF249" i="10"/>
  <c r="AE250" i="10"/>
  <c r="AF250" i="10"/>
  <c r="AE251" i="10"/>
  <c r="AF251" i="10"/>
  <c r="AE252" i="10"/>
  <c r="AF252" i="10"/>
  <c r="AE253" i="10"/>
  <c r="AF253" i="10"/>
  <c r="AE254" i="10"/>
  <c r="AF254" i="10"/>
  <c r="AE255" i="10"/>
  <c r="AF255" i="10"/>
  <c r="AE256" i="10"/>
  <c r="AF256" i="10"/>
  <c r="AE257" i="10"/>
  <c r="AF257" i="10"/>
  <c r="AE258" i="10"/>
  <c r="AF258" i="10"/>
  <c r="AE259" i="10"/>
  <c r="AF259" i="10"/>
  <c r="AE260" i="10"/>
  <c r="AF260" i="10"/>
  <c r="AE261" i="10"/>
  <c r="AF261" i="10"/>
  <c r="AE262" i="10"/>
  <c r="AF262" i="10"/>
  <c r="AE263" i="10"/>
  <c r="AF263" i="10"/>
  <c r="AE264" i="10"/>
  <c r="AF264" i="10"/>
  <c r="AE265" i="10"/>
  <c r="AF265" i="10"/>
  <c r="AE266" i="10"/>
  <c r="AF266" i="10"/>
  <c r="AE267" i="10"/>
  <c r="AF267" i="10"/>
  <c r="AE268" i="10"/>
  <c r="AF268" i="10"/>
  <c r="AE269" i="10"/>
  <c r="AF269" i="10"/>
  <c r="AE270" i="10"/>
  <c r="AF270" i="10"/>
  <c r="AE271" i="10"/>
  <c r="AF271" i="10"/>
  <c r="AE272" i="10"/>
  <c r="AF272" i="10"/>
  <c r="AE273" i="10"/>
  <c r="AF273" i="10"/>
  <c r="AE274" i="10"/>
  <c r="AF274" i="10"/>
  <c r="AE275" i="10"/>
  <c r="AF275" i="10"/>
  <c r="AE276" i="10"/>
  <c r="AF276" i="10"/>
  <c r="AE277" i="10"/>
  <c r="AF277" i="10"/>
  <c r="AE278" i="10"/>
  <c r="AF278" i="10"/>
  <c r="AE279" i="10"/>
  <c r="AF279" i="10"/>
  <c r="AE280" i="10"/>
  <c r="AF280" i="10"/>
  <c r="AE281" i="10"/>
  <c r="AF281" i="10"/>
  <c r="AE282" i="10"/>
  <c r="AF282" i="10"/>
  <c r="AE283" i="10"/>
  <c r="AF283" i="10"/>
  <c r="AE284" i="10"/>
  <c r="AF284" i="10"/>
  <c r="AE285" i="10"/>
  <c r="AF285" i="10"/>
  <c r="AE286" i="10"/>
  <c r="AF286" i="10"/>
  <c r="AE287" i="10"/>
  <c r="AF287" i="10"/>
  <c r="AE288" i="10"/>
  <c r="AF288" i="10"/>
  <c r="AE289" i="10"/>
  <c r="AF289" i="10"/>
  <c r="AE290" i="10"/>
  <c r="AF290" i="10"/>
  <c r="AE291" i="10"/>
  <c r="AF291" i="10"/>
  <c r="AE292" i="10"/>
  <c r="AF292" i="10"/>
  <c r="AE293" i="10"/>
  <c r="AF293" i="10"/>
  <c r="AE294" i="10"/>
  <c r="AF294" i="10"/>
  <c r="AE295" i="10"/>
  <c r="AF295" i="10"/>
  <c r="AE296" i="10"/>
  <c r="AF296" i="10"/>
  <c r="AE297" i="10"/>
  <c r="AF297" i="10"/>
  <c r="AE298" i="10"/>
  <c r="AF298" i="10"/>
  <c r="AE299" i="10"/>
  <c r="AF299" i="10"/>
  <c r="AE300" i="10"/>
  <c r="AF300" i="10"/>
  <c r="AE301" i="10"/>
  <c r="AF301" i="10"/>
  <c r="AE302" i="10"/>
  <c r="AF302" i="10"/>
  <c r="AE304" i="10"/>
  <c r="AF304" i="10"/>
  <c r="AE312" i="10"/>
  <c r="AF312" i="10"/>
  <c r="AE314" i="10"/>
  <c r="AF314" i="10"/>
  <c r="AE321" i="10"/>
  <c r="AF321" i="10"/>
  <c r="AE323" i="10"/>
  <c r="AF323" i="10"/>
  <c r="AE329" i="10"/>
  <c r="AF329" i="10"/>
  <c r="AE337" i="10"/>
  <c r="AF337" i="10"/>
  <c r="AE338" i="10"/>
  <c r="AF338" i="10"/>
  <c r="AE344" i="10"/>
  <c r="AF344" i="10"/>
  <c r="AE346" i="10"/>
  <c r="AF346" i="10"/>
  <c r="AF352" i="10"/>
  <c r="AE352" i="10"/>
  <c r="AE353" i="10"/>
  <c r="AF353" i="10"/>
  <c r="AE356" i="10"/>
  <c r="AF356" i="10"/>
  <c r="AF359" i="10"/>
  <c r="AE359" i="10"/>
  <c r="AE360" i="10"/>
  <c r="AF360" i="10"/>
  <c r="AF362" i="10"/>
  <c r="AE362" i="10"/>
  <c r="AE363" i="10"/>
  <c r="AF363" i="10"/>
  <c r="AE365" i="10"/>
  <c r="AF365" i="10"/>
  <c r="AE367" i="10"/>
  <c r="AF367" i="10"/>
  <c r="AE370" i="10"/>
  <c r="AF370" i="10"/>
  <c r="AE375" i="10"/>
  <c r="AF375" i="10"/>
  <c r="AE377" i="10"/>
  <c r="AF377" i="10"/>
  <c r="AE390" i="10"/>
  <c r="AF390" i="10"/>
  <c r="AE391" i="10"/>
  <c r="AF391" i="10"/>
  <c r="AE392" i="10"/>
  <c r="AF392" i="10"/>
  <c r="AE396" i="10"/>
  <c r="AF396" i="10"/>
  <c r="AE399" i="10"/>
  <c r="AF399" i="10"/>
  <c r="AE401" i="10"/>
  <c r="AF401" i="10"/>
  <c r="AE405" i="10"/>
  <c r="AF405" i="10"/>
  <c r="AE406" i="10"/>
  <c r="AF406" i="10"/>
  <c r="AE408" i="10"/>
  <c r="AF408" i="10"/>
  <c r="AE409" i="10"/>
  <c r="AF409" i="10"/>
  <c r="AE306" i="10"/>
  <c r="AF306" i="10"/>
  <c r="AE307" i="10"/>
  <c r="AF307" i="10"/>
  <c r="AE311" i="10"/>
  <c r="AF311" i="10"/>
  <c r="AE315" i="10"/>
  <c r="AF315" i="10"/>
  <c r="AE316" i="10"/>
  <c r="AF316" i="10"/>
  <c r="AE320" i="10"/>
  <c r="AF320" i="10"/>
  <c r="AE324" i="10"/>
  <c r="AF324" i="10"/>
  <c r="AE328" i="10"/>
  <c r="AF328" i="10"/>
  <c r="AE330" i="10"/>
  <c r="AF330" i="10"/>
  <c r="AF339" i="10"/>
  <c r="AE339" i="10"/>
  <c r="AE341" i="10"/>
  <c r="AF341" i="10"/>
  <c r="AE342" i="10"/>
  <c r="AF342" i="10"/>
  <c r="AE380" i="10"/>
  <c r="AF380" i="10"/>
  <c r="AE383" i="10"/>
  <c r="AF383" i="10"/>
  <c r="AE385" i="10"/>
  <c r="AF385" i="10"/>
  <c r="AE388" i="10"/>
  <c r="AF388" i="10"/>
  <c r="AE393" i="10"/>
  <c r="AF393" i="10"/>
  <c r="AE394" i="10"/>
  <c r="AF394" i="10"/>
  <c r="AE398" i="10"/>
  <c r="AF398" i="10"/>
  <c r="AE400" i="10"/>
  <c r="AF400" i="10"/>
  <c r="AE402" i="10"/>
  <c r="AF402" i="10"/>
  <c r="AE404" i="10"/>
  <c r="AF404" i="10"/>
  <c r="AE407" i="10"/>
  <c r="AF407" i="10"/>
  <c r="AF332" i="10"/>
  <c r="AE332" i="10"/>
  <c r="AF11" i="6"/>
  <c r="AE11" i="6"/>
  <c r="AF15" i="6"/>
  <c r="AE15" i="6"/>
  <c r="AF19" i="6"/>
  <c r="AE19" i="6"/>
  <c r="AE27" i="6"/>
  <c r="AF27" i="6"/>
  <c r="AE31" i="6"/>
  <c r="AF31" i="6"/>
  <c r="AE37" i="6"/>
  <c r="AF37" i="6"/>
  <c r="AE42" i="6"/>
  <c r="AF42" i="6"/>
  <c r="AE47" i="6"/>
  <c r="AF47" i="6"/>
  <c r="AE53" i="6"/>
  <c r="AF53" i="6"/>
  <c r="AE58" i="6"/>
  <c r="AF58" i="6"/>
  <c r="AE63" i="6"/>
  <c r="AF63" i="6"/>
  <c r="AE68" i="6"/>
  <c r="AF68" i="6"/>
  <c r="AE71" i="6"/>
  <c r="AF71" i="6"/>
  <c r="AE74" i="6"/>
  <c r="AF74" i="6"/>
  <c r="AE77" i="6"/>
  <c r="AF77" i="6"/>
  <c r="AE82" i="6"/>
  <c r="AF82" i="6"/>
  <c r="AE86" i="6"/>
  <c r="AF86" i="6"/>
  <c r="AE95" i="6"/>
  <c r="AF95" i="6"/>
  <c r="AE104" i="6"/>
  <c r="AF104" i="6"/>
  <c r="AE107" i="6"/>
  <c r="AF107" i="6"/>
  <c r="AE113" i="6"/>
  <c r="AF113" i="6"/>
  <c r="AE117" i="6"/>
  <c r="AF117" i="6"/>
  <c r="AE122" i="6"/>
  <c r="AF122" i="6"/>
  <c r="AE130" i="6"/>
  <c r="AF130" i="6"/>
  <c r="AE139" i="6"/>
  <c r="AF139" i="6"/>
  <c r="AE144" i="6"/>
  <c r="AF144" i="6"/>
  <c r="AE150" i="6"/>
  <c r="AF150" i="6"/>
  <c r="AE155" i="6"/>
  <c r="AF155" i="6"/>
  <c r="AE161" i="6"/>
  <c r="AF161" i="6"/>
  <c r="AE170" i="6"/>
  <c r="AF170" i="6"/>
  <c r="AE179" i="6"/>
  <c r="AF179" i="6"/>
  <c r="AE190" i="6"/>
  <c r="AF190" i="6"/>
  <c r="AE197" i="6"/>
  <c r="AF197" i="6"/>
  <c r="AE204" i="6"/>
  <c r="AF204" i="6"/>
  <c r="AF25" i="6"/>
  <c r="AE25" i="6"/>
  <c r="AE41" i="6"/>
  <c r="AF41" i="6"/>
  <c r="AE49" i="6"/>
  <c r="AF49" i="6"/>
  <c r="AE56" i="6"/>
  <c r="AF56" i="6"/>
  <c r="AE128" i="6"/>
  <c r="AF128" i="6"/>
  <c r="AE138" i="6"/>
  <c r="AF138" i="6"/>
  <c r="AE145" i="6"/>
  <c r="AF145" i="6"/>
  <c r="AE156" i="6"/>
  <c r="AF156" i="6"/>
  <c r="AE22" i="6"/>
  <c r="AF22" i="6"/>
  <c r="AE38" i="6"/>
  <c r="AF38" i="6"/>
  <c r="AE48" i="6"/>
  <c r="AF48" i="6"/>
  <c r="AE55" i="6"/>
  <c r="AF55" i="6"/>
  <c r="AE94" i="6"/>
  <c r="AF94" i="6"/>
  <c r="AE126" i="6"/>
  <c r="AF126" i="6"/>
  <c r="AE133" i="6"/>
  <c r="AF133" i="6"/>
  <c r="AE141" i="6"/>
  <c r="AF141" i="6"/>
  <c r="AE147" i="6"/>
  <c r="AF147" i="6"/>
  <c r="AE210" i="6"/>
  <c r="AF210" i="6"/>
  <c r="AE213" i="6"/>
  <c r="AF213" i="6"/>
  <c r="AE215" i="6"/>
  <c r="AF215" i="6"/>
  <c r="AE216" i="6"/>
  <c r="AF216" i="6"/>
  <c r="AE217" i="6"/>
  <c r="AF217" i="6"/>
  <c r="AE219" i="6"/>
  <c r="AF219" i="6"/>
  <c r="AE220" i="6"/>
  <c r="AF220" i="6"/>
  <c r="AE222" i="6"/>
  <c r="AF222" i="6"/>
  <c r="AE223" i="6"/>
  <c r="AF223" i="6"/>
  <c r="AE225" i="6"/>
  <c r="AF225" i="6"/>
  <c r="AE226" i="6"/>
  <c r="AF226" i="6"/>
  <c r="AE229" i="6"/>
  <c r="AF229" i="6"/>
  <c r="AE230" i="6"/>
  <c r="AF230" i="6"/>
  <c r="AE239" i="6"/>
  <c r="AF239" i="6"/>
  <c r="AE241" i="6"/>
  <c r="AF241" i="6"/>
  <c r="AE242" i="6"/>
  <c r="AF242" i="6"/>
  <c r="AE247" i="6"/>
  <c r="AF247" i="6"/>
  <c r="AE248" i="6"/>
  <c r="AF248" i="6"/>
  <c r="AE249" i="6"/>
  <c r="AF249" i="6"/>
  <c r="AE252" i="6"/>
  <c r="AF252" i="6"/>
  <c r="AE253" i="6"/>
  <c r="AF253" i="6"/>
  <c r="AE254" i="6"/>
  <c r="AF254" i="6"/>
  <c r="AE255" i="6"/>
  <c r="AF255" i="6"/>
  <c r="AE257" i="6"/>
  <c r="AF257" i="6"/>
  <c r="AE262" i="6"/>
  <c r="AF262" i="6"/>
  <c r="AE263" i="6"/>
  <c r="AF263" i="6"/>
  <c r="AE265" i="6"/>
  <c r="AF265" i="6"/>
  <c r="AE267" i="6"/>
  <c r="AF267" i="6"/>
  <c r="AE268" i="6"/>
  <c r="AF268" i="6"/>
  <c r="AE271" i="6"/>
  <c r="AF271" i="6"/>
  <c r="AE272" i="6"/>
  <c r="AF272" i="6"/>
  <c r="AE273" i="6"/>
  <c r="AF273" i="6"/>
  <c r="AE274" i="6"/>
  <c r="AF274" i="6"/>
  <c r="AE276" i="6"/>
  <c r="AF276" i="6"/>
  <c r="AE277" i="6"/>
  <c r="AF277" i="6"/>
  <c r="AE278" i="6"/>
  <c r="AF278" i="6"/>
  <c r="AE280" i="6"/>
  <c r="AF280" i="6"/>
  <c r="AE282" i="6"/>
  <c r="AF282" i="6"/>
  <c r="AE284" i="6"/>
  <c r="AF284" i="6"/>
  <c r="AE285" i="6"/>
  <c r="AF285" i="6"/>
  <c r="AE286" i="6"/>
  <c r="AF286" i="6"/>
  <c r="AE288" i="6"/>
  <c r="AF288" i="6"/>
  <c r="AE290" i="6"/>
  <c r="AF290" i="6"/>
  <c r="AE292" i="6"/>
  <c r="AF292" i="6"/>
  <c r="AE294" i="6"/>
  <c r="AF294" i="6"/>
  <c r="AE295" i="6"/>
  <c r="AF295" i="6"/>
  <c r="AE296" i="6"/>
  <c r="AF296" i="6"/>
  <c r="AE298" i="6"/>
  <c r="AF298" i="6"/>
  <c r="AE299" i="6"/>
  <c r="AF299" i="6"/>
  <c r="AE301" i="6"/>
  <c r="AF301" i="6"/>
  <c r="AE160" i="6"/>
  <c r="AF160" i="6"/>
  <c r="AE164" i="6"/>
  <c r="AF164" i="6"/>
  <c r="AE167" i="6"/>
  <c r="AF167" i="6"/>
  <c r="AE169" i="6"/>
  <c r="AF169" i="6"/>
  <c r="AE172" i="6"/>
  <c r="AF172" i="6"/>
  <c r="AE175" i="6"/>
  <c r="AF175" i="6"/>
  <c r="AE176" i="6"/>
  <c r="AF176" i="6"/>
  <c r="AE177" i="6"/>
  <c r="AF177" i="6"/>
  <c r="AE178" i="6"/>
  <c r="AF178" i="6"/>
  <c r="AE181" i="6"/>
  <c r="AF181" i="6"/>
  <c r="AE182" i="6"/>
  <c r="AF182" i="6"/>
  <c r="AE183" i="6"/>
  <c r="AF183" i="6"/>
  <c r="AE186" i="6"/>
  <c r="AF186" i="6"/>
  <c r="AE188" i="6"/>
  <c r="AF188" i="6"/>
  <c r="AE189" i="6"/>
  <c r="AF189" i="6"/>
  <c r="AE191" i="6"/>
  <c r="AF191" i="6"/>
  <c r="AE192" i="6"/>
  <c r="AF192" i="6"/>
  <c r="AE196" i="6"/>
  <c r="AF196" i="6"/>
  <c r="AE198" i="6"/>
  <c r="AF198" i="6"/>
  <c r="AE199" i="6"/>
  <c r="AF199" i="6"/>
  <c r="AE200" i="6"/>
  <c r="AF200" i="6"/>
  <c r="AE203" i="6"/>
  <c r="AF203" i="6"/>
  <c r="AE205" i="6"/>
  <c r="AF205" i="6"/>
  <c r="AE206" i="6"/>
  <c r="AF206" i="6"/>
  <c r="AE211" i="6"/>
  <c r="AF211" i="6"/>
  <c r="AE212" i="6"/>
  <c r="AF212" i="6"/>
  <c r="AE214" i="6"/>
  <c r="AF214" i="6"/>
  <c r="AE218" i="6"/>
  <c r="AF218" i="6"/>
  <c r="AE221" i="6"/>
  <c r="AF221" i="6"/>
  <c r="AE224" i="6"/>
  <c r="AF224" i="6"/>
  <c r="AE227" i="6"/>
  <c r="AF227" i="6"/>
  <c r="AE228" i="6"/>
  <c r="AF228" i="6"/>
  <c r="AE231" i="6"/>
  <c r="AF231" i="6"/>
  <c r="AE232" i="6"/>
  <c r="AF232" i="6"/>
  <c r="AE233" i="6"/>
  <c r="AF233" i="6"/>
  <c r="AE234" i="6"/>
  <c r="AF234" i="6"/>
  <c r="AE235" i="6"/>
  <c r="AF235" i="6"/>
  <c r="AE236" i="6"/>
  <c r="AF236" i="6"/>
  <c r="AE237" i="6"/>
  <c r="AF237" i="6"/>
  <c r="AE238" i="6"/>
  <c r="AF238" i="6"/>
  <c r="AE240" i="6"/>
  <c r="AF240" i="6"/>
  <c r="AE243" i="6"/>
  <c r="AF243" i="6"/>
  <c r="AE244" i="6"/>
  <c r="AF244" i="6"/>
  <c r="AE245" i="6"/>
  <c r="AF245" i="6"/>
  <c r="AE246" i="6"/>
  <c r="AF246" i="6"/>
  <c r="AE250" i="6"/>
  <c r="AF250" i="6"/>
  <c r="AE251" i="6"/>
  <c r="AF251" i="6"/>
  <c r="AE256" i="6"/>
  <c r="AF256" i="6"/>
  <c r="AE258" i="6"/>
  <c r="AF258" i="6"/>
  <c r="AE259" i="6"/>
  <c r="AF259" i="6"/>
  <c r="AE260" i="6"/>
  <c r="AF260" i="6"/>
  <c r="AE261" i="6"/>
  <c r="AF261" i="6"/>
  <c r="AE264" i="6"/>
  <c r="AF264" i="6"/>
  <c r="AE266" i="6"/>
  <c r="AF266" i="6"/>
  <c r="AE269" i="6"/>
  <c r="AF269" i="6"/>
  <c r="AE270" i="6"/>
  <c r="AF270" i="6"/>
  <c r="AE275" i="6"/>
  <c r="AF275" i="6"/>
  <c r="AE279" i="6"/>
  <c r="AF279" i="6"/>
  <c r="AE281" i="6"/>
  <c r="AF281" i="6"/>
  <c r="AE283" i="6"/>
  <c r="AF283" i="6"/>
  <c r="AE287" i="6"/>
  <c r="AF287" i="6"/>
  <c r="AE289" i="6"/>
  <c r="AF289" i="6"/>
  <c r="AE291" i="6"/>
  <c r="AF291" i="6"/>
  <c r="AE293" i="6"/>
  <c r="AF293" i="6"/>
  <c r="AE297" i="6"/>
  <c r="AF297" i="6"/>
  <c r="AE300" i="6"/>
  <c r="AF300" i="6"/>
  <c r="AE302" i="6"/>
  <c r="AF302" i="6"/>
  <c r="AE303" i="6"/>
  <c r="AF303" i="6"/>
  <c r="AE304" i="6"/>
  <c r="AF304" i="6"/>
  <c r="AE305" i="6"/>
  <c r="AF305" i="6"/>
  <c r="AE306" i="6"/>
  <c r="AF306" i="6"/>
  <c r="AE307" i="6"/>
  <c r="AF307" i="6"/>
  <c r="AE308" i="6"/>
  <c r="AF308" i="6"/>
  <c r="AE309" i="6"/>
  <c r="AF309" i="6"/>
  <c r="AE310" i="6"/>
  <c r="AF310" i="6"/>
  <c r="AE311" i="6"/>
  <c r="AF311" i="6"/>
  <c r="AE312" i="6"/>
  <c r="AF312" i="6"/>
  <c r="AE313" i="6"/>
  <c r="AF313" i="6"/>
  <c r="AE314" i="6"/>
  <c r="AF314" i="6"/>
  <c r="AE315" i="6"/>
  <c r="AF315" i="6"/>
  <c r="AE316" i="6"/>
  <c r="AF316" i="6"/>
  <c r="AE317" i="6"/>
  <c r="AF317" i="6"/>
  <c r="AE318" i="6"/>
  <c r="AF318" i="6"/>
  <c r="AE319" i="6"/>
  <c r="AF319" i="6"/>
  <c r="AE320" i="6"/>
  <c r="AF320" i="6"/>
  <c r="AE321" i="6"/>
  <c r="AF321" i="6"/>
  <c r="AE322" i="6"/>
  <c r="AF322" i="6"/>
  <c r="AE323" i="6"/>
  <c r="AF323" i="6"/>
  <c r="AE324" i="6"/>
  <c r="AF324" i="6"/>
  <c r="AE325" i="6"/>
  <c r="AF325" i="6"/>
  <c r="AE326" i="6"/>
  <c r="AF326" i="6"/>
  <c r="AE327" i="6"/>
  <c r="AF327" i="6"/>
  <c r="AE328" i="6"/>
  <c r="AF328" i="6"/>
  <c r="AE329" i="6"/>
  <c r="AF329" i="6"/>
  <c r="AE330" i="6"/>
  <c r="AF330" i="6"/>
  <c r="AE331" i="6"/>
  <c r="AF331" i="6"/>
  <c r="AE332" i="6"/>
  <c r="AF332" i="6"/>
  <c r="AE333" i="6"/>
  <c r="AF333" i="6"/>
  <c r="AE334" i="6"/>
  <c r="AF334" i="6"/>
  <c r="AE335" i="6"/>
  <c r="AF335" i="6"/>
  <c r="AE336" i="6"/>
  <c r="AF336" i="6"/>
  <c r="AE337" i="6"/>
  <c r="AF337" i="6"/>
  <c r="AE338" i="6"/>
  <c r="AF338" i="6"/>
  <c r="AE339" i="6"/>
  <c r="AF339" i="6"/>
  <c r="AE340" i="6"/>
  <c r="AF340" i="6"/>
  <c r="AE341" i="6"/>
  <c r="AF341" i="6"/>
  <c r="AE342" i="6"/>
  <c r="AF342" i="6"/>
  <c r="AE343" i="6"/>
  <c r="AF343" i="6"/>
  <c r="AE344" i="6"/>
  <c r="AF344" i="6"/>
  <c r="AE345" i="6"/>
  <c r="AF345" i="6"/>
  <c r="AE346" i="6"/>
  <c r="AF346" i="6"/>
  <c r="AE347" i="6"/>
  <c r="AF347" i="6"/>
  <c r="AE348" i="6"/>
  <c r="AF348" i="6"/>
  <c r="AE349" i="6"/>
  <c r="AF349" i="6"/>
  <c r="AE350" i="6"/>
  <c r="AF350" i="6"/>
  <c r="AE351" i="6"/>
  <c r="AF351" i="6"/>
  <c r="AE352" i="6"/>
  <c r="AF352" i="6"/>
  <c r="AE353" i="6"/>
  <c r="AF353" i="6"/>
  <c r="AE354" i="6"/>
  <c r="AF354" i="6"/>
  <c r="AE355" i="6"/>
  <c r="AF355" i="6"/>
  <c r="AE356" i="6"/>
  <c r="AF356" i="6"/>
  <c r="AE357" i="6"/>
  <c r="AF357" i="6"/>
  <c r="AE358" i="6"/>
  <c r="AF358" i="6"/>
  <c r="AE359" i="6"/>
  <c r="AF359" i="6"/>
  <c r="AE360" i="6"/>
  <c r="AF360" i="6"/>
  <c r="AE361" i="6"/>
  <c r="AF361" i="6"/>
  <c r="AE362" i="6"/>
  <c r="AF362" i="6"/>
  <c r="AE363" i="6"/>
  <c r="AF363" i="6"/>
  <c r="AE364" i="6"/>
  <c r="AF364" i="6"/>
  <c r="AE365" i="6"/>
  <c r="AF365" i="6"/>
  <c r="AE366" i="6"/>
  <c r="AF366" i="6"/>
  <c r="AE367" i="6"/>
  <c r="AF367" i="6"/>
  <c r="AE368" i="6"/>
  <c r="AF368" i="6"/>
  <c r="AE369" i="6"/>
  <c r="AF369" i="6"/>
  <c r="AE370" i="6"/>
  <c r="AF370" i="6"/>
  <c r="AE371" i="6"/>
  <c r="AF371" i="6"/>
  <c r="AE372" i="6"/>
  <c r="AF372" i="6"/>
  <c r="AE373" i="6"/>
  <c r="AF373" i="6"/>
  <c r="AE374" i="6"/>
  <c r="AF374" i="6"/>
  <c r="AE375" i="6"/>
  <c r="AF375" i="6"/>
  <c r="AE376" i="6"/>
  <c r="AF376" i="6"/>
  <c r="AE377" i="6"/>
  <c r="AF377" i="6"/>
  <c r="AE378" i="6"/>
  <c r="AF378" i="6"/>
  <c r="AE379" i="6"/>
  <c r="AF379" i="6"/>
  <c r="AE380" i="6"/>
  <c r="AF380" i="6"/>
  <c r="AE381" i="6"/>
  <c r="AF381" i="6"/>
  <c r="AE382" i="6"/>
  <c r="AF382" i="6"/>
  <c r="AE383" i="6"/>
  <c r="AF383" i="6"/>
  <c r="AE384" i="6"/>
  <c r="AF384" i="6"/>
  <c r="AE385" i="6"/>
  <c r="AF385" i="6"/>
  <c r="AE386" i="6"/>
  <c r="AF386" i="6"/>
  <c r="AE387" i="6"/>
  <c r="AF387" i="6"/>
  <c r="AE388" i="6"/>
  <c r="AF388" i="6"/>
  <c r="AE389" i="6"/>
  <c r="AF389" i="6"/>
  <c r="AE390" i="6"/>
  <c r="AF390" i="6"/>
  <c r="AE391" i="6"/>
  <c r="AF391" i="6"/>
  <c r="AE392" i="6"/>
  <c r="AF392" i="6"/>
  <c r="AE393" i="6"/>
  <c r="AF393" i="6"/>
  <c r="AE394" i="6"/>
  <c r="AF394" i="6"/>
  <c r="AE395" i="6"/>
  <c r="AF395" i="6"/>
  <c r="AE396" i="6"/>
  <c r="AF396" i="6"/>
  <c r="AE397" i="6"/>
  <c r="AF397" i="6"/>
  <c r="AE398" i="6"/>
  <c r="AF398" i="6"/>
  <c r="AE399" i="6"/>
  <c r="AF399" i="6"/>
  <c r="AE400" i="6"/>
  <c r="AF400" i="6"/>
  <c r="AE401" i="6"/>
  <c r="AF401" i="6"/>
  <c r="AE402" i="6"/>
  <c r="AF402" i="6"/>
  <c r="AE403" i="6"/>
  <c r="AF403" i="6"/>
  <c r="AE404" i="6"/>
  <c r="AF404" i="6"/>
  <c r="AE405" i="6"/>
  <c r="AF405" i="6"/>
  <c r="AE406" i="6"/>
  <c r="AF406" i="6"/>
  <c r="AE407" i="6"/>
  <c r="AF407" i="6"/>
  <c r="AE408" i="6"/>
  <c r="AF408" i="6"/>
  <c r="AE409" i="6"/>
  <c r="AF409" i="6"/>
  <c r="AE410" i="6"/>
  <c r="AF410" i="6"/>
  <c r="AE411" i="6"/>
  <c r="AF411" i="6"/>
  <c r="AE412" i="6"/>
  <c r="AF412" i="6"/>
  <c r="AE413" i="6"/>
  <c r="AF413" i="6"/>
  <c r="AE414" i="6"/>
  <c r="AF414" i="6"/>
  <c r="AE415" i="6"/>
  <c r="AF415" i="6"/>
  <c r="AE416" i="6"/>
  <c r="AF416" i="6"/>
  <c r="AE417" i="6"/>
  <c r="AF417" i="6"/>
  <c r="AE418" i="6"/>
  <c r="AF418" i="6"/>
  <c r="AE419" i="6"/>
  <c r="AF419" i="6"/>
  <c r="AE420" i="6"/>
  <c r="AF420" i="6"/>
  <c r="AE421" i="6"/>
  <c r="AF421" i="6"/>
  <c r="AE422" i="6"/>
  <c r="AF422" i="6"/>
  <c r="AE423" i="6"/>
  <c r="AF423" i="6"/>
  <c r="AE424" i="6"/>
  <c r="AF424" i="6"/>
  <c r="AE425" i="6"/>
  <c r="AF425" i="6"/>
  <c r="AE426" i="6"/>
  <c r="AF426" i="6"/>
  <c r="AE427" i="6"/>
  <c r="AF427" i="6"/>
  <c r="AE428" i="6"/>
  <c r="AF428" i="6"/>
  <c r="AE429" i="6"/>
  <c r="AF429" i="6"/>
  <c r="AE430" i="6"/>
  <c r="AF430" i="6"/>
  <c r="AE431" i="6"/>
  <c r="AF431" i="6"/>
  <c r="AE432" i="6"/>
  <c r="AF432" i="6"/>
  <c r="AE433" i="6"/>
  <c r="AF433" i="6"/>
  <c r="AE434" i="6"/>
  <c r="AF434" i="6"/>
  <c r="AE435" i="6"/>
  <c r="AF435" i="6"/>
  <c r="AE436" i="6"/>
  <c r="AF436" i="6"/>
  <c r="AE437" i="6"/>
  <c r="AF437" i="6"/>
  <c r="AE438" i="6"/>
  <c r="AF438" i="6"/>
  <c r="AE439" i="6"/>
  <c r="AF439" i="6"/>
  <c r="AE440" i="6"/>
  <c r="AF440" i="6"/>
  <c r="AE441" i="6"/>
  <c r="AF441" i="6"/>
  <c r="AE442" i="6"/>
  <c r="AF442" i="6"/>
  <c r="AE443" i="6"/>
  <c r="AF443" i="6"/>
  <c r="AE444" i="6"/>
  <c r="AF444" i="6"/>
  <c r="AE445" i="6"/>
  <c r="AF445" i="6"/>
  <c r="AE446" i="6"/>
  <c r="AF446" i="6"/>
  <c r="AE447" i="6"/>
  <c r="AF447" i="6"/>
  <c r="AE448" i="6"/>
  <c r="AF448" i="6"/>
  <c r="AE449" i="6"/>
  <c r="AF449" i="6"/>
  <c r="AE450" i="6"/>
  <c r="AF450" i="6"/>
  <c r="AE451" i="6"/>
  <c r="AF451" i="6"/>
  <c r="AE452" i="6"/>
  <c r="AF452" i="6"/>
  <c r="AE453" i="6"/>
  <c r="AF453" i="6"/>
  <c r="AE454" i="6"/>
  <c r="AF454" i="6"/>
  <c r="AE455" i="6"/>
  <c r="AF455" i="6"/>
  <c r="AE456" i="6"/>
  <c r="AF456" i="6"/>
  <c r="AE457" i="6"/>
  <c r="AF457" i="6"/>
  <c r="AE458" i="6"/>
  <c r="AF458" i="6"/>
  <c r="AE459" i="6"/>
  <c r="AF459" i="6"/>
  <c r="AE460" i="6"/>
  <c r="AF460" i="6"/>
  <c r="AE461" i="6"/>
  <c r="AF461" i="6"/>
  <c r="AE462" i="6"/>
  <c r="AF462" i="6"/>
  <c r="AE463" i="6"/>
  <c r="AF463" i="6"/>
  <c r="AE464" i="6"/>
  <c r="AF464" i="6"/>
  <c r="AE465" i="6"/>
  <c r="AF465" i="6"/>
  <c r="AE466" i="6"/>
  <c r="AF466" i="6"/>
  <c r="AE467" i="6"/>
  <c r="AF467" i="6"/>
  <c r="AE468" i="6"/>
  <c r="AF468" i="6"/>
  <c r="AE469" i="6"/>
  <c r="AF469" i="6"/>
  <c r="AE470" i="6"/>
  <c r="AF470" i="6"/>
  <c r="AE471" i="6"/>
  <c r="AF471" i="6"/>
  <c r="AE472" i="6"/>
  <c r="AF472" i="6"/>
  <c r="AE474" i="6"/>
  <c r="AF474" i="6"/>
  <c r="AE475" i="6"/>
  <c r="AF475" i="6"/>
  <c r="AE476" i="6"/>
  <c r="AF476" i="6"/>
  <c r="AE477" i="6"/>
  <c r="AF477" i="6"/>
  <c r="AE478" i="6"/>
  <c r="AF478" i="6"/>
  <c r="AE479" i="6"/>
  <c r="AF479" i="6"/>
  <c r="AE480" i="6"/>
  <c r="AF480" i="6"/>
  <c r="AE481" i="6"/>
  <c r="AF481" i="6"/>
  <c r="AF473" i="6"/>
  <c r="AE473" i="6"/>
  <c r="AD211" i="14"/>
  <c r="AD347" i="10"/>
  <c r="AD348" i="10"/>
  <c r="AD395" i="10"/>
  <c r="AD313" i="10"/>
  <c r="AD335" i="10"/>
  <c r="AD11" i="10"/>
  <c r="AD12" i="10"/>
  <c r="AD13" i="10"/>
  <c r="AD14" i="10"/>
  <c r="AD15" i="10"/>
  <c r="AD16" i="10"/>
  <c r="AD17" i="10"/>
  <c r="AD18" i="10"/>
  <c r="AD19" i="10"/>
  <c r="AD21" i="10"/>
  <c r="AD22" i="10"/>
  <c r="AD23" i="10"/>
  <c r="AD24" i="10"/>
  <c r="AD26" i="10"/>
  <c r="AD28" i="10"/>
  <c r="AD30" i="10"/>
  <c r="AD32" i="10"/>
  <c r="AD34" i="10"/>
  <c r="AD36" i="10"/>
  <c r="AD38" i="10"/>
  <c r="AD40" i="10"/>
  <c r="AD42" i="10"/>
  <c r="AD44" i="10"/>
  <c r="AD46" i="10"/>
  <c r="AD47" i="10"/>
  <c r="AD49" i="10"/>
  <c r="AD51" i="10"/>
  <c r="AD53" i="10"/>
  <c r="AD55" i="10"/>
  <c r="AD57" i="10"/>
  <c r="AD59" i="10"/>
  <c r="AD61" i="10"/>
  <c r="AD63" i="10"/>
  <c r="AD65" i="10"/>
  <c r="AD67" i="10"/>
  <c r="AD354" i="10"/>
  <c r="AD364" i="10"/>
  <c r="AD368" i="10"/>
  <c r="AD379" i="10"/>
  <c r="AD397" i="10"/>
  <c r="AD303" i="10"/>
  <c r="AD310" i="10"/>
  <c r="AD322" i="10"/>
  <c r="AD336" i="10"/>
  <c r="AD345" i="10"/>
  <c r="AD349" i="10"/>
  <c r="AD355" i="10"/>
  <c r="AD372" i="10"/>
  <c r="AD374" i="10"/>
  <c r="AD20" i="10"/>
  <c r="AD25" i="10"/>
  <c r="AD27" i="10"/>
  <c r="AD29" i="10"/>
  <c r="AD31" i="10"/>
  <c r="AD33" i="10"/>
  <c r="AD35" i="10"/>
  <c r="AD37" i="10"/>
  <c r="AD39" i="10"/>
  <c r="AD41" i="10"/>
  <c r="AD43" i="10"/>
  <c r="AD45" i="10"/>
  <c r="AD48" i="10"/>
  <c r="AD50" i="10"/>
  <c r="AD52" i="10"/>
  <c r="AD54" i="10"/>
  <c r="AD56" i="10"/>
  <c r="AD58" i="10"/>
  <c r="AD60" i="10"/>
  <c r="AD62" i="10"/>
  <c r="AD64" i="10"/>
  <c r="AD66" i="10"/>
  <c r="AD68" i="10"/>
  <c r="AD308" i="10"/>
  <c r="AD317" i="10"/>
  <c r="AD366" i="10"/>
  <c r="AD378" i="10"/>
  <c r="AD384" i="10"/>
  <c r="AD371" i="10"/>
  <c r="AD373" i="10"/>
  <c r="D26" i="7" l="1"/>
  <c r="G26" i="7" s="1"/>
  <c r="B8" i="7"/>
  <c r="B9" i="7"/>
  <c r="B13" i="7" s="1"/>
  <c r="B12" i="7"/>
  <c r="B15" i="7" s="1"/>
  <c r="H22" i="7" s="1"/>
  <c r="D23" i="7"/>
  <c r="G23" i="7" s="1"/>
  <c r="H23" i="7" s="1"/>
  <c r="D24" i="7"/>
  <c r="G24" i="7" s="1"/>
  <c r="D25" i="7"/>
  <c r="G25" i="7" s="1"/>
  <c r="D27" i="7"/>
  <c r="G27" i="7" s="1"/>
  <c r="E7" i="6"/>
  <c r="E8" i="6"/>
  <c r="AE211" i="14"/>
  <c r="AF211" i="14"/>
  <c r="AF347" i="10"/>
  <c r="AE347" i="10"/>
  <c r="AF348" i="10"/>
  <c r="AE348" i="10"/>
  <c r="AF395" i="10"/>
  <c r="AE395" i="10"/>
  <c r="AF313" i="10"/>
  <c r="AE313" i="10"/>
  <c r="AE335" i="10"/>
  <c r="AF335" i="10"/>
  <c r="AF11" i="10"/>
  <c r="AE11" i="10"/>
  <c r="AF12" i="10"/>
  <c r="AE12" i="10"/>
  <c r="AF13" i="10"/>
  <c r="AE13" i="10"/>
  <c r="AF14" i="10"/>
  <c r="AE14" i="10"/>
  <c r="AF15" i="10"/>
  <c r="AE15" i="10"/>
  <c r="AF16" i="10"/>
  <c r="AE16" i="10"/>
  <c r="AF17" i="10"/>
  <c r="AE17" i="10"/>
  <c r="AF18" i="10"/>
  <c r="AE18" i="10"/>
  <c r="AF19" i="10"/>
  <c r="AE19" i="10"/>
  <c r="AF21" i="10"/>
  <c r="AE21" i="10"/>
  <c r="AF22" i="10"/>
  <c r="AE22" i="10"/>
  <c r="AF23" i="10"/>
  <c r="AE23" i="10"/>
  <c r="AF24" i="10"/>
  <c r="AE24" i="10"/>
  <c r="AF26" i="10"/>
  <c r="AE26" i="10"/>
  <c r="AF28" i="10"/>
  <c r="AE28" i="10"/>
  <c r="AF30" i="10"/>
  <c r="AE30" i="10"/>
  <c r="AF32" i="10"/>
  <c r="AE32" i="10"/>
  <c r="AF34" i="10"/>
  <c r="AE34" i="10"/>
  <c r="AF36" i="10"/>
  <c r="AE36" i="10"/>
  <c r="AF38" i="10"/>
  <c r="AE38" i="10"/>
  <c r="AF40" i="10"/>
  <c r="AE40" i="10"/>
  <c r="AF42" i="10"/>
  <c r="AE42" i="10"/>
  <c r="AF44" i="10"/>
  <c r="AE44" i="10"/>
  <c r="AF46" i="10"/>
  <c r="AE46" i="10"/>
  <c r="AF47" i="10"/>
  <c r="AE47" i="10"/>
  <c r="AF49" i="10"/>
  <c r="AE49" i="10"/>
  <c r="AF51" i="10"/>
  <c r="AE51" i="10"/>
  <c r="AF53" i="10"/>
  <c r="AE53" i="10"/>
  <c r="AF55" i="10"/>
  <c r="AE55" i="10"/>
  <c r="AF57" i="10"/>
  <c r="AE57" i="10"/>
  <c r="AF59" i="10"/>
  <c r="AE59" i="10"/>
  <c r="AF61" i="10"/>
  <c r="AE61" i="10"/>
  <c r="AF63" i="10"/>
  <c r="AE63" i="10"/>
  <c r="AF65" i="10"/>
  <c r="AE65" i="10"/>
  <c r="AF67" i="10"/>
  <c r="AE67" i="10"/>
  <c r="AF354" i="10"/>
  <c r="AE354" i="10"/>
  <c r="AF364" i="10"/>
  <c r="AE364" i="10"/>
  <c r="AF368" i="10"/>
  <c r="AE368" i="10"/>
  <c r="AF379" i="10"/>
  <c r="AE379" i="10"/>
  <c r="AF397" i="10"/>
  <c r="AE397" i="10"/>
  <c r="AF303" i="10"/>
  <c r="AE303" i="10"/>
  <c r="AF310" i="10"/>
  <c r="AE310" i="10"/>
  <c r="AF322" i="10"/>
  <c r="AE322" i="10"/>
  <c r="AF336" i="10"/>
  <c r="AE336" i="10"/>
  <c r="AF345" i="10"/>
  <c r="AE345" i="10"/>
  <c r="AE349" i="10"/>
  <c r="AF349" i="10"/>
  <c r="AF355" i="10"/>
  <c r="AE355" i="10"/>
  <c r="AF372" i="10"/>
  <c r="AE372" i="10"/>
  <c r="AF374" i="10"/>
  <c r="AE374" i="10"/>
  <c r="AF20" i="10"/>
  <c r="AE20" i="10"/>
  <c r="AF25" i="10"/>
  <c r="AE25" i="10"/>
  <c r="AF27" i="10"/>
  <c r="AE27" i="10"/>
  <c r="AF29" i="10"/>
  <c r="AE29" i="10"/>
  <c r="AF31" i="10"/>
  <c r="AE31" i="10"/>
  <c r="AF33" i="10"/>
  <c r="AE33" i="10"/>
  <c r="AF35" i="10"/>
  <c r="AE35" i="10"/>
  <c r="AF37" i="10"/>
  <c r="AE37" i="10"/>
  <c r="AF39" i="10"/>
  <c r="AE39" i="10"/>
  <c r="AF41" i="10"/>
  <c r="AE41" i="10"/>
  <c r="AF43" i="10"/>
  <c r="AE43" i="10"/>
  <c r="AF45" i="10"/>
  <c r="AE45" i="10"/>
  <c r="AF48" i="10"/>
  <c r="AE48" i="10"/>
  <c r="AF50" i="10"/>
  <c r="AE50" i="10"/>
  <c r="AF52" i="10"/>
  <c r="AE52" i="10"/>
  <c r="AF54" i="10"/>
  <c r="AE54" i="10"/>
  <c r="AF56" i="10"/>
  <c r="AE56" i="10"/>
  <c r="AF58" i="10"/>
  <c r="AE58" i="10"/>
  <c r="AF60" i="10"/>
  <c r="AE60" i="10"/>
  <c r="AF62" i="10"/>
  <c r="AE62" i="10"/>
  <c r="AF64" i="10"/>
  <c r="AE64" i="10"/>
  <c r="AF66" i="10"/>
  <c r="AE66" i="10"/>
  <c r="AF68" i="10"/>
  <c r="AE68" i="10"/>
  <c r="AF308" i="10"/>
  <c r="AE308" i="10"/>
  <c r="AF317" i="10"/>
  <c r="AE317" i="10"/>
  <c r="AF366" i="10"/>
  <c r="AE366" i="10"/>
  <c r="AF378" i="10"/>
  <c r="AE378" i="10"/>
  <c r="AF384" i="10"/>
  <c r="AE384" i="10"/>
  <c r="AF371" i="10"/>
  <c r="AE371" i="10"/>
  <c r="AF373" i="10"/>
  <c r="AE373" i="10"/>
  <c r="E26" i="7" l="1"/>
  <c r="I26" i="7"/>
  <c r="H24" i="7"/>
  <c r="C34" i="7"/>
  <c r="E23" i="7"/>
  <c r="I23" i="7"/>
  <c r="E24" i="7"/>
  <c r="I24" i="7"/>
  <c r="E25" i="7"/>
  <c r="I25" i="7"/>
  <c r="E27" i="7"/>
  <c r="I27" i="7"/>
  <c r="AG201" i="6"/>
  <c r="AG193" i="6"/>
  <c r="AG185" i="6"/>
  <c r="AG180" i="6"/>
  <c r="AG168" i="6"/>
  <c r="AG152" i="6"/>
  <c r="AG148" i="6"/>
  <c r="AG142" i="6"/>
  <c r="AG137" i="6"/>
  <c r="AG134" i="6"/>
  <c r="AG124" i="6"/>
  <c r="AG121" i="6"/>
  <c r="AG110" i="6"/>
  <c r="AG103" i="6"/>
  <c r="AG97" i="6"/>
  <c r="AG87" i="6"/>
  <c r="AG84" i="6"/>
  <c r="AG75" i="6"/>
  <c r="AG72" i="6"/>
  <c r="AG69" i="6"/>
  <c r="AG59" i="6"/>
  <c r="AG43" i="6"/>
  <c r="AG36" i="6"/>
  <c r="AG28" i="6"/>
  <c r="AG207" i="6"/>
  <c r="AG173" i="6"/>
  <c r="AG163" i="6"/>
  <c r="AG158" i="6"/>
  <c r="AG116" i="6"/>
  <c r="AG112" i="6"/>
  <c r="AG100" i="6"/>
  <c r="AG93" i="6"/>
  <c r="AG91" i="6"/>
  <c r="AG80" i="6"/>
  <c r="AG78" i="6"/>
  <c r="AG67" i="6"/>
  <c r="AG64" i="6"/>
  <c r="AG51" i="6"/>
  <c r="AG45" i="6"/>
  <c r="AG24" i="6"/>
  <c r="AG17" i="6"/>
  <c r="AG13" i="6"/>
  <c r="AG473" i="6"/>
  <c r="AG481" i="6"/>
  <c r="AG480" i="6"/>
  <c r="AG479" i="6"/>
  <c r="AG478" i="6"/>
  <c r="AG477" i="6"/>
  <c r="AG476" i="6"/>
  <c r="AG475" i="6"/>
  <c r="AG474" i="6"/>
  <c r="AG472" i="6"/>
  <c r="AG471" i="6"/>
  <c r="AG470" i="6"/>
  <c r="AG469" i="6"/>
  <c r="AG468" i="6"/>
  <c r="AG467" i="6"/>
  <c r="AG466" i="6"/>
  <c r="AG465" i="6"/>
  <c r="AG464" i="6"/>
  <c r="AG463" i="6"/>
  <c r="AG462" i="6"/>
  <c r="AG461" i="6"/>
  <c r="AG460" i="6"/>
  <c r="AG459" i="6"/>
  <c r="AG458" i="6"/>
  <c r="AG457" i="6"/>
  <c r="AG456" i="6"/>
  <c r="AG455" i="6"/>
  <c r="AG454" i="6"/>
  <c r="AG453" i="6"/>
  <c r="AG452" i="6"/>
  <c r="AG451" i="6"/>
  <c r="AG450" i="6"/>
  <c r="AG449" i="6"/>
  <c r="AG448" i="6"/>
  <c r="AG447" i="6"/>
  <c r="AG446" i="6"/>
  <c r="AG445" i="6"/>
  <c r="AG444" i="6"/>
  <c r="AG443" i="6"/>
  <c r="AG442" i="6"/>
  <c r="AG441" i="6"/>
  <c r="AG440" i="6"/>
  <c r="AG439" i="6"/>
  <c r="AG438" i="6"/>
  <c r="AG437" i="6"/>
  <c r="AG436" i="6"/>
  <c r="AG435" i="6"/>
  <c r="AG434" i="6"/>
  <c r="AG433" i="6"/>
  <c r="AG432" i="6"/>
  <c r="AG431" i="6"/>
  <c r="AG430" i="6"/>
  <c r="AG429" i="6"/>
  <c r="AG428" i="6"/>
  <c r="AG427" i="6"/>
  <c r="AG426" i="6"/>
  <c r="AG425" i="6"/>
  <c r="AG424" i="6"/>
  <c r="AG423" i="6"/>
  <c r="AG422" i="6"/>
  <c r="AG421" i="6"/>
  <c r="AG420" i="6"/>
  <c r="AG419" i="6"/>
  <c r="AG418" i="6"/>
  <c r="AG417" i="6"/>
  <c r="AG416" i="6"/>
  <c r="AG415" i="6"/>
  <c r="AG414" i="6"/>
  <c r="AG413" i="6"/>
  <c r="AG412" i="6"/>
  <c r="AG411" i="6"/>
  <c r="AG410" i="6"/>
  <c r="AG409" i="6"/>
  <c r="AG408" i="6"/>
  <c r="AG407" i="6"/>
  <c r="AG406" i="6"/>
  <c r="AG405" i="6"/>
  <c r="AG404" i="6"/>
  <c r="AG403" i="6"/>
  <c r="AG402" i="6"/>
  <c r="AG401" i="6"/>
  <c r="AG400" i="6"/>
  <c r="AG399" i="6"/>
  <c r="AG398" i="6"/>
  <c r="AG397" i="6"/>
  <c r="AG396" i="6"/>
  <c r="AG395" i="6"/>
  <c r="AG394" i="6"/>
  <c r="AG393" i="6"/>
  <c r="AG392" i="6"/>
  <c r="AG391" i="6"/>
  <c r="AG390" i="6"/>
  <c r="AG389" i="6"/>
  <c r="AG388" i="6"/>
  <c r="AG387" i="6"/>
  <c r="AG386" i="6"/>
  <c r="AG385" i="6"/>
  <c r="AG384" i="6"/>
  <c r="AG383" i="6"/>
  <c r="AG382" i="6"/>
  <c r="AG381" i="6"/>
  <c r="AG380" i="6"/>
  <c r="AG379" i="6"/>
  <c r="AG378" i="6"/>
  <c r="AG377" i="6"/>
  <c r="AG376" i="6"/>
  <c r="AG375" i="6"/>
  <c r="AG374" i="6"/>
  <c r="AG373" i="6"/>
  <c r="AG372" i="6"/>
  <c r="AG371" i="6"/>
  <c r="AG370" i="6"/>
  <c r="AG369" i="6"/>
  <c r="AG368" i="6"/>
  <c r="AG367" i="6"/>
  <c r="AG366" i="6"/>
  <c r="AG365" i="6"/>
  <c r="AG364" i="6"/>
  <c r="AG363" i="6"/>
  <c r="AG362" i="6"/>
  <c r="AG361" i="6"/>
  <c r="AG360" i="6"/>
  <c r="AG359" i="6"/>
  <c r="AG358" i="6"/>
  <c r="AG357" i="6"/>
  <c r="AG356" i="6"/>
  <c r="AG355" i="6"/>
  <c r="AG354" i="6"/>
  <c r="AG353" i="6"/>
  <c r="AG352" i="6"/>
  <c r="AG351" i="6"/>
  <c r="AG350" i="6"/>
  <c r="AG349" i="6"/>
  <c r="AG348" i="6"/>
  <c r="AG347" i="6"/>
  <c r="AG346" i="6"/>
  <c r="AG345" i="6"/>
  <c r="AG344" i="6"/>
  <c r="AG343" i="6"/>
  <c r="AG342" i="6"/>
  <c r="AG341" i="6"/>
  <c r="AG340" i="6"/>
  <c r="AG339" i="6"/>
  <c r="AG338" i="6"/>
  <c r="AG337" i="6"/>
  <c r="AG336" i="6"/>
  <c r="AG335" i="6"/>
  <c r="AG334" i="6"/>
  <c r="AG333" i="6"/>
  <c r="AG332" i="6"/>
  <c r="AG331" i="6"/>
  <c r="AG330" i="6"/>
  <c r="AG329" i="6"/>
  <c r="AG328" i="6"/>
  <c r="AG327" i="6"/>
  <c r="AG326" i="6"/>
  <c r="AG325" i="6"/>
  <c r="AG324" i="6"/>
  <c r="AG323" i="6"/>
  <c r="AG322" i="6"/>
  <c r="AG321" i="6"/>
  <c r="AG320" i="6"/>
  <c r="AG319" i="6"/>
  <c r="AG318" i="6"/>
  <c r="AG317" i="6"/>
  <c r="AG316" i="6"/>
  <c r="AG315" i="6"/>
  <c r="AG314" i="6"/>
  <c r="AG313" i="6"/>
  <c r="AG312" i="6"/>
  <c r="AG311" i="6"/>
  <c r="AG310" i="6"/>
  <c r="AG309" i="6"/>
  <c r="AG308" i="6"/>
  <c r="AG307" i="6"/>
  <c r="AG306" i="6"/>
  <c r="AG305" i="6"/>
  <c r="AG304" i="6"/>
  <c r="AG303" i="6"/>
  <c r="AG302" i="6"/>
  <c r="AG300" i="6"/>
  <c r="AG297" i="6"/>
  <c r="AG293" i="6"/>
  <c r="AG291" i="6"/>
  <c r="AG289" i="6"/>
  <c r="AG287" i="6"/>
  <c r="AG283" i="6"/>
  <c r="AG281" i="6"/>
  <c r="AG279" i="6"/>
  <c r="AG275" i="6"/>
  <c r="AG270" i="6"/>
  <c r="AG269" i="6"/>
  <c r="AG266" i="6"/>
  <c r="AG264" i="6"/>
  <c r="AG261" i="6"/>
  <c r="AG260" i="6"/>
  <c r="AG259" i="6"/>
  <c r="AG258" i="6"/>
  <c r="AG256" i="6"/>
  <c r="AG251" i="6"/>
  <c r="AG250" i="6"/>
  <c r="AG246" i="6"/>
  <c r="AG245" i="6"/>
  <c r="AG244" i="6"/>
  <c r="AG243" i="6"/>
  <c r="AG240" i="6"/>
  <c r="AG238" i="6"/>
  <c r="AG237" i="6"/>
  <c r="AG236" i="6"/>
  <c r="AG235" i="6"/>
  <c r="AG234" i="6"/>
  <c r="AG233" i="6"/>
  <c r="AG232" i="6"/>
  <c r="AG231" i="6"/>
  <c r="AG228" i="6"/>
  <c r="AG227" i="6"/>
  <c r="AG224" i="6"/>
  <c r="AG221" i="6"/>
  <c r="AG218" i="6"/>
  <c r="AG214" i="6"/>
  <c r="AG212" i="6"/>
  <c r="AG211" i="6"/>
  <c r="AG206" i="6"/>
  <c r="AG205" i="6"/>
  <c r="AG203" i="6"/>
  <c r="AG200" i="6"/>
  <c r="AG199" i="6"/>
  <c r="AG198" i="6"/>
  <c r="AG196" i="6"/>
  <c r="AG192" i="6"/>
  <c r="AG191" i="6"/>
  <c r="AG189" i="6"/>
  <c r="AG188" i="6"/>
  <c r="AG186" i="6"/>
  <c r="AG183" i="6"/>
  <c r="AG182" i="6"/>
  <c r="AG181" i="6"/>
  <c r="AG178" i="6"/>
  <c r="AG177" i="6"/>
  <c r="AG176" i="6"/>
  <c r="AG175" i="6"/>
  <c r="AG172" i="6"/>
  <c r="AG169" i="6"/>
  <c r="AG167" i="6"/>
  <c r="AG164" i="6"/>
  <c r="AG160" i="6"/>
  <c r="AG301" i="6"/>
  <c r="AG299" i="6"/>
  <c r="AG298" i="6"/>
  <c r="AG296" i="6"/>
  <c r="AG295" i="6"/>
  <c r="AG294" i="6"/>
  <c r="AG292" i="6"/>
  <c r="AG290" i="6"/>
  <c r="AG288" i="6"/>
  <c r="AG286" i="6"/>
  <c r="AG285" i="6"/>
  <c r="AG284" i="6"/>
  <c r="AG282" i="6"/>
  <c r="AG280" i="6"/>
  <c r="AG278" i="6"/>
  <c r="AG277" i="6"/>
  <c r="AG276" i="6"/>
  <c r="AG265" i="6"/>
  <c r="AG262" i="6"/>
  <c r="AG253" i="6"/>
  <c r="AG225" i="6"/>
  <c r="AG222" i="6"/>
  <c r="AG216" i="6"/>
  <c r="AG213" i="6"/>
  <c r="AG94" i="6"/>
  <c r="AG48" i="6"/>
  <c r="AG22" i="6"/>
  <c r="AG145" i="6"/>
  <c r="AG128" i="6"/>
  <c r="AG161" i="6"/>
  <c r="AG139" i="6"/>
  <c r="AG122" i="6"/>
  <c r="AG113" i="6"/>
  <c r="AG104" i="6"/>
  <c r="AG71" i="6"/>
  <c r="AG53" i="6"/>
  <c r="AG42" i="6"/>
  <c r="AG15" i="6"/>
  <c r="AG274" i="6"/>
  <c r="AG271" i="6"/>
  <c r="AG267" i="6"/>
  <c r="AG263" i="6"/>
  <c r="AG255" i="6"/>
  <c r="AG254" i="6"/>
  <c r="AG249" i="6"/>
  <c r="AG241" i="6"/>
  <c r="AG239" i="6"/>
  <c r="AG229" i="6"/>
  <c r="AG219" i="6"/>
  <c r="AG38" i="6"/>
  <c r="AG56" i="6"/>
  <c r="AG25" i="6"/>
  <c r="AG204" i="6"/>
  <c r="AG190" i="6"/>
  <c r="AG155" i="6"/>
  <c r="AG130" i="6"/>
  <c r="AG117" i="6"/>
  <c r="AG107" i="6"/>
  <c r="AG86" i="6"/>
  <c r="AG77" i="6"/>
  <c r="AG47" i="6"/>
  <c r="AG37" i="6"/>
  <c r="AG31" i="6"/>
  <c r="AG27" i="6"/>
  <c r="AG273" i="6"/>
  <c r="AG272" i="6"/>
  <c r="AG268" i="6"/>
  <c r="AG257" i="6"/>
  <c r="AG252" i="6"/>
  <c r="AG248" i="6"/>
  <c r="AG242" i="6"/>
  <c r="AG226" i="6"/>
  <c r="AG223" i="6"/>
  <c r="AG220" i="6"/>
  <c r="AG217" i="6"/>
  <c r="AG147" i="6"/>
  <c r="AG133" i="6"/>
  <c r="AG156" i="6"/>
  <c r="AG138" i="6"/>
  <c r="AG49" i="6"/>
  <c r="AG170" i="6"/>
  <c r="AG144" i="6"/>
  <c r="AG82" i="6"/>
  <c r="AG63" i="6"/>
  <c r="AG19" i="6"/>
  <c r="AG247" i="6"/>
  <c r="AG230" i="6"/>
  <c r="AG215" i="6"/>
  <c r="AG210" i="6"/>
  <c r="AG141" i="6"/>
  <c r="AG126" i="6"/>
  <c r="AG55" i="6"/>
  <c r="AG41" i="6"/>
  <c r="AG197" i="6"/>
  <c r="AG179" i="6"/>
  <c r="AG150" i="6"/>
  <c r="AG95" i="6"/>
  <c r="AG74" i="6"/>
  <c r="AG68" i="6"/>
  <c r="AG58" i="6"/>
  <c r="AG151" i="6"/>
  <c r="AG143" i="6"/>
  <c r="AG136" i="6"/>
  <c r="AG129" i="6"/>
  <c r="AG120" i="6"/>
  <c r="AG50" i="6"/>
  <c r="AG44" i="6"/>
  <c r="AG34" i="6"/>
  <c r="AG30" i="6"/>
  <c r="AG20" i="6"/>
  <c r="AG209" i="6"/>
  <c r="AG202" i="6"/>
  <c r="AG194" i="6"/>
  <c r="AG184" i="6"/>
  <c r="AG171" i="6"/>
  <c r="AG166" i="6"/>
  <c r="AG162" i="6"/>
  <c r="AG157" i="6"/>
  <c r="AG154" i="6"/>
  <c r="AG149" i="6"/>
  <c r="AG140" i="6"/>
  <c r="AG131" i="6"/>
  <c r="AG127" i="6"/>
  <c r="AG123" i="6"/>
  <c r="AG118" i="6"/>
  <c r="AG114" i="6"/>
  <c r="AG111" i="6"/>
  <c r="AG108" i="6"/>
  <c r="AG105" i="6"/>
  <c r="AG102" i="6"/>
  <c r="AG99" i="6"/>
  <c r="AG96" i="6"/>
  <c r="AG89" i="6"/>
  <c r="AG85" i="6"/>
  <c r="AG83" i="6"/>
  <c r="AG73" i="6"/>
  <c r="AG70" i="6"/>
  <c r="AG65" i="6"/>
  <c r="AG61" i="6"/>
  <c r="AG57" i="6"/>
  <c r="AG52" i="6"/>
  <c r="AG39" i="6"/>
  <c r="AG33" i="6"/>
  <c r="AG26" i="6"/>
  <c r="AG21" i="6"/>
  <c r="AG18" i="6"/>
  <c r="AG14" i="6"/>
  <c r="AG208" i="6"/>
  <c r="AG195" i="6"/>
  <c r="AG187" i="6"/>
  <c r="AG174" i="6"/>
  <c r="AG165" i="6"/>
  <c r="AG159" i="6"/>
  <c r="AG153" i="6"/>
  <c r="AG146" i="6"/>
  <c r="AG135" i="6"/>
  <c r="AG132" i="6"/>
  <c r="AG125" i="6"/>
  <c r="AG119" i="6"/>
  <c r="AG115" i="6"/>
  <c r="AG109" i="6"/>
  <c r="AG106" i="6"/>
  <c r="AG101" i="6"/>
  <c r="AG98" i="6"/>
  <c r="AG92" i="6"/>
  <c r="AG90" i="6"/>
  <c r="AG88" i="6"/>
  <c r="AG81" i="6"/>
  <c r="AG79" i="6"/>
  <c r="AG76" i="6"/>
  <c r="AG66" i="6"/>
  <c r="AG62" i="6"/>
  <c r="AG60" i="6"/>
  <c r="AG54" i="6"/>
  <c r="AG46" i="6"/>
  <c r="AG40" i="6"/>
  <c r="AG35" i="6"/>
  <c r="AG32" i="6"/>
  <c r="AG29" i="6"/>
  <c r="AG23" i="6"/>
  <c r="AG16" i="6"/>
  <c r="AG12" i="6"/>
  <c r="K7" i="6"/>
  <c r="B8" i="11"/>
  <c r="B9" i="11"/>
  <c r="B13" i="11" s="1"/>
  <c r="B12" i="11"/>
  <c r="B15" i="11" s="1"/>
  <c r="H22" i="11" s="1"/>
  <c r="D23" i="11"/>
  <c r="G23" i="11" s="1"/>
  <c r="D24" i="11"/>
  <c r="G24" i="11" s="1"/>
  <c r="D25" i="11"/>
  <c r="G25" i="11" s="1"/>
  <c r="E7" i="10"/>
  <c r="AG11" i="10" s="1"/>
  <c r="E8" i="10"/>
  <c r="K8" i="10"/>
  <c r="AG11" i="6"/>
  <c r="K8" i="6"/>
  <c r="E8" i="14"/>
  <c r="B9" i="15"/>
  <c r="B13" i="15" s="1"/>
  <c r="D23" i="15"/>
  <c r="B8" i="15"/>
  <c r="B12" i="15"/>
  <c r="B15" i="15" s="1"/>
  <c r="H22" i="15" s="1"/>
  <c r="D24" i="15"/>
  <c r="D26" i="15"/>
  <c r="G26" i="15" s="1"/>
  <c r="G23" i="15"/>
  <c r="D27" i="15"/>
  <c r="G27" i="15" s="1"/>
  <c r="G24" i="15"/>
  <c r="D25" i="15"/>
  <c r="G25" i="15" s="1"/>
  <c r="E7" i="14"/>
  <c r="K8" i="14"/>
  <c r="H25" i="7" l="1"/>
  <c r="C35" i="7"/>
  <c r="D35" i="7" s="1"/>
  <c r="D34" i="7"/>
  <c r="E34" i="7"/>
  <c r="G34" i="7" s="1"/>
  <c r="E35" i="7"/>
  <c r="G35" i="7" s="1"/>
  <c r="E23" i="11"/>
  <c r="I23" i="11"/>
  <c r="E24" i="11"/>
  <c r="I24" i="11"/>
  <c r="E25" i="11"/>
  <c r="I25" i="11"/>
  <c r="AG32" i="10"/>
  <c r="AG26" i="10"/>
  <c r="AG24" i="10"/>
  <c r="AG22" i="10"/>
  <c r="AG21" i="10"/>
  <c r="AG17" i="10"/>
  <c r="AG16" i="10"/>
  <c r="AG14" i="10"/>
  <c r="AG13" i="10"/>
  <c r="AG335" i="10"/>
  <c r="AG373" i="10"/>
  <c r="AG371" i="10"/>
  <c r="AG384" i="10"/>
  <c r="AG378" i="10"/>
  <c r="AG366" i="10"/>
  <c r="AG317" i="10"/>
  <c r="AG308" i="10"/>
  <c r="AG68" i="10"/>
  <c r="AG66" i="10"/>
  <c r="AG64" i="10"/>
  <c r="AG62" i="10"/>
  <c r="AG60" i="10"/>
  <c r="AG58" i="10"/>
  <c r="AG56" i="10"/>
  <c r="AG54" i="10"/>
  <c r="AG52" i="10"/>
  <c r="AG50" i="10"/>
  <c r="AG48" i="10"/>
  <c r="AG45" i="10"/>
  <c r="AG43" i="10"/>
  <c r="AG41" i="10"/>
  <c r="AG39" i="10"/>
  <c r="AG37" i="10"/>
  <c r="AG35" i="10"/>
  <c r="AG33" i="10"/>
  <c r="AG31" i="10"/>
  <c r="AG29" i="10"/>
  <c r="AG27" i="10"/>
  <c r="AG25" i="10"/>
  <c r="AG20" i="10"/>
  <c r="AG374" i="10"/>
  <c r="AG372" i="10"/>
  <c r="AG355" i="10"/>
  <c r="AG349" i="10"/>
  <c r="AG345" i="10"/>
  <c r="AG336" i="10"/>
  <c r="AG322" i="10"/>
  <c r="AG310" i="10"/>
  <c r="AG303" i="10"/>
  <c r="AG397" i="10"/>
  <c r="AG379" i="10"/>
  <c r="AG368" i="10"/>
  <c r="AG364" i="10"/>
  <c r="AG354" i="10"/>
  <c r="AG67" i="10"/>
  <c r="AG65" i="10"/>
  <c r="AG63" i="10"/>
  <c r="AG61" i="10"/>
  <c r="AG59" i="10"/>
  <c r="AG57" i="10"/>
  <c r="AG55" i="10"/>
  <c r="AG53" i="10"/>
  <c r="AG51" i="10"/>
  <c r="AG49" i="10"/>
  <c r="AG47" i="10"/>
  <c r="AG46" i="10"/>
  <c r="AG44" i="10"/>
  <c r="AG42" i="10"/>
  <c r="AG40" i="10"/>
  <c r="AG38" i="10"/>
  <c r="AG36" i="10"/>
  <c r="AG34" i="10"/>
  <c r="AG30" i="10"/>
  <c r="AG28" i="10"/>
  <c r="AG23" i="10"/>
  <c r="AG19" i="10"/>
  <c r="AG18" i="10"/>
  <c r="AG15" i="10"/>
  <c r="AG12" i="10"/>
  <c r="AG313" i="10"/>
  <c r="AG395" i="10"/>
  <c r="AG348" i="10"/>
  <c r="AG347" i="10"/>
  <c r="AG305" i="10"/>
  <c r="AG386" i="10"/>
  <c r="AG327" i="10"/>
  <c r="AG389" i="10"/>
  <c r="AG361" i="10"/>
  <c r="AG340" i="10"/>
  <c r="AG326" i="10"/>
  <c r="AG325" i="10"/>
  <c r="AG309" i="10"/>
  <c r="AG403" i="10"/>
  <c r="AG357" i="10"/>
  <c r="AG343" i="10"/>
  <c r="AG333" i="10"/>
  <c r="AG319" i="10"/>
  <c r="AG318" i="10"/>
  <c r="AG351" i="10"/>
  <c r="AG350" i="10"/>
  <c r="AG334" i="10"/>
  <c r="AG331" i="10"/>
  <c r="AG387" i="10"/>
  <c r="AG382" i="10"/>
  <c r="AG381" i="10"/>
  <c r="AG376" i="10"/>
  <c r="AG369" i="10"/>
  <c r="AG358" i="10"/>
  <c r="AG407" i="10"/>
  <c r="AG398" i="10"/>
  <c r="AG385" i="10"/>
  <c r="AG380" i="10"/>
  <c r="AG324" i="10"/>
  <c r="AG306" i="10"/>
  <c r="AG401" i="10"/>
  <c r="AG392" i="10"/>
  <c r="AG391" i="10"/>
  <c r="AG367" i="10"/>
  <c r="AG363" i="10"/>
  <c r="AG360" i="10"/>
  <c r="AG359" i="10"/>
  <c r="AG346" i="10"/>
  <c r="AG329" i="10"/>
  <c r="AG312" i="10"/>
  <c r="AG304" i="10"/>
  <c r="AG302" i="10"/>
  <c r="AG301" i="10"/>
  <c r="AG299" i="10"/>
  <c r="AG297" i="10"/>
  <c r="AG332" i="10"/>
  <c r="AG404" i="10"/>
  <c r="AG400" i="10"/>
  <c r="AG394" i="10"/>
  <c r="AG388" i="10"/>
  <c r="AG341" i="10"/>
  <c r="AG328" i="10"/>
  <c r="AG320" i="10"/>
  <c r="AG315" i="10"/>
  <c r="AG307" i="10"/>
  <c r="AG409" i="10"/>
  <c r="AG353" i="10"/>
  <c r="AG352" i="10"/>
  <c r="AG344" i="10"/>
  <c r="AG338" i="10"/>
  <c r="AG298" i="10"/>
  <c r="AG296" i="10"/>
  <c r="AG295" i="10"/>
  <c r="AG294" i="10"/>
  <c r="AG293" i="10"/>
  <c r="AG292" i="10"/>
  <c r="AG291" i="10"/>
  <c r="AG290" i="10"/>
  <c r="AG289" i="10"/>
  <c r="AG288" i="10"/>
  <c r="AG287" i="10"/>
  <c r="AG286" i="10"/>
  <c r="AG285" i="10"/>
  <c r="AG284" i="10"/>
  <c r="AG283" i="10"/>
  <c r="AG393" i="10"/>
  <c r="AG342" i="10"/>
  <c r="AG339" i="10"/>
  <c r="AG316" i="10"/>
  <c r="AG311" i="10"/>
  <c r="AG406" i="10"/>
  <c r="AG370" i="10"/>
  <c r="AG402" i="10"/>
  <c r="AG383" i="10"/>
  <c r="AG330" i="10"/>
  <c r="AG408" i="10"/>
  <c r="AG405" i="10"/>
  <c r="AG399" i="10"/>
  <c r="AG396" i="10"/>
  <c r="AG390" i="10"/>
  <c r="AG377" i="10"/>
  <c r="AG375" i="10"/>
  <c r="AG365" i="10"/>
  <c r="AG362" i="10"/>
  <c r="AG356" i="10"/>
  <c r="AG337" i="10"/>
  <c r="AG323" i="10"/>
  <c r="AG321" i="10"/>
  <c r="AG314" i="10"/>
  <c r="AG300" i="10"/>
  <c r="AG282" i="10"/>
  <c r="AG281" i="10"/>
  <c r="AG280" i="10"/>
  <c r="AG279" i="10"/>
  <c r="AG278" i="10"/>
  <c r="AG277" i="10"/>
  <c r="AG276" i="10"/>
  <c r="AG275" i="10"/>
  <c r="AG274" i="10"/>
  <c r="AG273" i="10"/>
  <c r="AG272" i="10"/>
  <c r="AG271" i="10"/>
  <c r="AG270" i="10"/>
  <c r="AG269" i="10"/>
  <c r="AG268" i="10"/>
  <c r="AG267" i="10"/>
  <c r="AG266" i="10"/>
  <c r="AG265" i="10"/>
  <c r="AG264" i="10"/>
  <c r="AG263" i="10"/>
  <c r="AG262" i="10"/>
  <c r="AG261" i="10"/>
  <c r="AG260" i="10"/>
  <c r="AG259" i="10"/>
  <c r="AG258" i="10"/>
  <c r="AG257" i="10"/>
  <c r="AG256" i="10"/>
  <c r="AG255" i="10"/>
  <c r="AG254" i="10"/>
  <c r="AG253" i="10"/>
  <c r="AG252" i="10"/>
  <c r="AG251" i="10"/>
  <c r="AG250" i="10"/>
  <c r="AG249" i="10"/>
  <c r="AG248" i="10"/>
  <c r="AG247" i="10"/>
  <c r="AG246" i="10"/>
  <c r="AG245" i="10"/>
  <c r="AG244" i="10"/>
  <c r="AG243" i="10"/>
  <c r="AG242" i="10"/>
  <c r="AG241" i="10"/>
  <c r="AG240" i="10"/>
  <c r="AG239" i="10"/>
  <c r="AG238" i="10"/>
  <c r="AG237" i="10"/>
  <c r="AG236" i="10"/>
  <c r="AG235" i="10"/>
  <c r="AG234" i="10"/>
  <c r="AG233" i="10"/>
  <c r="AG232" i="10"/>
  <c r="AG231" i="10"/>
  <c r="AG230" i="10"/>
  <c r="AG229" i="10"/>
  <c r="AG228" i="10"/>
  <c r="AG227" i="10"/>
  <c r="AG226" i="10"/>
  <c r="AG225" i="10"/>
  <c r="AG224" i="10"/>
  <c r="AG223" i="10"/>
  <c r="AG222" i="10"/>
  <c r="AG221" i="10"/>
  <c r="AG220" i="10"/>
  <c r="AG219" i="10"/>
  <c r="AG218" i="10"/>
  <c r="AG217" i="10"/>
  <c r="AG216" i="10"/>
  <c r="AG215" i="10"/>
  <c r="AG214" i="10"/>
  <c r="AG213" i="10"/>
  <c r="AG212" i="10"/>
  <c r="AG211" i="10"/>
  <c r="AG210" i="10"/>
  <c r="AG209" i="10"/>
  <c r="AG208" i="10"/>
  <c r="AG207" i="10"/>
  <c r="AG206" i="10"/>
  <c r="AG205" i="10"/>
  <c r="AG204" i="10"/>
  <c r="AG203" i="10"/>
  <c r="AG202" i="10"/>
  <c r="AG201" i="10"/>
  <c r="AG200" i="10"/>
  <c r="AG199" i="10"/>
  <c r="AG198" i="10"/>
  <c r="AG197" i="10"/>
  <c r="AG196" i="10"/>
  <c r="AG195" i="10"/>
  <c r="AG194" i="10"/>
  <c r="AG193" i="10"/>
  <c r="AG192" i="10"/>
  <c r="AG191" i="10"/>
  <c r="AG190" i="10"/>
  <c r="AG189" i="10"/>
  <c r="AG188" i="10"/>
  <c r="AG187" i="10"/>
  <c r="AG186" i="10"/>
  <c r="AG185" i="10"/>
  <c r="AG184" i="10"/>
  <c r="AG183" i="10"/>
  <c r="AG182" i="10"/>
  <c r="AG181" i="10"/>
  <c r="AG180" i="10"/>
  <c r="AG179" i="10"/>
  <c r="AG178" i="10"/>
  <c r="AG177" i="10"/>
  <c r="AG176" i="10"/>
  <c r="AG175" i="10"/>
  <c r="AG174" i="10"/>
  <c r="AG173" i="10"/>
  <c r="AG172" i="10"/>
  <c r="AG171" i="10"/>
  <c r="AG170" i="10"/>
  <c r="AG169" i="10"/>
  <c r="AG168" i="10"/>
  <c r="AG167" i="10"/>
  <c r="AG166" i="10"/>
  <c r="AG165" i="10"/>
  <c r="AG164" i="10"/>
  <c r="AG163" i="10"/>
  <c r="AG162" i="10"/>
  <c r="AG161" i="10"/>
  <c r="AG160" i="10"/>
  <c r="AG159" i="10"/>
  <c r="AG158" i="10"/>
  <c r="AG157" i="10"/>
  <c r="AG156" i="10"/>
  <c r="AG155" i="10"/>
  <c r="AG154" i="10"/>
  <c r="AG153" i="10"/>
  <c r="AG152" i="10"/>
  <c r="AG151" i="10"/>
  <c r="AG150" i="10"/>
  <c r="AG149" i="10"/>
  <c r="AG148" i="10"/>
  <c r="AG147" i="10"/>
  <c r="AG146" i="10"/>
  <c r="AG145" i="10"/>
  <c r="AG144" i="10"/>
  <c r="AG143" i="10"/>
  <c r="AG142" i="10"/>
  <c r="AG141" i="10"/>
  <c r="AG140" i="10"/>
  <c r="AG139" i="10"/>
  <c r="AG138" i="10"/>
  <c r="AG137" i="10"/>
  <c r="AG136" i="10"/>
  <c r="AG135" i="10"/>
  <c r="AG134" i="10"/>
  <c r="AG133" i="10"/>
  <c r="AG132" i="10"/>
  <c r="AG131" i="10"/>
  <c r="AG130" i="10"/>
  <c r="AG129" i="10"/>
  <c r="AG128" i="10"/>
  <c r="AG127" i="10"/>
  <c r="AG126" i="10"/>
  <c r="AG125" i="10"/>
  <c r="AG124" i="10"/>
  <c r="AG123" i="10"/>
  <c r="AG122" i="10"/>
  <c r="AG121" i="10"/>
  <c r="AG120" i="10"/>
  <c r="AG119" i="10"/>
  <c r="AG118" i="10"/>
  <c r="AG117" i="10"/>
  <c r="AG116" i="10"/>
  <c r="AG115" i="10"/>
  <c r="AG114" i="10"/>
  <c r="AG113" i="10"/>
  <c r="AG112" i="10"/>
  <c r="AG111" i="10"/>
  <c r="AG110" i="10"/>
  <c r="AG109" i="10"/>
  <c r="AG108" i="10"/>
  <c r="AG107" i="10"/>
  <c r="AG106" i="10"/>
  <c r="AG105" i="10"/>
  <c r="AG104" i="10"/>
  <c r="AG103" i="10"/>
  <c r="AG102" i="10"/>
  <c r="AG101" i="10"/>
  <c r="AG100" i="10"/>
  <c r="AG99" i="10"/>
  <c r="AG98" i="10"/>
  <c r="AG97" i="10"/>
  <c r="AG96" i="10"/>
  <c r="AG95" i="10"/>
  <c r="AG94" i="10"/>
  <c r="AG93" i="10"/>
  <c r="AG92" i="10"/>
  <c r="AG91" i="10"/>
  <c r="AG90" i="10"/>
  <c r="AG89" i="10"/>
  <c r="AG88" i="10"/>
  <c r="AG87" i="10"/>
  <c r="AG86" i="10"/>
  <c r="AG85" i="10"/>
  <c r="AG84" i="10"/>
  <c r="AG83" i="10"/>
  <c r="AG82" i="10"/>
  <c r="AG81" i="10"/>
  <c r="AG80" i="10"/>
  <c r="AG79" i="10"/>
  <c r="AG78" i="10"/>
  <c r="AG77" i="10"/>
  <c r="AG76" i="10"/>
  <c r="AG75" i="10"/>
  <c r="AG74" i="10"/>
  <c r="AG73" i="10"/>
  <c r="AG72" i="10"/>
  <c r="AG71" i="10"/>
  <c r="AG70" i="10"/>
  <c r="AG69" i="10"/>
  <c r="K7" i="10"/>
  <c r="I23" i="15"/>
  <c r="E23" i="15"/>
  <c r="I24" i="15"/>
  <c r="E24" i="15"/>
  <c r="I26" i="15"/>
  <c r="E26" i="15"/>
  <c r="I27" i="15"/>
  <c r="E27" i="15"/>
  <c r="I25" i="15"/>
  <c r="E25" i="15"/>
  <c r="AG211" i="14"/>
  <c r="K7" i="14"/>
  <c r="AG151" i="14"/>
  <c r="AG154" i="14"/>
  <c r="AG155" i="14"/>
  <c r="AG156" i="14"/>
  <c r="AG160" i="14"/>
  <c r="AG161" i="14"/>
  <c r="AG164" i="14"/>
  <c r="AG166" i="14"/>
  <c r="AG169" i="14"/>
  <c r="AG171" i="14"/>
  <c r="AG172" i="14"/>
  <c r="AG173" i="14"/>
  <c r="AG175" i="14"/>
  <c r="AG176" i="14"/>
  <c r="AG205" i="14"/>
  <c r="AG206" i="14"/>
  <c r="AG207" i="14"/>
  <c r="AG208" i="14"/>
  <c r="AG53" i="14"/>
  <c r="AG55" i="14"/>
  <c r="AG56" i="14"/>
  <c r="AG58" i="14"/>
  <c r="AG65" i="14"/>
  <c r="AG68" i="14"/>
  <c r="AG69" i="14"/>
  <c r="AG70" i="14"/>
  <c r="AG72" i="14"/>
  <c r="AG78" i="14"/>
  <c r="AG80" i="14"/>
  <c r="AG81" i="14"/>
  <c r="AG84" i="14"/>
  <c r="AG85" i="14"/>
  <c r="AG86" i="14"/>
  <c r="AG87" i="14"/>
  <c r="AG88" i="14"/>
  <c r="AG89" i="14"/>
  <c r="AG90" i="14"/>
  <c r="AG94" i="14"/>
  <c r="AG97" i="14"/>
  <c r="AG104" i="14"/>
  <c r="AG110" i="14"/>
  <c r="AG115" i="14"/>
  <c r="AG121" i="14"/>
  <c r="AG128" i="14"/>
  <c r="AG141" i="14"/>
  <c r="AG144" i="14"/>
  <c r="AG148" i="14"/>
  <c r="AG159" i="14"/>
  <c r="AG167" i="14"/>
  <c r="AG170" i="14"/>
  <c r="AG177" i="14"/>
  <c r="AG182" i="14"/>
  <c r="AG185" i="14"/>
  <c r="AG188" i="14"/>
  <c r="AG191" i="14"/>
  <c r="AG200" i="14"/>
  <c r="AG204" i="14"/>
  <c r="AG224" i="14"/>
  <c r="AG238" i="14"/>
  <c r="AG239" i="14"/>
  <c r="AG240" i="14"/>
  <c r="AG241" i="14"/>
  <c r="AG242" i="14"/>
  <c r="AG243" i="14"/>
  <c r="AG244" i="14"/>
  <c r="AG245" i="14"/>
  <c r="AG246" i="14"/>
  <c r="AG247" i="14"/>
  <c r="AG248" i="14"/>
  <c r="AG249" i="14"/>
  <c r="AG250" i="14"/>
  <c r="AG251" i="14"/>
  <c r="AG252" i="14"/>
  <c r="AG253" i="14"/>
  <c r="AG254" i="14"/>
  <c r="AG255" i="14"/>
  <c r="AG256" i="14"/>
  <c r="AG257" i="14"/>
  <c r="AG258" i="14"/>
  <c r="AG259" i="14"/>
  <c r="AG260" i="14"/>
  <c r="AG261" i="14"/>
  <c r="AG262" i="14"/>
  <c r="AG263" i="14"/>
  <c r="AG264" i="14"/>
  <c r="AG265" i="14"/>
  <c r="AG266" i="14"/>
  <c r="AG267" i="14"/>
  <c r="AG268" i="14"/>
  <c r="AG269" i="14"/>
  <c r="AG270" i="14"/>
  <c r="AG271" i="14"/>
  <c r="AG272" i="14"/>
  <c r="AG273" i="14"/>
  <c r="AG274" i="14"/>
  <c r="AG275" i="14"/>
  <c r="AG276" i="14"/>
  <c r="AG277" i="14"/>
  <c r="AG278" i="14"/>
  <c r="AG279" i="14"/>
  <c r="AG280" i="14"/>
  <c r="AG281" i="14"/>
  <c r="AG282" i="14"/>
  <c r="AG283" i="14"/>
  <c r="AG284" i="14"/>
  <c r="AG285" i="14"/>
  <c r="AG286" i="14"/>
  <c r="AG287" i="14"/>
  <c r="AG288" i="14"/>
  <c r="AG289" i="14"/>
  <c r="AG290" i="14"/>
  <c r="AG291" i="14"/>
  <c r="AG292" i="14"/>
  <c r="AG293" i="14"/>
  <c r="AG294" i="14"/>
  <c r="AG295" i="14"/>
  <c r="AG296" i="14"/>
  <c r="AG297" i="14"/>
  <c r="AG298" i="14"/>
  <c r="AG299" i="14"/>
  <c r="AG300" i="14"/>
  <c r="AG301" i="14"/>
  <c r="AG302" i="14"/>
  <c r="AG303" i="14"/>
  <c r="AG304" i="14"/>
  <c r="AG305" i="14"/>
  <c r="AG306" i="14"/>
  <c r="AG307" i="14"/>
  <c r="AG308" i="14"/>
  <c r="AG309" i="14"/>
  <c r="AG310" i="14"/>
  <c r="AG311" i="14"/>
  <c r="AG312" i="14"/>
  <c r="AG313" i="14"/>
  <c r="AG314" i="14"/>
  <c r="AG315" i="14"/>
  <c r="AG316" i="14"/>
  <c r="AG317" i="14"/>
  <c r="AG318" i="14"/>
  <c r="AG319" i="14"/>
  <c r="AG320" i="14"/>
  <c r="AG321" i="14"/>
  <c r="AG322" i="14"/>
  <c r="AG323" i="14"/>
  <c r="AG324" i="14"/>
  <c r="AG325" i="14"/>
  <c r="AG326" i="14"/>
  <c r="AG327" i="14"/>
  <c r="AG328" i="14"/>
  <c r="AG329" i="14"/>
  <c r="AG330" i="14"/>
  <c r="AG331" i="14"/>
  <c r="AG332" i="14"/>
  <c r="AG333" i="14"/>
  <c r="AG334" i="14"/>
  <c r="AG335" i="14"/>
  <c r="AG336" i="14"/>
  <c r="AG337" i="14"/>
  <c r="AG338" i="14"/>
  <c r="AG339" i="14"/>
  <c r="AG340" i="14"/>
  <c r="AG341" i="14"/>
  <c r="AG342" i="14"/>
  <c r="AG343" i="14"/>
  <c r="AG344" i="14"/>
  <c r="AG345" i="14"/>
  <c r="AG346" i="14"/>
  <c r="AG347" i="14"/>
  <c r="AG348" i="14"/>
  <c r="AG349" i="14"/>
  <c r="AG350" i="14"/>
  <c r="AG351" i="14"/>
  <c r="AG352" i="14"/>
  <c r="AG353" i="14"/>
  <c r="AG354" i="14"/>
  <c r="AG355" i="14"/>
  <c r="AG356" i="14"/>
  <c r="AG358" i="14"/>
  <c r="AG359" i="14"/>
  <c r="AG360" i="14"/>
  <c r="AG361" i="14"/>
  <c r="AG362" i="14"/>
  <c r="AG363" i="14"/>
  <c r="AG54" i="14"/>
  <c r="AG357" i="14"/>
  <c r="AG199" i="14"/>
  <c r="AG217" i="14"/>
  <c r="AG227" i="14"/>
  <c r="AG231" i="14"/>
  <c r="AG237" i="14"/>
  <c r="AG196" i="14"/>
  <c r="AG210" i="14"/>
  <c r="AG218" i="14"/>
  <c r="AG234" i="14"/>
  <c r="AG201" i="14"/>
  <c r="AG212" i="14"/>
  <c r="AG215" i="14"/>
  <c r="AG222" i="14"/>
  <c r="AG229" i="14"/>
  <c r="AG230" i="14"/>
  <c r="AG202" i="14"/>
  <c r="AG214" i="14"/>
  <c r="AG221" i="14"/>
  <c r="AG225" i="14"/>
  <c r="AG13" i="14"/>
  <c r="AG15" i="14"/>
  <c r="AG18" i="14"/>
  <c r="AG19" i="14"/>
  <c r="AG21" i="14"/>
  <c r="AG23" i="14"/>
  <c r="AG26" i="14"/>
  <c r="AG31" i="14"/>
  <c r="AG34" i="14"/>
  <c r="AG35" i="14"/>
  <c r="AG36" i="14"/>
  <c r="AG37" i="14"/>
  <c r="AG40" i="14"/>
  <c r="AG42" i="14"/>
  <c r="AG44" i="14"/>
  <c r="AG45" i="14"/>
  <c r="AG46" i="14"/>
  <c r="AG47" i="14"/>
  <c r="AG48" i="14"/>
  <c r="AG49" i="14"/>
  <c r="AG50" i="14"/>
  <c r="AG51" i="14"/>
  <c r="AG52" i="14"/>
  <c r="AG57" i="14"/>
  <c r="AG59" i="14"/>
  <c r="AG60" i="14"/>
  <c r="AG61" i="14"/>
  <c r="AG62" i="14"/>
  <c r="AG63" i="14"/>
  <c r="AG64" i="14"/>
  <c r="AG66" i="14"/>
  <c r="AG67" i="14"/>
  <c r="AG71" i="14"/>
  <c r="AG73" i="14"/>
  <c r="AG74" i="14"/>
  <c r="AG75" i="14"/>
  <c r="AG76" i="14"/>
  <c r="AG77" i="14"/>
  <c r="AG79" i="14"/>
  <c r="AG82" i="14"/>
  <c r="AG83" i="14"/>
  <c r="AG108" i="14"/>
  <c r="AG118" i="14"/>
  <c r="AG129" i="14"/>
  <c r="AG130" i="14"/>
  <c r="AG132" i="14"/>
  <c r="AG134" i="14"/>
  <c r="AG136" i="14"/>
  <c r="AG143" i="14"/>
  <c r="AG149" i="14"/>
  <c r="AG91" i="14"/>
  <c r="AG93" i="14"/>
  <c r="AG101" i="14"/>
  <c r="AG103" i="14"/>
  <c r="AG112" i="14"/>
  <c r="AG117" i="14"/>
  <c r="AG122" i="14"/>
  <c r="AG131" i="14"/>
  <c r="AG138" i="14"/>
  <c r="AG139" i="14"/>
  <c r="AG142" i="14"/>
  <c r="AG145" i="14"/>
  <c r="AG152" i="14"/>
  <c r="AG157" i="14"/>
  <c r="AG158" i="14"/>
  <c r="AG165" i="14"/>
  <c r="AG178" i="14"/>
  <c r="AG184" i="14"/>
  <c r="AG187" i="14"/>
  <c r="AG190" i="14"/>
  <c r="AG193" i="14"/>
  <c r="AG194" i="14"/>
  <c r="AG195" i="14"/>
  <c r="AG198" i="14"/>
  <c r="AG203" i="14"/>
  <c r="AG209" i="14"/>
  <c r="AG213" i="14"/>
  <c r="AG216" i="14"/>
  <c r="AG219" i="14"/>
  <c r="AG223" i="14"/>
  <c r="AG228" i="14"/>
  <c r="AG232" i="14"/>
  <c r="AG233" i="14"/>
  <c r="AG235" i="14"/>
  <c r="AG236" i="14"/>
  <c r="AG12" i="14"/>
  <c r="AG14" i="14"/>
  <c r="AG16" i="14"/>
  <c r="AG17" i="14"/>
  <c r="AG20" i="14"/>
  <c r="AG22" i="14"/>
  <c r="AG24" i="14"/>
  <c r="AG25" i="14"/>
  <c r="AG27" i="14"/>
  <c r="AG28" i="14"/>
  <c r="AG29" i="14"/>
  <c r="AG30" i="14"/>
  <c r="AG32" i="14"/>
  <c r="AG33" i="14"/>
  <c r="AG38" i="14"/>
  <c r="AG39" i="14"/>
  <c r="AG41" i="14"/>
  <c r="AG43" i="14"/>
  <c r="AG109" i="14"/>
  <c r="AG111" i="14"/>
  <c r="AG114" i="14"/>
  <c r="AG120" i="14"/>
  <c r="AG126" i="14"/>
  <c r="AG127" i="14"/>
  <c r="AG133" i="14"/>
  <c r="AG135" i="14"/>
  <c r="AG140" i="14"/>
  <c r="AG146" i="14"/>
  <c r="AG92" i="14"/>
  <c r="AG95" i="14"/>
  <c r="AG96" i="14"/>
  <c r="AG98" i="14"/>
  <c r="AG99" i="14"/>
  <c r="AG100" i="14"/>
  <c r="AG102" i="14"/>
  <c r="AG105" i="14"/>
  <c r="AG106" i="14"/>
  <c r="AG107" i="14"/>
  <c r="AG113" i="14"/>
  <c r="AG116" i="14"/>
  <c r="AG119" i="14"/>
  <c r="AG123" i="14"/>
  <c r="AG124" i="14"/>
  <c r="AG125" i="14"/>
  <c r="AG137" i="14"/>
  <c r="AG147" i="14"/>
  <c r="AG150" i="14"/>
  <c r="AG153" i="14"/>
  <c r="AG162" i="14"/>
  <c r="AG163" i="14"/>
  <c r="AG168" i="14"/>
  <c r="AG174" i="14"/>
  <c r="AG179" i="14"/>
  <c r="AG180" i="14"/>
  <c r="AG181" i="14"/>
  <c r="AG183" i="14"/>
  <c r="AG186" i="14"/>
  <c r="AG189" i="14"/>
  <c r="AG192" i="14"/>
  <c r="AG197" i="14"/>
  <c r="AG220" i="14"/>
  <c r="AG226" i="14"/>
  <c r="AG11" i="14"/>
  <c r="H23" i="11"/>
  <c r="H23" i="15"/>
  <c r="C36" i="7" l="1"/>
  <c r="D36" i="7" s="1"/>
  <c r="E36" i="7" s="1"/>
  <c r="G36" i="7" s="1"/>
  <c r="H26" i="7"/>
  <c r="C32" i="11"/>
  <c r="H24" i="11"/>
  <c r="H24" i="15"/>
  <c r="C34" i="15"/>
  <c r="H27" i="7" l="1"/>
  <c r="C38" i="7" s="1"/>
  <c r="D38" i="7" s="1"/>
  <c r="E38" i="7" s="1"/>
  <c r="G38" i="7" s="1"/>
  <c r="C37" i="7"/>
  <c r="D37" i="7" s="1"/>
  <c r="E37" i="7" s="1"/>
  <c r="G37" i="7" s="1"/>
  <c r="D32" i="11"/>
  <c r="E32" i="11"/>
  <c r="G32" i="11" s="1"/>
  <c r="E33" i="11"/>
  <c r="G33" i="11" s="1"/>
  <c r="E34" i="11"/>
  <c r="G34" i="11" s="1"/>
  <c r="H25" i="11"/>
  <c r="C34" i="11" s="1"/>
  <c r="D34" i="11" s="1"/>
  <c r="C33" i="11"/>
  <c r="D33" i="11" s="1"/>
  <c r="H25" i="15"/>
  <c r="C35" i="15"/>
  <c r="D35" i="15" s="1"/>
  <c r="D34" i="15"/>
  <c r="E34" i="15"/>
  <c r="G34" i="15" s="1"/>
  <c r="E35" i="15"/>
  <c r="G35" i="15" s="1"/>
  <c r="C36" i="15" l="1"/>
  <c r="D36" i="15" s="1"/>
  <c r="E36" i="15" s="1"/>
  <c r="G36" i="15" s="1"/>
  <c r="H26" i="15"/>
  <c r="H27" i="15" l="1"/>
  <c r="C38" i="15" s="1"/>
  <c r="D38" i="15" s="1"/>
  <c r="E38" i="15" s="1"/>
  <c r="G38" i="15" s="1"/>
  <c r="C37" i="15"/>
  <c r="D37" i="15" s="1"/>
  <c r="E37" i="15" s="1"/>
  <c r="G37"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walkthrough</author>
  </authors>
  <commentList>
    <comment ref="D8" authorId="0" shapeId="0" xr:uid="{00000000-0006-0000-0200-000001000000}">
      <text>
        <r>
          <rPr>
            <sz val="11"/>
            <color theme="1"/>
            <rFont val="Calibri"/>
            <family val="2"/>
            <scheme val="minor"/>
          </rPr>
          <t>The pooled median is the yardstick. Production value: AgingModel.h.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walkthrough</author>
  </authors>
  <commentList>
    <comment ref="E8" authorId="0" shapeId="0" xr:uid="{00000000-0006-0000-0500-000001000000}">
      <text>
        <r>
          <rPr>
            <sz val="11"/>
            <color theme="1"/>
            <rFont val="Calibri"/>
            <family val="2"/>
            <scheme val="minor"/>
          </rPr>
          <t>(sum of weights)^2 / sum of squared weights: how many equally weighted comparables would carry the same information.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walkthrough</author>
  </authors>
  <commentList>
    <comment ref="B10" authorId="0" shapeId="0" xr:uid="{00000000-0006-0000-0600-000001000000}">
      <text>
        <r>
          <rPr>
            <sz val="11"/>
            <color theme="1"/>
            <rFont val="Calibri"/>
            <family val="2"/>
            <scheme val="minor"/>
          </rPr>
          <t>AgingModel.glevel: average two-season level of every forward season at this age in the panel.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walkthrough</author>
  </authors>
  <commentList>
    <comment ref="E8" authorId="0" shapeId="0" xr:uid="{00000000-0006-0000-0900-000001000000}">
      <text>
        <r>
          <rPr>
            <sz val="11"/>
            <color theme="1"/>
            <rFont val="Calibri"/>
            <family val="2"/>
            <scheme val="minor"/>
          </rPr>
          <t>(sum of weights)^2 / sum of squared weights: how many equally weighted comparables would carry the same information.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walkthrough</author>
  </authors>
  <commentList>
    <comment ref="B10" authorId="0" shapeId="0" xr:uid="{00000000-0006-0000-0A00-000001000000}">
      <text>
        <r>
          <rPr>
            <sz val="11"/>
            <color theme="1"/>
            <rFont val="Calibri"/>
            <family val="2"/>
            <scheme val="minor"/>
          </rPr>
          <t>AgingModel.glevel: average two-season level of every forward season at this age in the panel.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walkthrough</author>
  </authors>
  <commentList>
    <comment ref="E8" authorId="0" shapeId="0" xr:uid="{00000000-0006-0000-0D00-000001000000}">
      <text>
        <r>
          <rPr>
            <sz val="11"/>
            <color theme="1"/>
            <rFont val="Calibri"/>
            <family val="2"/>
            <scheme val="minor"/>
          </rPr>
          <t>(sum of weights)^2 / sum of squared weights: how many equally weighted comparables would carry the same information.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walkthrough</author>
  </authors>
  <commentList>
    <comment ref="B10" authorId="0" shapeId="0" xr:uid="{00000000-0006-0000-0E00-000001000000}">
      <text>
        <r>
          <rPr>
            <sz val="11"/>
            <color theme="1"/>
            <rFont val="Calibri"/>
            <family val="2"/>
            <scheme val="minor"/>
          </rPr>
          <t>AgingModel.glevel: average two-season level of every forward season at this age in the panel.</t>
        </r>
      </text>
    </comment>
  </commentList>
</comments>
</file>

<file path=xl/sharedStrings.xml><?xml version="1.0" encoding="utf-8"?>
<sst xmlns="http://schemas.openxmlformats.org/spreadsheetml/2006/main" count="3136" uniqueCount="826">
  <si>
    <t>Aging curve walkthrough: three traded forwards</t>
  </si>
  <si>
    <t>What this is</t>
  </si>
  <si>
    <t>The production aging curve worked through with real data for three forwards, each valued on the day he was traded. Every number is either copied from the source data (blue) or computed by an Excel formula you can inspect (black). Change a setting on the Settings sheet and everything updates.</t>
  </si>
  <si>
    <t>Built by</t>
  </si>
  <si>
    <t>valuation_walkthrough.py v1.0 (2026-09-25). Its hand arithmetic was checked against the production code (aging_curve.py, skater_forward_projection.py) before this file was written, and this file's formula results were checked against it after recalculation.</t>
  </si>
  <si>
    <t>Players</t>
  </si>
  <si>
    <t>Ryan O'Reilly (Buffalo to St. Louis, 2018-07-01, valued as of 2018-19); Nazem Kadri (Toronto to Colorado, 2019-07-01, valued as of 2019-20); Max Pacioretty (Montreal to Vegas, 2018-09-10, valued as of 2018-19)</t>
  </si>
  <si>
    <t>Sheets, per player</t>
  </si>
  <si>
    <t>1 Seasons: his WAR by season and the starting level. 2 Profile: his eight comparison measures. 3 Comparables: every eligible comparable, its distance and weight. 4 Aging path: how the weights become a curve and the curve becomes projected WAR.</t>
  </si>
  <si>
    <t>Shared sheets</t>
  </si>
  <si>
    <t>Settings: every constant the formulas use. Yardstick: how the shared yardstick is built and how distance becomes weight.</t>
  </si>
  <si>
    <t>Colours</t>
  </si>
  <si>
    <t>Blue text: data copied from source files or from the production code. Black: formulas. Green: links to another sheet. Yellow fill: key results and settings. Grey rows: seasons after the valuation date, shown for hindsight only.</t>
  </si>
  <si>
    <t>WAR</t>
  </si>
  <si>
    <t>Wins above replacement from Patrick Bacon's public model. A season total unless a column says 'per 82 games' (WAR / games x 82).</t>
  </si>
  <si>
    <t>Not included</t>
  </si>
  <si>
    <t>Dollars, cap hits, exit probabilities and discounting. This file covers the aging curve only.</t>
  </si>
  <si>
    <t>Model settings used in every calculation</t>
  </si>
  <si>
    <t>Blue numbers are copied from the production code (20_CODE/aging_curve.py and skater_forward_projection.py) or computed by it. Every formula elsewhere points at these cells, so changing one here flows through the whole workbook.</t>
  </si>
  <si>
    <t>Setting</t>
  </si>
  <si>
    <t>Value</t>
  </si>
  <si>
    <t>Where it comes from and what it does</t>
  </si>
  <si>
    <t>Minimum games for a season to count toward the starting level</t>
  </si>
  <si>
    <t>skater_forward_projection.py MIN_GP. A season with fewer games is ignored for the starting level.</t>
  </si>
  <si>
    <t>Minimum games for a season to count in the aging model</t>
  </si>
  <si>
    <t>aging_curve.py MIN_GP. Applies to the player's own profile seasons and to every comparable.</t>
  </si>
  <si>
    <t>Starting level: weight on last season</t>
  </si>
  <si>
    <t>skater_forward_projection.py W_T1.</t>
  </si>
  <si>
    <t>Starting level: weight on the season before</t>
  </si>
  <si>
    <t>skater_forward_projection.py W_T2.</t>
  </si>
  <si>
    <t>Yardstick (median profile distance)</t>
  </si>
  <si>
    <t>AgingModel.h, recomputed on the Yardstick sheet. One number for every player, both positions, all ages.</t>
  </si>
  <si>
    <t>Weight given to the league average (in comparable-weight units)</t>
  </si>
  <si>
    <t>aging_curve.py SHRINK_K. Every 'players like him' average is blended with the league average for his position and age as if the league average were one more comparable carrying this much weight.</t>
  </si>
  <si>
    <t>Share of the starting curve level kept from his own production</t>
  </si>
  <si>
    <t>aging_curve.py LAMBDA. The rest (1 - Lambda) comes from the 'players like him' level.</t>
  </si>
  <si>
    <t>Lowest multiplier allowed</t>
  </si>
  <si>
    <t>skater_forward_projection.py RATIO_FLOOR: a projection can fall to replacement level, not below.</t>
  </si>
  <si>
    <t>Highest multiplier allowed</t>
  </si>
  <si>
    <t>skater_forward_projection.py RATIO_CAP.</t>
  </si>
  <si>
    <t>Curve level at or below which multipliers are not used</t>
  </si>
  <si>
    <t>skater_forward_projection.py CURVE_BASE_FLOOR: dividing by a curve level this close to zero is unstable, so the projection holds flat instead.</t>
  </si>
  <si>
    <t>The eight profile measures (forwards)</t>
  </si>
  <si>
    <t>Measure</t>
  </si>
  <si>
    <t>Weight</t>
  </si>
  <si>
    <t>How it is built / plain meaning</t>
  </si>
  <si>
    <t>Forward average</t>
  </si>
  <si>
    <t>Forward standard deviation</t>
  </si>
  <si>
    <t>Even-strength offence share</t>
  </si>
  <si>
    <t>his even-strength offence WAR as a share of his total style WAR</t>
  </si>
  <si>
    <t>Even-strength defence share</t>
  </si>
  <si>
    <t>his even-strength defence WAR as a share of his total style WAR</t>
  </si>
  <si>
    <t>Power-play share</t>
  </si>
  <si>
    <t>his power-play WAR as a share of his total style WAR</t>
  </si>
  <si>
    <t>Penalty-kill share</t>
  </si>
  <si>
    <t>his penalty-kill WAR as a share of his total style WAR</t>
  </si>
  <si>
    <t>Shooting share</t>
  </si>
  <si>
    <t>his shooting WAR as a share of his total style WAR</t>
  </si>
  <si>
    <t>Ice time per game (min)</t>
  </si>
  <si>
    <t>total minutes over the window divided by total games</t>
  </si>
  <si>
    <t>Production level (WAR per 82)</t>
  </si>
  <si>
    <t>simple average of the two seasons' WAR per 82 games</t>
  </si>
  <si>
    <t>Production trend (WAR per 82, per year)</t>
  </si>
  <si>
    <t>later season's WAR per 82 minus the earlier season's</t>
  </si>
  <si>
    <t>Total weight</t>
  </si>
  <si>
    <t>Weights are the production values: each of the four groups (style, ice time, level, trend) carries 1.0, and the five style shares split theirs, 0.2 each. As fractions of the total (4.0) that is 1/20 per style share and 1/4 for each of the other three. Scaling every weight by the same number would scale every distance AND the yardstick together, leaving every comparable's weight unchanged. The forward average and standard deviation are taken over every forward profile in the comparable pool, all ages together (AgingModel.stats). Penalty WAR is left out of the style shares (it made the shares add to a fixed total, so one of them carried no new information).</t>
  </si>
  <si>
    <t>The yardstick: one shared scale for 'near' and 'far'</t>
  </si>
  <si>
    <t>How production builds it (AgingModel._build_bank): take every profile in the comparable pool, separately for forwards and defencemen. Draw up to 1,200 profiles per position at random (seed 0). These are profiles of ALL ages mixed together, not just players of one age. Measure the distance between every pair of sampled forwards and every pair of sampled defencemen (never a forward against a defenceman). Pool the two lists of distances and take the middle value (the median). That median is the yardstick: one number used for every player at every age.</t>
  </si>
  <si>
    <t>Forwards</t>
  </si>
  <si>
    <t>Defence</t>
  </si>
  <si>
    <t>Pooled</t>
  </si>
  <si>
    <t>Profiles in the pool</t>
  </si>
  <si>
    <t>Profiles sampled</t>
  </si>
  <si>
    <t>Pairs measured</t>
  </si>
  <si>
    <t>Median distance within the group</t>
  </si>
  <si>
    <t>Spread of the pooled distances</t>
  </si>
  <si>
    <t>Percentile</t>
  </si>
  <si>
    <t>Distance</t>
  </si>
  <si>
    <t>In yardsticks</t>
  </si>
  <si>
    <t>10th percentile</t>
  </si>
  <si>
    <t>25th percentile</t>
  </si>
  <si>
    <t>50th percentile</t>
  </si>
  <si>
    <t>75th percentile</t>
  </si>
  <si>
    <t>90th percentile</t>
  </si>
  <si>
    <t>From distance to weight</t>
  </si>
  <si>
    <t>weight = EXP( -(distance^2) / (2 x yardstick^2) ). An exact match gets weight 1. A comparable exactly one yardstick away gets EXP(-0.5) = 0.607, which is where the 0.61 comes from: it is a weight, not a distance. Two yardsticks away gets EXP(-2) = 0.135. The fall-off speeds up with distance (it is the bell-curve shape), so far-away profiles count for almost nothing.</t>
  </si>
  <si>
    <t>Distance, in yardsticks</t>
  </si>
  <si>
    <t>For comparison only: a yardstick built from one age and position</t>
  </si>
  <si>
    <t>Production does NOT do this. These are the medians you would get using only forwards of each walkthrough player's comparison age (every pair, no sampling). Listed so the shared yardstick can be compared with an age-specific one.</t>
  </si>
  <si>
    <t>Player: forwards of age</t>
  </si>
  <si>
    <t>Profiles</t>
  </si>
  <si>
    <t>Median distance</t>
  </si>
  <si>
    <t>In shared yardsticks</t>
  </si>
  <si>
    <t>Ryan O'Reilly: forwards aged 26</t>
  </si>
  <si>
    <t>Nazem Kadri: forwards aged 28</t>
  </si>
  <si>
    <t>Max Pacioretty: forwards aged 29</t>
  </si>
  <si>
    <t>Ryan O'Reilly: every season of WAR</t>
  </si>
  <si>
    <t>Traded Buffalo to St. Louis on 2018-07-01. The model values him as of the 2018-19 season, so it may use seasons up to 2017-18 only. Grey rows are later seasons, shown for hindsight and never used by the model. Source: Patrick Bacon's WAR export (10_SOURCE/WAR.csv); a season split between two teams is added together into one row.</t>
  </si>
  <si>
    <t>Season</t>
  </si>
  <si>
    <t>Team</t>
  </si>
  <si>
    <t>Age</t>
  </si>
  <si>
    <t>Games</t>
  </si>
  <si>
    <t>Ice time (min)</t>
  </si>
  <si>
    <t>Even-strength offence WAR</t>
  </si>
  <si>
    <t>Even-strength defence WAR</t>
  </si>
  <si>
    <t>Power-play WAR</t>
  </si>
  <si>
    <t>Penalty-kill WAR</t>
  </si>
  <si>
    <t>Penalties WAR</t>
  </si>
  <si>
    <t>Shooting WAR</t>
  </si>
  <si>
    <t>Total WAR</t>
  </si>
  <si>
    <t>Season-length factor</t>
  </si>
  <si>
    <t>WAR, season-length adjusted</t>
  </si>
  <si>
    <t>WAR per 82 games</t>
  </si>
  <si>
    <t>Used by the model for</t>
  </si>
  <si>
    <t>2009-10</t>
  </si>
  <si>
    <t>COL</t>
  </si>
  <si>
    <t>2010-11</t>
  </si>
  <si>
    <t>2011-12</t>
  </si>
  <si>
    <t>2012-13</t>
  </si>
  <si>
    <t>2013-14</t>
  </si>
  <si>
    <t>2014-15</t>
  </si>
  <si>
    <t>2015-16</t>
  </si>
  <si>
    <t>BUF</t>
  </si>
  <si>
    <t>2016-17</t>
  </si>
  <si>
    <t>starting level (if 10+ games); comparison profile at age 25</t>
  </si>
  <si>
    <t>2017-18</t>
  </si>
  <si>
    <t>starting level (if 10+ games); comparison profile at age 26</t>
  </si>
  <si>
    <t>2018-19</t>
  </si>
  <si>
    <t>STL</t>
  </si>
  <si>
    <t>hindsight only</t>
  </si>
  <si>
    <t>2019-20</t>
  </si>
  <si>
    <t>2020-21</t>
  </si>
  <si>
    <t>2021-22</t>
  </si>
  <si>
    <t>2022-23</t>
  </si>
  <si>
    <t>STL/TOR</t>
  </si>
  <si>
    <t>2023-24</t>
  </si>
  <si>
    <t>NSH</t>
  </si>
  <si>
    <t>2024-25</t>
  </si>
  <si>
    <t>2025-26</t>
  </si>
  <si>
    <t>Starting level: how good is he now?</t>
  </si>
  <si>
    <t>60% of last season's WAR plus 40% of the season before, each counted only if he played at least the minimum games. If only one season counts, it supplies the whole starting level. This is a season total (not a per-82 rate); it is the number the aging curve's multipliers are applied to on the Aging path sheet.</t>
  </si>
  <si>
    <t>Adjusted WAR</t>
  </si>
  <si>
    <t>Counts?</t>
  </si>
  <si>
    <t>Last season</t>
  </si>
  <si>
    <t>Season before</t>
  </si>
  <si>
    <t>Starting level (WAR)</t>
  </si>
  <si>
    <t>Ryan O'Reilly: his comparison profile</t>
  </si>
  <si>
    <t>He is 27 in the valuation season (2018-19). The comparison is made one season earlier, at age 26, so it rests only on completed seasons (2017-18 and before). His profile at age 26 uses his two consecutive seasons at ages 25 and 26, each with at least 20 games. It is then compared with every other forward's profile at age 26.</t>
  </si>
  <si>
    <t>Profile season</t>
  </si>
  <si>
    <t>EV offence WAR</t>
  </si>
  <si>
    <t>EV defence WAR</t>
  </si>
  <si>
    <t>WAR per 82</t>
  </si>
  <si>
    <t>Style shares: each style WAR summed over the two seasons, divided by the sum of the five style WARs ignoring their signs (Penalties WAR is left out). They describe the MIX of his game, not its size. Standard score = (value - forward average) / forward standard deviation. Weighted score = standard score x square root of the measure weight.</t>
  </si>
  <si>
    <t>His value</t>
  </si>
  <si>
    <t>Forward SD</t>
  </si>
  <si>
    <t>Standard score</t>
  </si>
  <si>
    <t>Measure weight</t>
  </si>
  <si>
    <t>Weighted score</t>
  </si>
  <si>
    <t>Ryan O'Reilly: every forward profile at age 26, and how close each one is</t>
  </si>
  <si>
    <t>Every forward with a qualifying two-season profile at age 26 is eligible; there is no fixed number of comparables. Ryan O'Reilly's own career is excluded (1 row). Distance = square root of the sum of the eight distance pieces; each piece = measure weight x (his standard score - comparable's standard score)^2. Weight = EXP(-(distance^2) / (2 x yardstick^2)). Rows are sorted by weight. 'After valuation date' marks profiles or yearly changes from seasons that had not been played by 2018-07-01: production draws its comparables from the full 2007-2025 data, so these later seasons do inform the valuation (a documented look-ahead limitation).</t>
  </si>
  <si>
    <t>Ryan O'Reilly (the target)</t>
  </si>
  <si>
    <t>Target standard score: Even-strength offence share</t>
  </si>
  <si>
    <t>Target standard score: Even-strength defence share</t>
  </si>
  <si>
    <t>Target standard score: Power-play share</t>
  </si>
  <si>
    <t>Target standard score: Penalty-kill share</t>
  </si>
  <si>
    <t>Target standard score: Shooting share</t>
  </si>
  <si>
    <t>Target standard score: Ice time per game (min)</t>
  </si>
  <si>
    <t>Target standard score: Production level (WAR per 82)</t>
  </si>
  <si>
    <t>Target standard score: Production trend (WAR per 82, per year)</t>
  </si>
  <si>
    <t>Sum of comparable weights</t>
  </si>
  <si>
    <t>Share of weight on the 5 closest</t>
  </si>
  <si>
    <t>Effective number of comparables</t>
  </si>
  <si>
    <t>Share of weight on profiles after valuation date</t>
  </si>
  <si>
    <t>Rank</t>
  </si>
  <si>
    <t>Comparable</t>
  </si>
  <si>
    <t>Profile seasons</t>
  </si>
  <si>
    <t>After valuation date (1 = yes)</t>
  </si>
  <si>
    <t>Value: Even-strength offence share</t>
  </si>
  <si>
    <t>Value: Even-strength defence share</t>
  </si>
  <si>
    <t>Value: Power-play share</t>
  </si>
  <si>
    <t>Value: Penalty-kill share</t>
  </si>
  <si>
    <t>Value: Shooting share</t>
  </si>
  <si>
    <t>Value: Ice time per game (min)</t>
  </si>
  <si>
    <t>Value: Production level (WAR per 82)</t>
  </si>
  <si>
    <t>Value: Production trend (WAR per 82, per year)</t>
  </si>
  <si>
    <t>Standard score: Even-strength offence share</t>
  </si>
  <si>
    <t>Standard score: Even-strength defence share</t>
  </si>
  <si>
    <t>Standard score: Power-play share</t>
  </si>
  <si>
    <t>Standard score: Penalty-kill share</t>
  </si>
  <si>
    <t>Standard score: Shooting share</t>
  </si>
  <si>
    <t>Standard score: Ice time per game (min)</t>
  </si>
  <si>
    <t>Standard score: Production level (WAR per 82)</t>
  </si>
  <si>
    <t>Standard score: Production trend (WAR per 82, per year)</t>
  </si>
  <si>
    <t>Distance piece: Even-strength offence share</t>
  </si>
  <si>
    <t>Distance piece: Even-strength defence share</t>
  </si>
  <si>
    <t>Distance piece: Power-play share</t>
  </si>
  <si>
    <t>Distance piece: Penalty-kill share</t>
  </si>
  <si>
    <t>Distance piece: Shooting share</t>
  </si>
  <si>
    <t>Distance piece: Ice time per game (min)</t>
  </si>
  <si>
    <t>Distance piece: Production level (WAR per 82)</t>
  </si>
  <si>
    <t>Distance piece: Production trend (WAR per 82, per year)</t>
  </si>
  <si>
    <t>Distance in yardsticks</t>
  </si>
  <si>
    <t>Share of total weight</t>
  </si>
  <si>
    <t>Change in WAR per 82, age 26 to 27</t>
  </si>
  <si>
    <t>That change after valuation date (1 = yes)</t>
  </si>
  <si>
    <t>Change in WAR per 82, age 27 to 28</t>
  </si>
  <si>
    <t>Change in WAR per 82, age 28 to 29</t>
  </si>
  <si>
    <t>Change in WAR per 82, age 29 to 30</t>
  </si>
  <si>
    <t>Change in WAR per 82, age 30 to 31</t>
  </si>
  <si>
    <t>Joe Pavelski</t>
  </si>
  <si>
    <t>2009-10 &amp; 2010-11</t>
  </si>
  <si>
    <t>Loui Eriksson</t>
  </si>
  <si>
    <t>2010-11 &amp; 2011-12</t>
  </si>
  <si>
    <t>Nick Suzuki</t>
  </si>
  <si>
    <t>2024-25 &amp; 2025-26</t>
  </si>
  <si>
    <t>Mitch Marner</t>
  </si>
  <si>
    <t>2022-23 &amp; 2023-24</t>
  </si>
  <si>
    <t>Claude Giroux</t>
  </si>
  <si>
    <t>2012-13 &amp; 2013-14</t>
  </si>
  <si>
    <t>Nathan Mackinnon</t>
  </si>
  <si>
    <t>2020-21 &amp; 2021-22</t>
  </si>
  <si>
    <t>Mathew Barzal</t>
  </si>
  <si>
    <t>Ryan Callahan</t>
  </si>
  <si>
    <t>John Tavares</t>
  </si>
  <si>
    <t>2015-16 &amp; 2016-17</t>
  </si>
  <si>
    <t>Corey Perry</t>
  </si>
  <si>
    <t>Kyle Okposo</t>
  </si>
  <si>
    <t>2013-14 &amp; 2014-15</t>
  </si>
  <si>
    <t>William Nylander</t>
  </si>
  <si>
    <t>2021-22 &amp; 2022-23</t>
  </si>
  <si>
    <t>Ryan Kesler</t>
  </si>
  <si>
    <t>Jamie Benn</t>
  </si>
  <si>
    <t>2014-15 &amp; 2015-16</t>
  </si>
  <si>
    <t>Jon Huberdeau</t>
  </si>
  <si>
    <t>2018-19 &amp; 2019-20</t>
  </si>
  <si>
    <t>Artemi Panarin</t>
  </si>
  <si>
    <t>2016-17 &amp; 2017-18</t>
  </si>
  <si>
    <t>Dylan Larkin</t>
  </si>
  <si>
    <t>Mikko Rantanen</t>
  </si>
  <si>
    <t>Mark Scheifele</t>
  </si>
  <si>
    <t>Phil Kessel</t>
  </si>
  <si>
    <t>Jason Spezza</t>
  </si>
  <si>
    <t>2008-09 &amp; 2009-10</t>
  </si>
  <si>
    <t>Alex Steen</t>
  </si>
  <si>
    <t>Jon Toews</t>
  </si>
  <si>
    <t>Drake Batherson</t>
  </si>
  <si>
    <t>2023-24 &amp; 2024-25</t>
  </si>
  <si>
    <t>Sam Reinhart</t>
  </si>
  <si>
    <t>Logan Couture</t>
  </si>
  <si>
    <t>Gabriel Vilardi</t>
  </si>
  <si>
    <t>Clayton Keller</t>
  </si>
  <si>
    <t>Kyle Connor</t>
  </si>
  <si>
    <t>Pat Kane</t>
  </si>
  <si>
    <t>Nick Schmaltz</t>
  </si>
  <si>
    <t>Nikita Kucherov</t>
  </si>
  <si>
    <t>Vladimir Tarasenko</t>
  </si>
  <si>
    <t>Kyle Palmieri</t>
  </si>
  <si>
    <t>Tj Oshie</t>
  </si>
  <si>
    <t>2011-12 &amp; 2012-13</t>
  </si>
  <si>
    <t>Elias Lindholm</t>
  </si>
  <si>
    <t>2019-20 &amp; 2020-21</t>
  </si>
  <si>
    <t>Tomas Hertl</t>
  </si>
  <si>
    <t>James Neal</t>
  </si>
  <si>
    <t>Jesper Bratt</t>
  </si>
  <si>
    <t>Jakub Voracek</t>
  </si>
  <si>
    <t>Dustin Brown</t>
  </si>
  <si>
    <t>Troy Terry</t>
  </si>
  <si>
    <t>Sebastian Aho</t>
  </si>
  <si>
    <t>Bo Horvat</t>
  </si>
  <si>
    <t>Alex Ovechkin</t>
  </si>
  <si>
    <t>Kevin Hayes</t>
  </si>
  <si>
    <t>2017-18 &amp; 2018-19</t>
  </si>
  <si>
    <t>Andrew Ladd</t>
  </si>
  <si>
    <t>Timo Meier</t>
  </si>
  <si>
    <t>Brady Tkachuk</t>
  </si>
  <si>
    <t>Tyler Seguin</t>
  </si>
  <si>
    <t>Filip Forsberg</t>
  </si>
  <si>
    <t>Ryan Nugent Hopkins</t>
  </si>
  <si>
    <t>Brayden Schenn</t>
  </si>
  <si>
    <t>Ondrej Palat</t>
  </si>
  <si>
    <t>Jack Eichel</t>
  </si>
  <si>
    <t>Anze Kopitar</t>
  </si>
  <si>
    <t>Jason Pominville</t>
  </si>
  <si>
    <t>2007-08 &amp; 2008-09</t>
  </si>
  <si>
    <t>Jason Robertson</t>
  </si>
  <si>
    <t>Nikolaj Ehlers</t>
  </si>
  <si>
    <t>Mikko Koivu</t>
  </si>
  <si>
    <t>Nicklas Backstrom</t>
  </si>
  <si>
    <t>Mikael Granlund</t>
  </si>
  <si>
    <t>Joel Eriksson Ek</t>
  </si>
  <si>
    <t>Derek Stepan</t>
  </si>
  <si>
    <t>Jeff Carter</t>
  </si>
  <si>
    <t>Elias Pettersson</t>
  </si>
  <si>
    <t>Aleksander Barkov</t>
  </si>
  <si>
    <t>Wayne Simmonds</t>
  </si>
  <si>
    <t>Oliver Bjorkstrand</t>
  </si>
  <si>
    <t>Max Pacioretty</t>
  </si>
  <si>
    <t>Tage Thompson</t>
  </si>
  <si>
    <t>Sidney Crosby</t>
  </si>
  <si>
    <t>Ryan Getzlaf</t>
  </si>
  <si>
    <t>Alex Debrincat</t>
  </si>
  <si>
    <t>Eric Staal</t>
  </si>
  <si>
    <t>Jason Zucker</t>
  </si>
  <si>
    <t>Roope Hintz</t>
  </si>
  <si>
    <t>Paul Stastny</t>
  </si>
  <si>
    <t>Tyler Bozak</t>
  </si>
  <si>
    <t>Brandon Hagel</t>
  </si>
  <si>
    <t>Josh Norris</t>
  </si>
  <si>
    <t>Brendan Gallagher</t>
  </si>
  <si>
    <t>Chris Kreider</t>
  </si>
  <si>
    <t>Sean Couturier</t>
  </si>
  <si>
    <t>Jakob Silfverberg</t>
  </si>
  <si>
    <t>Tyler Johnson</t>
  </si>
  <si>
    <t>Robert Thomas</t>
  </si>
  <si>
    <t>Marcus Johansson</t>
  </si>
  <si>
    <t>Kyle Turris</t>
  </si>
  <si>
    <t>Tomas Plekanec</t>
  </si>
  <si>
    <t>Anthony Mantha</t>
  </si>
  <si>
    <t>Nico Hischier</t>
  </si>
  <si>
    <t>Travis Konecny</t>
  </si>
  <si>
    <t>Nick Bonino</t>
  </si>
  <si>
    <t>Alex Tuch</t>
  </si>
  <si>
    <t>Pavel Buchnevich</t>
  </si>
  <si>
    <t>Martin Necas</t>
  </si>
  <si>
    <t>Nathan Horton</t>
  </si>
  <si>
    <t>Carter Verhaeghe</t>
  </si>
  <si>
    <t>Brandon Sutter</t>
  </si>
  <si>
    <t>Jordan Kyrou</t>
  </si>
  <si>
    <t>David Perron</t>
  </si>
  <si>
    <t>David Krejci</t>
  </si>
  <si>
    <t>Evander Kane</t>
  </si>
  <si>
    <t>Adam Henrique</t>
  </si>
  <si>
    <t>Yanni Gourde</t>
  </si>
  <si>
    <t>Jordan Eberle</t>
  </si>
  <si>
    <t>Thomas Vanek</t>
  </si>
  <si>
    <t>Alex Killorn</t>
  </si>
  <si>
    <t>Anthony Cirelli</t>
  </si>
  <si>
    <t>Reilly Smith</t>
  </si>
  <si>
    <t>Blake Wheeler</t>
  </si>
  <si>
    <t>Ryan Mcleod</t>
  </si>
  <si>
    <t>Mikael Backlund</t>
  </si>
  <si>
    <t>Tom Wilson</t>
  </si>
  <si>
    <t>Brad Marchand</t>
  </si>
  <si>
    <t>Jake Guentzel</t>
  </si>
  <si>
    <t>William Karlsson</t>
  </si>
  <si>
    <t>Valtteri Filppula</t>
  </si>
  <si>
    <t>Mark Letestu</t>
  </si>
  <si>
    <t>Jake Debrusk</t>
  </si>
  <si>
    <t>Teuvo Teravainen</t>
  </si>
  <si>
    <t>Patrice Bergeron</t>
  </si>
  <si>
    <t>Ilya Kovalchuk</t>
  </si>
  <si>
    <t>Troy Brouwer</t>
  </si>
  <si>
    <t>Jt Miller</t>
  </si>
  <si>
    <t>Pavel Zacha</t>
  </si>
  <si>
    <t>Artem Anisimov</t>
  </si>
  <si>
    <t>Matt Read</t>
  </si>
  <si>
    <t>Kirill Kaprizov</t>
  </si>
  <si>
    <t>Mike Bunting</t>
  </si>
  <si>
    <t>Owen Tippett</t>
  </si>
  <si>
    <t>David Backes</t>
  </si>
  <si>
    <t>Dylan Strome</t>
  </si>
  <si>
    <t>Clarke Macarthur</t>
  </si>
  <si>
    <t>Lawson Crouse</t>
  </si>
  <si>
    <t>Kevin Labanc</t>
  </si>
  <si>
    <t>Jeff Skinner</t>
  </si>
  <si>
    <t>Gustav Nyquist</t>
  </si>
  <si>
    <t>Adrian Kempe</t>
  </si>
  <si>
    <t>Bobby Ryan</t>
  </si>
  <si>
    <t>Johnny Gaudreau</t>
  </si>
  <si>
    <t>Calle Jarnkrok</t>
  </si>
  <si>
    <t>Conor Garland</t>
  </si>
  <si>
    <t>David Pastrnak</t>
  </si>
  <si>
    <t>Mike Hoffman</t>
  </si>
  <si>
    <t>Viktor Arvidsson</t>
  </si>
  <si>
    <t>Erik Haula</t>
  </si>
  <si>
    <t>Vladimir Sobotka</t>
  </si>
  <si>
    <t>Tyler Toffoli</t>
  </si>
  <si>
    <t>Cam Atkinson</t>
  </si>
  <si>
    <t>Valeri Nichushkin</t>
  </si>
  <si>
    <t>Ryan Johansen</t>
  </si>
  <si>
    <t>Andre Burakovsky</t>
  </si>
  <si>
    <t>Derick Brassard</t>
  </si>
  <si>
    <t>Mike Frolik</t>
  </si>
  <si>
    <t>Sven Baertschi</t>
  </si>
  <si>
    <t>Leon Draisaitl</t>
  </si>
  <si>
    <t>Robby Fabbri</t>
  </si>
  <si>
    <t>Sean Monahan</t>
  </si>
  <si>
    <t>Taylor Hall</t>
  </si>
  <si>
    <t>Mikkel Boedker</t>
  </si>
  <si>
    <t>Jon Marchessault</t>
  </si>
  <si>
    <t>Gabriel Landeskog</t>
  </si>
  <si>
    <t>Tomas Tatar</t>
  </si>
  <si>
    <t>Andrew Cogliano</t>
  </si>
  <si>
    <t>Bryan Little</t>
  </si>
  <si>
    <t>Zach Hyman</t>
  </si>
  <si>
    <t>Nino Niederreiter</t>
  </si>
  <si>
    <t>Martin Hanzal</t>
  </si>
  <si>
    <t>Craig Smith</t>
  </si>
  <si>
    <t>Matt Duchene</t>
  </si>
  <si>
    <t>Jakub Vrana</t>
  </si>
  <si>
    <t>Ryan Dzingel</t>
  </si>
  <si>
    <t>Jordan Staal</t>
  </si>
  <si>
    <t>Frans Nielsen</t>
  </si>
  <si>
    <t>Kevin Fiala</t>
  </si>
  <si>
    <t>Chandler Stephenson</t>
  </si>
  <si>
    <t>Scott Laughton</t>
  </si>
  <si>
    <t>Andrew Copp</t>
  </si>
  <si>
    <t>Nazem Kadri</t>
  </si>
  <si>
    <t>Rickard Rakell</t>
  </si>
  <si>
    <t>Phillip Danault</t>
  </si>
  <si>
    <t>Alex Iafallo</t>
  </si>
  <si>
    <t>Evgeny Kuznetsov</t>
  </si>
  <si>
    <t>Joonas Donskoi</t>
  </si>
  <si>
    <t>Jt Compher</t>
  </si>
  <si>
    <t>Sam Bennett</t>
  </si>
  <si>
    <t>Evgeni Malkin</t>
  </si>
  <si>
    <t>Scott Hartnell</t>
  </si>
  <si>
    <t>Nicolas Roy</t>
  </si>
  <si>
    <t>Lars Eller</t>
  </si>
  <si>
    <t>Josh Leivo</t>
  </si>
  <si>
    <t>Dominik Kubalik</t>
  </si>
  <si>
    <t>Richard Panik</t>
  </si>
  <si>
    <t>Vladislav Namestnikov</t>
  </si>
  <si>
    <t>Yegor Sharangovich</t>
  </si>
  <si>
    <t>Morgan Frost</t>
  </si>
  <si>
    <t>Joel Armia</t>
  </si>
  <si>
    <t>Milan Lucic</t>
  </si>
  <si>
    <t>Sonny Milano</t>
  </si>
  <si>
    <t>Lee Stempniak</t>
  </si>
  <si>
    <t>Drew Stafford</t>
  </si>
  <si>
    <t>Nick Bjugstad</t>
  </si>
  <si>
    <t>Casey Mittelstadt</t>
  </si>
  <si>
    <t>Matt Calvert</t>
  </si>
  <si>
    <t>Nick Foligno</t>
  </si>
  <si>
    <t>Brandon Dubinsky</t>
  </si>
  <si>
    <t>Carl Hagelin</t>
  </si>
  <si>
    <t>Zach Sanford</t>
  </si>
  <si>
    <t>Bryan Rust</t>
  </si>
  <si>
    <t>Vincent Trocheck</t>
  </si>
  <si>
    <t>Alex Wennberg</t>
  </si>
  <si>
    <t>Justin Abdelkader</t>
  </si>
  <si>
    <t>Dave Bolland</t>
  </si>
  <si>
    <t>Colton Sissons</t>
  </si>
  <si>
    <t>Morgan Geekie</t>
  </si>
  <si>
    <t>Pierre Luc Dubois</t>
  </si>
  <si>
    <t>Brandon Saad</t>
  </si>
  <si>
    <t>Anthony Duclair</t>
  </si>
  <si>
    <t>Ryan Poehling</t>
  </si>
  <si>
    <t>Mark Stone</t>
  </si>
  <si>
    <t>Artturi Lehkonen</t>
  </si>
  <si>
    <t>Ryan Strome</t>
  </si>
  <si>
    <t>Matt Tkachuk</t>
  </si>
  <si>
    <t>Victor Olofsson</t>
  </si>
  <si>
    <t>Noah Cates</t>
  </si>
  <si>
    <t>Colin Wilson</t>
  </si>
  <si>
    <t>Jean Gabriel Pageau</t>
  </si>
  <si>
    <t>Charlie Coyle</t>
  </si>
  <si>
    <t>Tyler Ennis</t>
  </si>
  <si>
    <t>Josh Bailey</t>
  </si>
  <si>
    <t>Eeli Tolvanen</t>
  </si>
  <si>
    <t>Chris Stewart</t>
  </si>
  <si>
    <t>Tanner Pearson</t>
  </si>
  <si>
    <t>Radek Faksa</t>
  </si>
  <si>
    <t>Jaden Schwartz</t>
  </si>
  <si>
    <t>Nathan Gerbe</t>
  </si>
  <si>
    <t>Mika Zibanejad</t>
  </si>
  <si>
    <t>Conor Sheary</t>
  </si>
  <si>
    <t>Benoit Pouliot</t>
  </si>
  <si>
    <t>Kyle Brodziak</t>
  </si>
  <si>
    <t>Mike Grabner</t>
  </si>
  <si>
    <t>Sam Gagner</t>
  </si>
  <si>
    <t>Teddy Blueger</t>
  </si>
  <si>
    <t>Pius Suter</t>
  </si>
  <si>
    <t>Andreas Johnsson</t>
  </si>
  <si>
    <t>Connor Brown</t>
  </si>
  <si>
    <t>Mathieu Perreault</t>
  </si>
  <si>
    <t>Pierre Engvall</t>
  </si>
  <si>
    <t>Jesper Fast</t>
  </si>
  <si>
    <t>Mike Amadio</t>
  </si>
  <si>
    <t>Paul Byron</t>
  </si>
  <si>
    <t>James Van Riemsdyk</t>
  </si>
  <si>
    <t>Oskar Sundqvist</t>
  </si>
  <si>
    <t>Andreas Athanasiou</t>
  </si>
  <si>
    <t>Jared Mccann</t>
  </si>
  <si>
    <t>Mike Cammalleri</t>
  </si>
  <si>
    <t>Frank Vatrano</t>
  </si>
  <si>
    <t>Tyler Motte</t>
  </si>
  <si>
    <t>Micheal Ferland</t>
  </si>
  <si>
    <t>Mason Appleton</t>
  </si>
  <si>
    <t>Pat Eaves</t>
  </si>
  <si>
    <t>Brayden Point</t>
  </si>
  <si>
    <t>Riley Nash</t>
  </si>
  <si>
    <t>Jimmy Vesey</t>
  </si>
  <si>
    <t>Derek Dorsett</t>
  </si>
  <si>
    <t>Trevor Moore</t>
  </si>
  <si>
    <t>Andrew Shaw</t>
  </si>
  <si>
    <t>Evan Rodrigues</t>
  </si>
  <si>
    <t>Brock Nelson</t>
  </si>
  <si>
    <t>Patrik Berglund</t>
  </si>
  <si>
    <t>Boone Jenner</t>
  </si>
  <si>
    <t>Fabian Zetterlund</t>
  </si>
  <si>
    <t>Jake Evans</t>
  </si>
  <si>
    <t>David Clarkson</t>
  </si>
  <si>
    <t>Nick Cousins</t>
  </si>
  <si>
    <t>Nick Ritchie</t>
  </si>
  <si>
    <t>Zach Aston Reese</t>
  </si>
  <si>
    <t>Mike Raffl</t>
  </si>
  <si>
    <t>Eetu Luostarinen</t>
  </si>
  <si>
    <t>Marcus Sorensen</t>
  </si>
  <si>
    <t>Ryan Spooner</t>
  </si>
  <si>
    <t>Tom Pyatt</t>
  </si>
  <si>
    <t>Patric Hornqvist</t>
  </si>
  <si>
    <t>Antoine Roussel</t>
  </si>
  <si>
    <t>Ilya Mikheyev</t>
  </si>
  <si>
    <t>Cody Glass</t>
  </si>
  <si>
    <t>Trent Frederic</t>
  </si>
  <si>
    <t>Jordan Martinook</t>
  </si>
  <si>
    <t>Rick Nash</t>
  </si>
  <si>
    <t>Danton Heinen</t>
  </si>
  <si>
    <t>Kasperi Kapanen</t>
  </si>
  <si>
    <t>Nick Paul</t>
  </si>
  <si>
    <t>Chris Tierney</t>
  </si>
  <si>
    <t>Jimmy Hayes</t>
  </si>
  <si>
    <t>Andrew Mangiapane</t>
  </si>
  <si>
    <t>Alex Kerfoot</t>
  </si>
  <si>
    <t>Colton Sceviour</t>
  </si>
  <si>
    <t>Philipp Kurashev</t>
  </si>
  <si>
    <t>Melker Karlsson</t>
  </si>
  <si>
    <t>Anders Lee</t>
  </si>
  <si>
    <t>Ivan Barbashev</t>
  </si>
  <si>
    <t>Zemgus Girgensons</t>
  </si>
  <si>
    <t>Markus Granlund</t>
  </si>
  <si>
    <t>Marcus Foligno</t>
  </si>
  <si>
    <t>Erik Condra</t>
  </si>
  <si>
    <t>Dan Sprong</t>
  </si>
  <si>
    <t>Auston Matthews</t>
  </si>
  <si>
    <t>Pontus Holmberg</t>
  </si>
  <si>
    <t>Brett Connolly</t>
  </si>
  <si>
    <t>Brock Boeser</t>
  </si>
  <si>
    <t>Mattias Janmark</t>
  </si>
  <si>
    <t>Christian Fischer</t>
  </si>
  <si>
    <t>Christian Dvorak</t>
  </si>
  <si>
    <t>Alex Texier</t>
  </si>
  <si>
    <t>Jordan Weal</t>
  </si>
  <si>
    <t>Adam Lowry</t>
  </si>
  <si>
    <t>Tyler Pitlick</t>
  </si>
  <si>
    <t>Jack Roslovic</t>
  </si>
  <si>
    <t>Yakov Trenin</t>
  </si>
  <si>
    <t>Jesper Boqvist</t>
  </si>
  <si>
    <t>Curtis Lazar</t>
  </si>
  <si>
    <t>Logan Oconnor</t>
  </si>
  <si>
    <t>Casey Cizikas</t>
  </si>
  <si>
    <t>Ryan Donato</t>
  </si>
  <si>
    <t>Max Domi</t>
  </si>
  <si>
    <t>Cal Clutterbuck</t>
  </si>
  <si>
    <t>Drew Oconnor</t>
  </si>
  <si>
    <t>Vinnie Hinostroza</t>
  </si>
  <si>
    <t>Alex Chiasson</t>
  </si>
  <si>
    <t>Eric Robinson</t>
  </si>
  <si>
    <t>Mathieu Joseph</t>
  </si>
  <si>
    <t>Ryan Hartman</t>
  </si>
  <si>
    <t>Adam Erne</t>
  </si>
  <si>
    <t>Ross Colton</t>
  </si>
  <si>
    <t>Jason Dickinson</t>
  </si>
  <si>
    <t>Magnus Paajarvi</t>
  </si>
  <si>
    <t>Luke Glendening</t>
  </si>
  <si>
    <t>Noel Acciari</t>
  </si>
  <si>
    <t>Kevin Rooney</t>
  </si>
  <si>
    <t>Josh Archibald</t>
  </si>
  <si>
    <t>Linus Karlsson</t>
  </si>
  <si>
    <t>Blake Lizotte</t>
  </si>
  <si>
    <t>Jordan Greenway</t>
  </si>
  <si>
    <t>Nico Sturm</t>
  </si>
  <si>
    <t>Brett Howden</t>
  </si>
  <si>
    <t>Zack Smith</t>
  </si>
  <si>
    <t>Chris Terry</t>
  </si>
  <si>
    <t>Warren Foegele</t>
  </si>
  <si>
    <t>Jon Drouin</t>
  </si>
  <si>
    <t>Brock Mcginn</t>
  </si>
  <si>
    <t>Pat Maroon</t>
  </si>
  <si>
    <t>Josh Jooris</t>
  </si>
  <si>
    <t>Brad Richardson</t>
  </si>
  <si>
    <t>Carl Grundstrom</t>
  </si>
  <si>
    <t>Brian Flynn</t>
  </si>
  <si>
    <t>Barclay Goodrow</t>
  </si>
  <si>
    <t>Mike Rasmussen</t>
  </si>
  <si>
    <t>Sean Kuraly</t>
  </si>
  <si>
    <t>Sam Steel</t>
  </si>
  <si>
    <t>Oscar Lindberg</t>
  </si>
  <si>
    <t>Paul Cotter</t>
  </si>
  <si>
    <t>Peter Holland</t>
  </si>
  <si>
    <t>Kevin Porter</t>
  </si>
  <si>
    <t>Drake Caggiula</t>
  </si>
  <si>
    <t>Dryden Hunt</t>
  </si>
  <si>
    <t>Matt Beleskey</t>
  </si>
  <si>
    <t>Keegan Kolesar</t>
  </si>
  <si>
    <t>Rocco Grimaldi</t>
  </si>
  <si>
    <t>Jack Mcbain</t>
  </si>
  <si>
    <t>Cody Eakin</t>
  </si>
  <si>
    <t>Connor Dewar</t>
  </si>
  <si>
    <t>Matt Nieto</t>
  </si>
  <si>
    <t>Jt Brown</t>
  </si>
  <si>
    <t>Kurtis Macdermid</t>
  </si>
  <si>
    <t>Dakota Joshua</t>
  </si>
  <si>
    <t>Austin Watson</t>
  </si>
  <si>
    <t>Parker Kelly</t>
  </si>
  <si>
    <t>Anthony Beauvillier</t>
  </si>
  <si>
    <t>Steve Lorentz</t>
  </si>
  <si>
    <t>David Kampf</t>
  </si>
  <si>
    <t>Nate Thompson</t>
  </si>
  <si>
    <t>Brian Boyle</t>
  </si>
  <si>
    <t>Matt Martin</t>
  </si>
  <si>
    <t>Eric Fehr</t>
  </si>
  <si>
    <t>Devin Shore</t>
  </si>
  <si>
    <t>Mason Marchment</t>
  </si>
  <si>
    <t>Brian Gibbons</t>
  </si>
  <si>
    <t>Riley Sheahan</t>
  </si>
  <si>
    <t>Cedric Paquette</t>
  </si>
  <si>
    <t>Trevor Lewis</t>
  </si>
  <si>
    <t>Mark Kastelic</t>
  </si>
  <si>
    <t>Dale Weise</t>
  </si>
  <si>
    <t>Alex Galchenyuk</t>
  </si>
  <si>
    <t>Dan Carr</t>
  </si>
  <si>
    <t>Karson Kuhlman</t>
  </si>
  <si>
    <t>Jesse Puljujarvi</t>
  </si>
  <si>
    <t>Chris Wagner</t>
  </si>
  <si>
    <t>Travis Boyd</t>
  </si>
  <si>
    <t>Jay Beagle</t>
  </si>
  <si>
    <t>Tomas Nosek</t>
  </si>
  <si>
    <t>Juho Lammikko</t>
  </si>
  <si>
    <t>Connor Mcdavid</t>
  </si>
  <si>
    <t>Greg Mckegg</t>
  </si>
  <si>
    <t>Brandon Tanev</t>
  </si>
  <si>
    <t>Devante Smith Pelly</t>
  </si>
  <si>
    <t>Marcus Kruger</t>
  </si>
  <si>
    <t>Beck Malenstyn</t>
  </si>
  <si>
    <t>Nathan Bastian</t>
  </si>
  <si>
    <t>Taylor Raddysh</t>
  </si>
  <si>
    <t>Evgeny Svechnikov</t>
  </si>
  <si>
    <t>Jordan Schroeder</t>
  </si>
  <si>
    <t>Josh Anderson</t>
  </si>
  <si>
    <t>Julien Gauthier</t>
  </si>
  <si>
    <t>Tobias Rieder</t>
  </si>
  <si>
    <t>Alexey Toropchenko</t>
  </si>
  <si>
    <t>Mathieu Olivier</t>
  </si>
  <si>
    <t>Blake Coleman</t>
  </si>
  <si>
    <t>Nicolas Aube Kubel</t>
  </si>
  <si>
    <t>Martin Pospisil</t>
  </si>
  <si>
    <t>Marc Gatcomb</t>
  </si>
  <si>
    <t>Taylor Pyatt</t>
  </si>
  <si>
    <t>Steve Bernier</t>
  </si>
  <si>
    <t>Mark Jankowski</t>
  </si>
  <si>
    <t>Brandon Duhaime</t>
  </si>
  <si>
    <t>Oskar Lindblom</t>
  </si>
  <si>
    <t>Johan Larsson</t>
  </si>
  <si>
    <t>Luke Kunin</t>
  </si>
  <si>
    <t>Garnet Hathaway</t>
  </si>
  <si>
    <t>Isac Lundestrom</t>
  </si>
  <si>
    <t>Blake Comeau</t>
  </si>
  <si>
    <t>William Carrier</t>
  </si>
  <si>
    <t>Joakim Nordstrom</t>
  </si>
  <si>
    <t>Tanner Jeannot</t>
  </si>
  <si>
    <t>Morgan Barron</t>
  </si>
  <si>
    <t>Sam Lafferty</t>
  </si>
  <si>
    <t>Jujhar Khaira</t>
  </si>
  <si>
    <t>Brendan Lemieux</t>
  </si>
  <si>
    <t>Joe Veleno</t>
  </si>
  <si>
    <t>Chris Thorburn</t>
  </si>
  <si>
    <t>Walker Duehr</t>
  </si>
  <si>
    <t>Joel Kiviranta</t>
  </si>
  <si>
    <t>Phillip Di Giuseppe</t>
  </si>
  <si>
    <t>Stefan Noesen</t>
  </si>
  <si>
    <t>Tom Kuhnhackl</t>
  </si>
  <si>
    <t>Mackenzie Maceachern</t>
  </si>
  <si>
    <t>Noah Gregor</t>
  </si>
  <si>
    <t>Cody Mcleod</t>
  </si>
  <si>
    <t>Max Jones</t>
  </si>
  <si>
    <t>Colin White</t>
  </si>
  <si>
    <t>Tyson Jost</t>
  </si>
  <si>
    <t>Zack Kassian</t>
  </si>
  <si>
    <t>Jansen Harkins</t>
  </si>
  <si>
    <t>Victor Rask</t>
  </si>
  <si>
    <t>Andreas Martinsen</t>
  </si>
  <si>
    <t>John Hayden</t>
  </si>
  <si>
    <t>Brad Malone</t>
  </si>
  <si>
    <t>Dylan Gambrell</t>
  </si>
  <si>
    <t>Kyle Maclean</t>
  </si>
  <si>
    <t>Kyle Clifford</t>
  </si>
  <si>
    <t>Nicolas Deslauriers</t>
  </si>
  <si>
    <t>Jonah Gadjovich</t>
  </si>
  <si>
    <t>Brett Ritchie</t>
  </si>
  <si>
    <t>Ben Jones</t>
  </si>
  <si>
    <t>Andy Andreoff</t>
  </si>
  <si>
    <t>Zack Macewen</t>
  </si>
  <si>
    <t>Jordan Nolan</t>
  </si>
  <si>
    <t>Ryan Reaves</t>
  </si>
  <si>
    <t>Mike Pezzetta</t>
  </si>
  <si>
    <t>Anthony Peluso</t>
  </si>
  <si>
    <t>Ryan O'Reilly: from comparables to projected WAR</t>
  </si>
  <si>
    <t>Step A. Pull his starting curve level toward 'players like him'</t>
  </si>
  <si>
    <t>The aging curve runs in WAR per 82 games. It starts from his own two-season level, then pulls 45% of the way toward the weighted level of his comparables. That comparable level is itself blended with the league average for forwards of his age, which counts as if it were one more comparable carrying K_league units of weight.</t>
  </si>
  <si>
    <t>His own level (WAR per 82, two-season average)</t>
  </si>
  <si>
    <t>Comparables' weighted level (their own production-level measure)</t>
  </si>
  <si>
    <t>League average level, forwards aged 26</t>
  </si>
  <si>
    <t>Weight on the league average</t>
  </si>
  <si>
    <t>'Players like him' level = (weighted comparables + league) / total weight</t>
  </si>
  <si>
    <t>Share of that level coming from the comparables</t>
  </si>
  <si>
    <t>Share kept from his own level</t>
  </si>
  <si>
    <t>Starting curve level at age 26 = kept x own + (1 - kept) x players-like-him</t>
  </si>
  <si>
    <t>Step B. Walk the curve forward one year at a time</t>
  </si>
  <si>
    <t>Each year's change is the weighted average of what his comparables' production did over that same year of age, using only comparables still playing at both ages, again blended with the league average change for forwards of that age. The weights are the same ones set at age 26; comparables who drop out simply stop contributing (the count falls).</t>
  </si>
  <si>
    <t>From age</t>
  </si>
  <si>
    <t>To age</t>
  </si>
  <si>
    <t>Comparables with both seasons</t>
  </si>
  <si>
    <t>Their total weight</t>
  </si>
  <si>
    <t>Comparables' weighted change</t>
  </si>
  <si>
    <t>League average change</t>
  </si>
  <si>
    <t>Change used</t>
  </si>
  <si>
    <t>Curve level (WAR per 82)</t>
  </si>
  <si>
    <t>Share of weight from changes after valuation date</t>
  </si>
  <si>
    <t>start (age 26)</t>
  </si>
  <si>
    <t>Step C. Turn the curve into projected WAR for each contract season</t>
  </si>
  <si>
    <t>The curve is used only for its SHAPE. Each season's multiplier = curve level that season / curve level in the valuation season (age 27). Projected WAR = starting level (a season total, sheet 1) x multiplier, with the multiplier kept between RatioFloor and RatioCap. If the curve level in the valuation season is at or below BaseFloor, the projection holds flat. The valuation season itself always has multiplier 1.</t>
  </si>
  <si>
    <t>Contract season</t>
  </si>
  <si>
    <t>Multiplier (raw)</t>
  </si>
  <si>
    <t>Multiplier used</t>
  </si>
  <si>
    <t>Projected WAR</t>
  </si>
  <si>
    <t>Hindsight: actual games</t>
  </si>
  <si>
    <t>Hindsight: actual WAR (season-length adjusted)</t>
  </si>
  <si>
    <t>Hindsight columns are for comparison only; the model never sees them. The projection is a forecast of his production if he keeps playing; the separate exit probabilities (not shown here) handle the chance he does not.</t>
  </si>
  <si>
    <t>Nazem Kadri: every season of WAR</t>
  </si>
  <si>
    <t>Traded Toronto to Colorado on 2019-07-01. The model values him as of the 2019-20 season, so it may use seasons up to 2018-19 only. Grey rows are later seasons, shown for hindsight and never used by the model. Source: Patrick Bacon's WAR export (10_SOURCE/WAR.csv); a season split between two teams is added together into one row.</t>
  </si>
  <si>
    <t>TOR</t>
  </si>
  <si>
    <t>starting level (if 10+ games); comparison profile at age 27</t>
  </si>
  <si>
    <t>starting level (if 10+ games); comparison profile at age 28</t>
  </si>
  <si>
    <t>CGY</t>
  </si>
  <si>
    <t>CGY/COL</t>
  </si>
  <si>
    <t>Nazem Kadri: his comparison profile</t>
  </si>
  <si>
    <t>He is 29 in the valuation season (2019-20). The comparison is made one season earlier, at age 28, so it rests only on completed seasons (2018-19 and before). His profile at age 28 uses his two consecutive seasons at ages 27 and 28, each with at least 20 games. It is then compared with every other forward's profile at age 28.</t>
  </si>
  <si>
    <t>Nazem Kadri: every forward profile at age 28, and how close each one is</t>
  </si>
  <si>
    <t>Every forward with a qualifying two-season profile at age 28 is eligible; there is no fixed number of comparables. Nazem Kadri's own career is excluded (1 row). Distance = square root of the sum of the eight distance pieces; each piece = measure weight x (his standard score - comparable's standard score)^2. Weight = EXP(-(distance^2) / (2 x yardstick^2)). Rows are sorted by weight. 'After valuation date' marks profiles or yearly changes from seasons that had not been played by 2019-07-01: production draws its comparables from the full 2007-2025 data, so these later seasons do inform the valuation (a documented look-ahead limitation).</t>
  </si>
  <si>
    <t>Nazem Kadri (the target)</t>
  </si>
  <si>
    <t>Andrei Kuzmenko</t>
  </si>
  <si>
    <t>Darren Helm</t>
  </si>
  <si>
    <t>Ryan Oreilly</t>
  </si>
  <si>
    <t>Jamie Mcginn</t>
  </si>
  <si>
    <t>Marian Gaborik</t>
  </si>
  <si>
    <t>Thomas Novak</t>
  </si>
  <si>
    <t>Colin Blackwell</t>
  </si>
  <si>
    <t>Nikita Gusev</t>
  </si>
  <si>
    <t>Hudson Fasching</t>
  </si>
  <si>
    <t>Alex Burrows</t>
  </si>
  <si>
    <t>Mike Carcone</t>
  </si>
  <si>
    <t>Zach Parise</t>
  </si>
  <si>
    <t>Jori Lehtera</t>
  </si>
  <si>
    <t>Bobby Mcmann</t>
  </si>
  <si>
    <t>Ryan Lomberg</t>
  </si>
  <si>
    <t>Derek Grant</t>
  </si>
  <si>
    <t>Ryan Carpenter</t>
  </si>
  <si>
    <t>Matt Moulson</t>
  </si>
  <si>
    <t>Nathan Walker</t>
  </si>
  <si>
    <t>Mike Eyssimont</t>
  </si>
  <si>
    <t>Tim Schaller</t>
  </si>
  <si>
    <t>Tyler Bertuzzi</t>
  </si>
  <si>
    <t>Travis Zajac</t>
  </si>
  <si>
    <t>Henrik Zetterberg</t>
  </si>
  <si>
    <t>Alex Barabanov</t>
  </si>
  <si>
    <t>Mats Zuccarello</t>
  </si>
  <si>
    <t>Kevin Stenlund</t>
  </si>
  <si>
    <t>Kiefer Sherwood</t>
  </si>
  <si>
    <t>Miles Wood</t>
  </si>
  <si>
    <t>Matt Ellis</t>
  </si>
  <si>
    <t>Mike Mccarron</t>
  </si>
  <si>
    <t>Cole Smith</t>
  </si>
  <si>
    <t>Aj Greer</t>
  </si>
  <si>
    <t>Steve Stamkos</t>
  </si>
  <si>
    <t>Carter Rowney</t>
  </si>
  <si>
    <t>Zac Rinaldo</t>
  </si>
  <si>
    <t>Gabriel Bourque</t>
  </si>
  <si>
    <t>Justin Williams</t>
  </si>
  <si>
    <t>Liam Obrien</t>
  </si>
  <si>
    <t>Luke Witkowski</t>
  </si>
  <si>
    <t>Nic Dowd</t>
  </si>
  <si>
    <t>Par Lindholm</t>
  </si>
  <si>
    <t>Nazem Kadri: from comparables to projected WAR</t>
  </si>
  <si>
    <t>League average level, forwards aged 28</t>
  </si>
  <si>
    <t>Starting curve level at age 28 = kept x own + (1 - kept) x players-like-him</t>
  </si>
  <si>
    <t>Each year's change is the weighted average of what his comparables' production did over that same year of age, using only comparables still playing at both ages, again blended with the league average change for forwards of that age. The weights are the same ones set at age 28; comparables who drop out simply stop contributing (the count falls).</t>
  </si>
  <si>
    <t>start (age 28)</t>
  </si>
  <si>
    <t>The curve is used only for its SHAPE. Each season's multiplier = curve level that season / curve level in the valuation season (age 29). Projected WAR = starting level (a season total, sheet 1) x multiplier, with the multiplier kept between RatioFloor and RatioCap. If the curve level in the valuation season is at or below BaseFloor, the projection holds flat. The valuation season itself always has multiplier 1.</t>
  </si>
  <si>
    <t>Max Pacioretty: every season of WAR</t>
  </si>
  <si>
    <t>Traded Montreal to Vegas on 2018-09-10. The model values him as of the 2018-19 season, so it may use seasons up to 2017-18 only. Grey rows are later seasons, shown for hindsight and never used by the model. Source: Patrick Bacon's WAR export (10_SOURCE/WAR.csv); a season split between two teams is added together into one row.</t>
  </si>
  <si>
    <t>2008-09</t>
  </si>
  <si>
    <t>MTL</t>
  </si>
  <si>
    <t>starting level (if 10+ games); comparison profile at age 29</t>
  </si>
  <si>
    <t>VGK</t>
  </si>
  <si>
    <t>CAR</t>
  </si>
  <si>
    <t>WSH</t>
  </si>
  <si>
    <t>Max Pacioretty: his comparison profile</t>
  </si>
  <si>
    <t>He is 30 in the valuation season (2018-19). The comparison is made one season earlier, at age 29, so it rests only on completed seasons (2017-18 and before). His profile at age 29 uses his two consecutive seasons at ages 28 and 29, each with at least 20 games. It is then compared with every other forward's profile at age 29.</t>
  </si>
  <si>
    <t>Max Pacioretty: every forward profile at age 29, and how close each one is</t>
  </si>
  <si>
    <t>Every forward with a qualifying two-season profile at age 29 is eligible; there is no fixed number of comparables. Max Pacioretty's own career is excluded (1 row). Distance = square root of the sum of the eight distance pieces; each piece = measure weight x (his standard score - comparable's standard score)^2. Weight = EXP(-(distance^2) / (2 x yardstick^2)). Rows are sorted by weight. 'After valuation date' marks profiles or yearly changes from seasons that had not been played by 2018-09-10: production draws its comparables from the full 2007-2025 data, so these later seasons do inform the valuation (a documented look-ahead limitation).</t>
  </si>
  <si>
    <t>Max Pacioretty (the target)</t>
  </si>
  <si>
    <t>Change in WAR per 82, age 31 to 32</t>
  </si>
  <si>
    <t>Change in WAR per 82, age 32 to 33</t>
  </si>
  <si>
    <t>Change in WAR per 82, age 33 to 34</t>
  </si>
  <si>
    <t>Evgeny Dadonov</t>
  </si>
  <si>
    <t>Carl Soderberg</t>
  </si>
  <si>
    <t>Frederick Gaudreau</t>
  </si>
  <si>
    <t>Joe Thornton</t>
  </si>
  <si>
    <t>Adam Gaudette</t>
  </si>
  <si>
    <t>Chris Kunitz</t>
  </si>
  <si>
    <t>Matt Hendricks</t>
  </si>
  <si>
    <t>Vinni Lettieri</t>
  </si>
  <si>
    <t>Justin Kirkland</t>
  </si>
  <si>
    <t>Johan Franzen</t>
  </si>
  <si>
    <t>Gaetan Haas</t>
  </si>
  <si>
    <t>Pat Marleau</t>
  </si>
  <si>
    <t>Leo Komarov</t>
  </si>
  <si>
    <t>Tanner Kero</t>
  </si>
  <si>
    <t>Max Pacioretty: from comparables to projected WAR</t>
  </si>
  <si>
    <t>League average level, forwards aged 29</t>
  </si>
  <si>
    <t>Starting curve level at age 29 = kept x own + (1 - kept) x players-like-him</t>
  </si>
  <si>
    <t>Each year's change is the weighted average of what his comparables' production did over that same year of age, using only comparables still playing at both ages, again blended with the league average change for forwards of that age. The weights are the same ones set at age 29; comparables who drop out simply stop contributing (the count falls).</t>
  </si>
  <si>
    <t>start (age 29)</t>
  </si>
  <si>
    <t>The curve is used only for its SHAPE. Each season's multiplier = curve level that season / curve level in the valuation season (age 30). Projected WAR = starting level (a season total, sheet 1) x multiplier, with the multiplier kept between RatioFloor and RatioCap. If the curve level in the valuation season is at or below BaseFloor, the projection holds flat. The valuation season itself always has multiplier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</si>
</sst>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
  </numFmts>
  <fonts count="9" x14ac:knownFonts="1">
    <font>
      <sz val="11"/>
      <color theme="1"/>
      <name val="Calibri"/>
      <family val="2"/>
      <scheme val="minor"/>
    </font>
    <font>
      <sz val="11"/>
      <name val="Arial"/>
    </font>
    <font>
      <i/>
      <sz val="11"/>
      <color rgb="FF404040"/>
      <name val="Arial"/>
    </font>
    <font>
      <b/>
      <sz val="11"/>
      <color rgb="FFFFFFFF"/>
      <name val="Arial"/>
    </font>
    <font>
      <sz val="11"/>
      <color rgb="FF000000"/>
      <name val="Arial"/>
    </font>
    <font>
      <sz val="11"/>
      <color rgb="FF0000FF"/>
      <name val="Arial"/>
    </font>
    <font>
      <sz val="11"/>
      <color rgb="FF008000"/>
      <name val="Arial"/>
    </font>
    <font>
      <i/>
      <sz val="11"/>
      <color rgb="FF808080"/>
      <name val="Arial"/>
    </font>
    <font>
      <b/>
      <sz val="11"/>
      <color rgb="FF000000"/>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EDEDED"/>
      </patternFill>
    </fill>
  </fills>
  <borders count="1">
    <border>
      <left/>
      <right/>
      <top/>
      <bottom/>
      <diagonal/>
    </border>
  </borders>
  <cellStyleXfs count="1">
    <xf numFmtId="0" fontId="0" fillId="0" borderId="0"/>
  </cellStyleXfs>
  <cellXfs count="51">
    <xf numFmtId="0" fontId="0" fillId="0" borderId="0" xfId="0"/>
    <xf numFmtId="0" fontId="1" fillId="0" borderId="0" xfId="0" applyFont="1"/>
    <xf numFmtId="0" fontId="4" fillId="0" borderId="0" xfId="0" applyFont="1"/>
    <xf numFmtId="0" fontId="2" fillId="0" borderId="0" xfId="0" applyFont="1" applyAlignment="1">
      <alignment vertical="top" wrapText="1"/>
    </xf>
    <xf numFmtId="0" fontId="0" fillId="0" borderId="0" xfId="0"/>
    <xf numFmtId="0" fontId="3" fillId="2" borderId="0" xfId="0" applyFont="1" applyFill="1" applyAlignment="1">
      <alignment horizontal="left" vertical="center" wrapText="1" indent="1"/>
    </xf>
    <xf numFmtId="0" fontId="3" fillId="2" borderId="0" xfId="0" applyFont="1" applyFill="1" applyAlignment="1">
      <alignment horizontal="right" vertical="center" wrapText="1" indent="1"/>
    </xf>
    <xf numFmtId="0" fontId="4" fillId="0" borderId="0" xfId="0" applyFont="1" applyAlignment="1">
      <alignment horizontal="left" vertical="center" indent="1"/>
    </xf>
    <xf numFmtId="1" fontId="5" fillId="3" borderId="0" xfId="0" applyNumberFormat="1" applyFont="1" applyFill="1" applyAlignment="1">
      <alignment horizontal="right" vertical="center" indent="1"/>
    </xf>
    <xf numFmtId="0" fontId="4" fillId="0" borderId="0" xfId="0" applyFont="1" applyAlignment="1">
      <alignment horizontal="left" vertical="center" wrapText="1" indent="1"/>
    </xf>
    <xf numFmtId="2" fontId="5" fillId="3" borderId="0" xfId="0" applyNumberFormat="1" applyFont="1" applyFill="1" applyAlignment="1">
      <alignment horizontal="right" vertical="center" indent="1"/>
    </xf>
    <xf numFmtId="164" fontId="5" fillId="3" borderId="0" xfId="0" applyNumberFormat="1" applyFont="1" applyFill="1" applyAlignment="1">
      <alignment horizontal="right" vertical="center" indent="1"/>
    </xf>
    <xf numFmtId="165" fontId="5" fillId="3" borderId="0" xfId="0" applyNumberFormat="1" applyFont="1" applyFill="1" applyAlignment="1">
      <alignment horizontal="right" vertical="center" indent="1"/>
    </xf>
    <xf numFmtId="164" fontId="5" fillId="0" borderId="0" xfId="0" applyNumberFormat="1" applyFont="1" applyAlignment="1">
      <alignment horizontal="right" vertical="center" indent="1"/>
    </xf>
    <xf numFmtId="0" fontId="1" fillId="0" borderId="0" xfId="0" applyFont="1" applyAlignment="1">
      <alignment horizontal="left" vertical="center" indent="1"/>
    </xf>
    <xf numFmtId="2" fontId="4" fillId="0" borderId="0" xfId="0" applyNumberFormat="1" applyFont="1" applyAlignment="1">
      <alignment horizontal="right" vertical="center" indent="1"/>
    </xf>
    <xf numFmtId="0" fontId="5" fillId="0" borderId="0" xfId="0" applyFont="1" applyAlignment="1">
      <alignment horizontal="left" vertical="center" indent="1"/>
    </xf>
    <xf numFmtId="0" fontId="5" fillId="0" borderId="0" xfId="0" applyFont="1" applyAlignment="1">
      <alignment horizontal="right" vertical="center" indent="1"/>
    </xf>
    <xf numFmtId="166" fontId="5" fillId="0" borderId="0" xfId="0" applyNumberFormat="1" applyFont="1" applyAlignment="1">
      <alignment horizontal="right" vertical="center" indent="1"/>
    </xf>
    <xf numFmtId="166" fontId="4" fillId="0" borderId="0" xfId="0" applyNumberFormat="1" applyFont="1" applyAlignment="1">
      <alignment horizontal="right" vertical="center" indent="1"/>
    </xf>
    <xf numFmtId="0" fontId="7" fillId="4" borderId="0" xfId="0" applyFont="1" applyFill="1" applyAlignment="1">
      <alignment horizontal="left" vertical="center" indent="1"/>
    </xf>
    <xf numFmtId="0" fontId="7" fillId="4" borderId="0" xfId="0" applyFont="1" applyFill="1" applyAlignment="1">
      <alignment horizontal="right" vertical="center" indent="1"/>
    </xf>
    <xf numFmtId="166" fontId="7" fillId="4" borderId="0" xfId="0" applyNumberFormat="1" applyFont="1" applyFill="1" applyAlignment="1">
      <alignment horizontal="right" vertical="center" indent="1"/>
    </xf>
    <xf numFmtId="164" fontId="7" fillId="4" borderId="0" xfId="0" applyNumberFormat="1" applyFont="1" applyFill="1" applyAlignment="1">
      <alignment horizontal="right" vertical="center" indent="1"/>
    </xf>
    <xf numFmtId="166" fontId="4" fillId="4" borderId="0" xfId="0" applyNumberFormat="1" applyFont="1" applyFill="1" applyAlignment="1">
      <alignment horizontal="right" vertical="center" indent="1"/>
    </xf>
    <xf numFmtId="0" fontId="3" fillId="2" borderId="0" xfId="0" applyFont="1" applyFill="1" applyAlignment="1">
      <alignment horizontal="center" vertical="center" wrapText="1"/>
    </xf>
    <xf numFmtId="1" fontId="4" fillId="0" borderId="0" xfId="0" applyNumberFormat="1" applyFont="1" applyAlignment="1">
      <alignment horizontal="right" vertical="center" indent="1"/>
    </xf>
    <xf numFmtId="0" fontId="4" fillId="0" borderId="0" xfId="0" applyFont="1" applyAlignment="1">
      <alignment horizontal="center" vertical="center"/>
    </xf>
    <xf numFmtId="2" fontId="6" fillId="0" borderId="0" xfId="0" applyNumberFormat="1" applyFont="1" applyAlignment="1">
      <alignment horizontal="right" vertical="center" indent="1"/>
    </xf>
    <xf numFmtId="164" fontId="8" fillId="3" borderId="0" xfId="0" applyNumberFormat="1" applyFont="1" applyFill="1" applyAlignment="1">
      <alignment horizontal="right" vertical="center" indent="1"/>
    </xf>
    <xf numFmtId="164" fontId="6" fillId="0" borderId="0" xfId="0" applyNumberFormat="1" applyFont="1" applyAlignment="1">
      <alignment horizontal="right" vertical="center" indent="1"/>
    </xf>
    <xf numFmtId="164" fontId="4" fillId="0" borderId="0" xfId="0" applyNumberFormat="1" applyFont="1" applyAlignment="1">
      <alignment horizontal="right" vertical="center" indent="1"/>
    </xf>
    <xf numFmtId="165" fontId="6" fillId="0" borderId="0" xfId="0" applyNumberFormat="1" applyFont="1" applyAlignment="1">
      <alignment horizontal="right" vertical="center" indent="1"/>
    </xf>
    <xf numFmtId="164" fontId="4" fillId="3" borderId="0" xfId="0" applyNumberFormat="1" applyFont="1" applyFill="1" applyAlignment="1">
      <alignment horizontal="right" vertical="center" indent="1"/>
    </xf>
    <xf numFmtId="167" fontId="4" fillId="0" borderId="0" xfId="0" applyNumberFormat="1" applyFont="1" applyAlignment="1">
      <alignment horizontal="right" vertical="center" indent="1"/>
    </xf>
    <xf numFmtId="166" fontId="6" fillId="0" borderId="0" xfId="0" applyNumberFormat="1" applyFont="1" applyAlignment="1">
      <alignment horizontal="right" vertical="center" indent="1"/>
    </xf>
    <xf numFmtId="166" fontId="8" fillId="3" borderId="0" xfId="0" applyNumberFormat="1" applyFont="1" applyFill="1" applyAlignment="1">
      <alignment horizontal="right" vertical="center" indent="1"/>
    </xf>
    <xf numFmtId="1" fontId="6" fillId="4" borderId="0" xfId="0" applyNumberFormat="1" applyFont="1" applyFill="1" applyAlignment="1">
      <alignment horizontal="right" vertical="center" indent="1"/>
    </xf>
    <xf numFmtId="166" fontId="6" fillId="4" borderId="0" xfId="0" applyNumberFormat="1" applyFont="1" applyFill="1" applyAlignment="1">
      <alignment horizontal="right" vertical="center" indent="1"/>
    </xf>
    <xf numFmtId="3" fontId="5" fillId="0" borderId="0" xfId="0" applyNumberFormat="1" applyFont="1" applyAlignment="1">
      <alignment horizontal="right" vertical="center" indent="1"/>
    </xf>
    <xf numFmtId="3" fontId="4" fillId="0" borderId="0" xfId="0" applyNumberFormat="1" applyFont="1" applyAlignment="1">
      <alignment horizontal="right" vertical="center" indent="1"/>
    </xf>
    <xf numFmtId="164" fontId="6" fillId="3" borderId="0" xfId="0" applyNumberFormat="1" applyFont="1" applyFill="1" applyAlignment="1">
      <alignment horizontal="right" vertical="center" indent="1"/>
    </xf>
    <xf numFmtId="2" fontId="5" fillId="0" borderId="0" xfId="0" applyNumberFormat="1" applyFont="1" applyAlignment="1">
      <alignment horizontal="right" vertical="center" indent="1"/>
    </xf>
    <xf numFmtId="0" fontId="6" fillId="0" borderId="0" xfId="0" applyFont="1" applyAlignment="1">
      <alignment horizontal="left" vertical="center" indent="1"/>
    </xf>
    <xf numFmtId="0" fontId="6" fillId="0" borderId="0" xfId="0" applyFont="1" applyAlignment="1">
      <alignment horizontal="right" vertical="center" indent="1"/>
    </xf>
    <xf numFmtId="1" fontId="6" fillId="0" borderId="0" xfId="0" applyNumberFormat="1" applyFont="1" applyAlignment="1">
      <alignment horizontal="right" vertical="center" indent="1"/>
    </xf>
    <xf numFmtId="1" fontId="5" fillId="0" borderId="0" xfId="0" applyNumberFormat="1" applyFont="1" applyAlignment="1">
      <alignment horizontal="right" vertical="center" indent="1"/>
    </xf>
    <xf numFmtId="10" fontId="4" fillId="0" borderId="0" xfId="0" applyNumberFormat="1" applyFont="1" applyAlignment="1">
      <alignment horizontal="right" vertical="center" indent="1"/>
    </xf>
    <xf numFmtId="0" fontId="0" fillId="0" borderId="0" xfId="0" applyAlignment="1">
      <alignment horizontal="right" vertical="center" indent="1"/>
    </xf>
    <xf numFmtId="0" fontId="1" fillId="0" borderId="0" xfId="0" applyFont="1" applyAlignment="1">
      <alignment horizontal="left" vertical="center"/>
    </xf>
    <xf numFmtId="165" fontId="4" fillId="0" borderId="0" xfId="0" applyNumberFormat="1" applyFont="1" applyAlignment="1">
      <alignment horizontal="righ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B10678C-B1E3-41B3-A242-5EC786E63C70}">
  <we:reference id="wa200010725" version="1.0.0.1" store="en-US" storeType="OMEX"/>
  <we:alternateReferences>
    <we:reference id="WA200010725" version="1.0.0.1" store="" storeType="OMEX"/>
  </we:alternateReferences>
  <we:properties>
    <we:property name="claude.fileId" value="&quot;3e00e03f-cd6a-43e5-a3f7-c4a618cffa9c&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C1" sqref="C1"/>
    </sheetView>
  </sheetViews>
  <sheetFormatPr defaultRowHeight="14.25" x14ac:dyDescent="0.45"/>
  <cols>
    <col min="1" max="1" width="19.73046875" customWidth="1"/>
    <col min="2" max="2" width="99.53125" customWidth="1"/>
  </cols>
  <sheetData>
    <row r="1" spans="1:2" ht="22.05" customHeight="1" x14ac:dyDescent="0.45">
      <c r="A1" s="1" t="s">
        <v>0</v>
      </c>
    </row>
    <row r="3" spans="1:2" ht="48.5" customHeight="1" x14ac:dyDescent="0.45">
      <c r="A3" s="14" t="s">
        <v>1</v>
      </c>
      <c r="B3" s="9" t="s">
        <v>2</v>
      </c>
    </row>
    <row r="4" spans="1:2" ht="48.5" customHeight="1" x14ac:dyDescent="0.45">
      <c r="A4" s="14" t="s">
        <v>3</v>
      </c>
      <c r="B4" s="9" t="s">
        <v>4</v>
      </c>
    </row>
    <row r="5" spans="1:2" ht="35" customHeight="1" x14ac:dyDescent="0.45">
      <c r="A5" s="14" t="s">
        <v>5</v>
      </c>
      <c r="B5" s="9" t="s">
        <v>6</v>
      </c>
    </row>
    <row r="6" spans="1:2" ht="48.5" customHeight="1" x14ac:dyDescent="0.45">
      <c r="A6" s="14" t="s">
        <v>7</v>
      </c>
      <c r="B6" s="9" t="s">
        <v>8</v>
      </c>
    </row>
    <row r="7" spans="1:2" ht="35" customHeight="1" x14ac:dyDescent="0.45">
      <c r="A7" s="14" t="s">
        <v>9</v>
      </c>
      <c r="B7" s="9" t="s">
        <v>10</v>
      </c>
    </row>
    <row r="8" spans="1:2" ht="35" customHeight="1" x14ac:dyDescent="0.45">
      <c r="A8" s="14" t="s">
        <v>11</v>
      </c>
      <c r="B8" s="9" t="s">
        <v>12</v>
      </c>
    </row>
    <row r="9" spans="1:2" ht="35" customHeight="1" x14ac:dyDescent="0.45">
      <c r="A9" s="14" t="s">
        <v>13</v>
      </c>
      <c r="B9" s="9" t="s">
        <v>14</v>
      </c>
    </row>
    <row r="10" spans="1:2" ht="22.25" customHeight="1" x14ac:dyDescent="0.45">
      <c r="A10" s="14" t="s">
        <v>15</v>
      </c>
      <c r="B10" s="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7"/>
  <sheetViews>
    <sheetView workbookViewId="0">
      <selection activeCell="A10" sqref="A10"/>
    </sheetView>
  </sheetViews>
  <sheetFormatPr defaultRowHeight="14.25" x14ac:dyDescent="0.45"/>
  <cols>
    <col min="1" max="1" width="60.796875" customWidth="1"/>
    <col min="2" max="2" width="10.1328125" customWidth="1"/>
    <col min="3" max="3" width="92.46484375" customWidth="1"/>
    <col min="4" max="4" width="11.73046875" customWidth="1"/>
    <col min="5" max="5" width="14.19921875" customWidth="1"/>
  </cols>
  <sheetData>
    <row r="1" spans="1:3" ht="22.05" customHeight="1" x14ac:dyDescent="0.45">
      <c r="A1" s="1" t="s">
        <v>17</v>
      </c>
    </row>
    <row r="2" spans="1:3" ht="38" customHeight="1" x14ac:dyDescent="0.45">
      <c r="A2" s="3" t="s">
        <v>18</v>
      </c>
      <c r="B2" s="4"/>
      <c r="C2" s="4"/>
    </row>
    <row r="4" spans="1:3" ht="24.3" customHeight="1" x14ac:dyDescent="0.45">
      <c r="A4" s="5" t="s">
        <v>19</v>
      </c>
      <c r="B4" s="6" t="s">
        <v>20</v>
      </c>
      <c r="C4" s="5" t="s">
        <v>21</v>
      </c>
    </row>
    <row r="5" spans="1:3" ht="20.25" customHeight="1" x14ac:dyDescent="0.45">
      <c r="A5" s="7" t="s">
        <v>22</v>
      </c>
      <c r="B5" s="8">
        <v>10</v>
      </c>
      <c r="C5" s="7" t="s">
        <v>23</v>
      </c>
    </row>
    <row r="6" spans="1:3" ht="20.25" customHeight="1" x14ac:dyDescent="0.45">
      <c r="A6" s="7" t="s">
        <v>24</v>
      </c>
      <c r="B6" s="8">
        <v>20</v>
      </c>
      <c r="C6" s="7" t="s">
        <v>25</v>
      </c>
    </row>
    <row r="7" spans="1:3" ht="20.25" customHeight="1" x14ac:dyDescent="0.45">
      <c r="A7" s="7" t="s">
        <v>26</v>
      </c>
      <c r="B7" s="10">
        <v>0.6</v>
      </c>
      <c r="C7" s="7" t="s">
        <v>27</v>
      </c>
    </row>
    <row r="8" spans="1:3" ht="20.25" customHeight="1" x14ac:dyDescent="0.45">
      <c r="A8" s="7" t="s">
        <v>28</v>
      </c>
      <c r="B8" s="10">
        <v>0.4</v>
      </c>
      <c r="C8" s="7" t="s">
        <v>29</v>
      </c>
    </row>
    <row r="9" spans="1:3" ht="33" customHeight="1" x14ac:dyDescent="0.45">
      <c r="A9" s="7" t="s">
        <v>30</v>
      </c>
      <c r="B9" s="11">
        <v>2.5264128276051019</v>
      </c>
      <c r="C9" s="9" t="s">
        <v>31</v>
      </c>
    </row>
    <row r="10" spans="1:3" ht="33" customHeight="1" x14ac:dyDescent="0.45">
      <c r="A10" s="7" t="s">
        <v>32</v>
      </c>
      <c r="B10" s="12">
        <v>10</v>
      </c>
      <c r="C10" s="9" t="s">
        <v>33</v>
      </c>
    </row>
    <row r="11" spans="1:3" ht="20.25" customHeight="1" x14ac:dyDescent="0.45">
      <c r="A11" s="7" t="s">
        <v>34</v>
      </c>
      <c r="B11" s="10">
        <v>0.55000000000000004</v>
      </c>
      <c r="C11" s="7" t="s">
        <v>35</v>
      </c>
    </row>
    <row r="12" spans="1:3" ht="20.25" customHeight="1" x14ac:dyDescent="0.45">
      <c r="A12" s="7" t="s">
        <v>36</v>
      </c>
      <c r="B12" s="10">
        <v>0</v>
      </c>
      <c r="C12" s="7" t="s">
        <v>37</v>
      </c>
    </row>
    <row r="13" spans="1:3" ht="20.25" customHeight="1" x14ac:dyDescent="0.45">
      <c r="A13" s="7" t="s">
        <v>38</v>
      </c>
      <c r="B13" s="10">
        <v>3</v>
      </c>
      <c r="C13" s="7" t="s">
        <v>39</v>
      </c>
    </row>
    <row r="14" spans="1:3" ht="33" customHeight="1" x14ac:dyDescent="0.45">
      <c r="A14" s="7" t="s">
        <v>40</v>
      </c>
      <c r="B14" s="10">
        <v>0.25</v>
      </c>
      <c r="C14" s="9" t="s">
        <v>41</v>
      </c>
    </row>
    <row r="16" spans="1:3" ht="22.05" customHeight="1" x14ac:dyDescent="0.45">
      <c r="A16" s="1" t="s">
        <v>42</v>
      </c>
    </row>
    <row r="17" spans="1:5" ht="51.75" customHeight="1" x14ac:dyDescent="0.45">
      <c r="A17" s="5" t="s">
        <v>43</v>
      </c>
      <c r="B17" s="6" t="s">
        <v>44</v>
      </c>
      <c r="C17" s="5" t="s">
        <v>45</v>
      </c>
      <c r="D17" s="6" t="s">
        <v>46</v>
      </c>
      <c r="E17" s="6" t="s">
        <v>47</v>
      </c>
    </row>
    <row r="18" spans="1:5" ht="20.25" customHeight="1" x14ac:dyDescent="0.45">
      <c r="A18" s="7" t="s">
        <v>48</v>
      </c>
      <c r="B18" s="10">
        <v>0.2</v>
      </c>
      <c r="C18" s="7" t="s">
        <v>49</v>
      </c>
      <c r="D18" s="13">
        <v>0.19232245234229939</v>
      </c>
      <c r="E18" s="13">
        <v>0.27941252252446019</v>
      </c>
    </row>
    <row r="19" spans="1:5" ht="20.25" customHeight="1" x14ac:dyDescent="0.45">
      <c r="A19" s="7" t="s">
        <v>50</v>
      </c>
      <c r="B19" s="10">
        <v>0.2</v>
      </c>
      <c r="C19" s="7" t="s">
        <v>51</v>
      </c>
      <c r="D19" s="13">
        <v>-6.6418963634883579E-3</v>
      </c>
      <c r="E19" s="13">
        <v>0.2400310625374871</v>
      </c>
    </row>
    <row r="20" spans="1:5" ht="20.25" customHeight="1" x14ac:dyDescent="0.45">
      <c r="A20" s="7" t="s">
        <v>52</v>
      </c>
      <c r="B20" s="10">
        <v>0.2</v>
      </c>
      <c r="C20" s="7" t="s">
        <v>53</v>
      </c>
      <c r="D20" s="13">
        <v>5.3127195862295348E-2</v>
      </c>
      <c r="E20" s="13">
        <v>0.1103729332766991</v>
      </c>
    </row>
    <row r="21" spans="1:5" ht="20.25" customHeight="1" x14ac:dyDescent="0.45">
      <c r="A21" s="7" t="s">
        <v>54</v>
      </c>
      <c r="B21" s="10">
        <v>0.2</v>
      </c>
      <c r="C21" s="7" t="s">
        <v>55</v>
      </c>
      <c r="D21" s="13">
        <v>-2.9444757951917768E-3</v>
      </c>
      <c r="E21" s="13">
        <v>8.1318613552634561E-2</v>
      </c>
    </row>
    <row r="22" spans="1:5" ht="20.25" customHeight="1" x14ac:dyDescent="0.45">
      <c r="A22" s="7" t="s">
        <v>56</v>
      </c>
      <c r="B22" s="10">
        <v>0.2</v>
      </c>
      <c r="C22" s="7" t="s">
        <v>57</v>
      </c>
      <c r="D22" s="13">
        <v>0.24786122930332499</v>
      </c>
      <c r="E22" s="13">
        <v>0.37167162292607769</v>
      </c>
    </row>
    <row r="23" spans="1:5" ht="20.25" customHeight="1" x14ac:dyDescent="0.45">
      <c r="A23" s="7" t="s">
        <v>58</v>
      </c>
      <c r="B23" s="10">
        <v>1</v>
      </c>
      <c r="C23" s="7" t="s">
        <v>59</v>
      </c>
      <c r="D23" s="13">
        <v>15.2552116048704</v>
      </c>
      <c r="E23" s="13">
        <v>2.8795457330648611</v>
      </c>
    </row>
    <row r="24" spans="1:5" ht="20.25" customHeight="1" x14ac:dyDescent="0.45">
      <c r="A24" s="7" t="s">
        <v>60</v>
      </c>
      <c r="B24" s="10">
        <v>1</v>
      </c>
      <c r="C24" s="7" t="s">
        <v>61</v>
      </c>
      <c r="D24" s="13">
        <v>1.308267917987153</v>
      </c>
      <c r="E24" s="13">
        <v>1.4464355306176659</v>
      </c>
    </row>
    <row r="25" spans="1:5" ht="20.25" customHeight="1" x14ac:dyDescent="0.45">
      <c r="A25" s="7" t="s">
        <v>62</v>
      </c>
      <c r="B25" s="10">
        <v>1</v>
      </c>
      <c r="C25" s="7" t="s">
        <v>63</v>
      </c>
      <c r="D25" s="13">
        <v>-5.3335800692820373E-2</v>
      </c>
      <c r="E25" s="13">
        <v>1.482775037943316</v>
      </c>
    </row>
    <row r="26" spans="1:5" ht="20.25" customHeight="1" x14ac:dyDescent="0.45">
      <c r="A26" s="14" t="s">
        <v>64</v>
      </c>
      <c r="B26" s="15">
        <f>SUM(B18:B25)</f>
        <v>4</v>
      </c>
    </row>
    <row r="27" spans="1:5" ht="68" customHeight="1" x14ac:dyDescent="0.45">
      <c r="A27" s="3" t="s">
        <v>65</v>
      </c>
      <c r="B27" s="4"/>
      <c r="C27" s="4"/>
      <c r="D27" s="4"/>
      <c r="E27" s="4"/>
    </row>
  </sheetData>
  <mergeCells count="2">
    <mergeCell ref="A2:C2"/>
    <mergeCell ref="A27:E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9"/>
  <sheetViews>
    <sheetView workbookViewId="0"/>
  </sheetViews>
  <sheetFormatPr defaultRowHeight="14.25" x14ac:dyDescent="0.45"/>
  <cols>
    <col min="1" max="1" width="33.796875" customWidth="1"/>
    <col min="2" max="2" width="12.796875" customWidth="1"/>
    <col min="3" max="4" width="13.6640625" customWidth="1"/>
    <col min="5" max="5" width="16" customWidth="1"/>
  </cols>
  <sheetData>
    <row r="1" spans="1:5" ht="22.05" customHeight="1" x14ac:dyDescent="0.45">
      <c r="A1" s="1" t="s">
        <v>66</v>
      </c>
    </row>
    <row r="2" spans="1:5" ht="113" customHeight="1" x14ac:dyDescent="0.45">
      <c r="A2" s="3" t="s">
        <v>67</v>
      </c>
      <c r="B2" s="4"/>
      <c r="C2" s="4"/>
      <c r="D2" s="4"/>
      <c r="E2" s="4"/>
    </row>
    <row r="4" spans="1:5" ht="24.3" customHeight="1" x14ac:dyDescent="0.45">
      <c r="A4" s="5"/>
      <c r="B4" s="6" t="s">
        <v>68</v>
      </c>
      <c r="C4" s="6" t="s">
        <v>69</v>
      </c>
      <c r="D4" s="6" t="s">
        <v>70</v>
      </c>
    </row>
    <row r="5" spans="1:5" ht="20.25" customHeight="1" x14ac:dyDescent="0.45">
      <c r="A5" s="7" t="s">
        <v>71</v>
      </c>
      <c r="B5" s="39">
        <v>4950</v>
      </c>
      <c r="C5" s="39">
        <v>2581</v>
      </c>
    </row>
    <row r="6" spans="1:5" ht="20.25" customHeight="1" x14ac:dyDescent="0.45">
      <c r="A6" s="7" t="s">
        <v>72</v>
      </c>
      <c r="B6" s="39">
        <v>1200</v>
      </c>
      <c r="C6" s="39">
        <v>1200</v>
      </c>
    </row>
    <row r="7" spans="1:5" ht="20.25" customHeight="1" x14ac:dyDescent="0.45">
      <c r="A7" s="7" t="s">
        <v>73</v>
      </c>
      <c r="B7" s="39">
        <v>719400</v>
      </c>
      <c r="C7" s="39">
        <v>719400</v>
      </c>
      <c r="D7" s="40">
        <f>B7+C7</f>
        <v>1438800</v>
      </c>
    </row>
    <row r="8" spans="1:5" ht="20.25" customHeight="1" x14ac:dyDescent="0.45">
      <c r="A8" s="7" t="s">
        <v>74</v>
      </c>
      <c r="B8" s="13">
        <v>2.4851603247648888</v>
      </c>
      <c r="C8" s="13">
        <v>2.565063146075699</v>
      </c>
      <c r="D8" s="41">
        <f>Yardstick</f>
        <v>2.5264128276051019</v>
      </c>
    </row>
    <row r="10" spans="1:5" ht="22.05" customHeight="1" x14ac:dyDescent="0.45">
      <c r="A10" s="1" t="s">
        <v>75</v>
      </c>
    </row>
    <row r="11" spans="1:5" ht="37.799999999999997" customHeight="1" x14ac:dyDescent="0.45">
      <c r="A11" s="5" t="s">
        <v>76</v>
      </c>
      <c r="B11" s="6" t="s">
        <v>77</v>
      </c>
      <c r="C11" s="6" t="s">
        <v>78</v>
      </c>
    </row>
    <row r="12" spans="1:5" ht="20.25" customHeight="1" x14ac:dyDescent="0.45">
      <c r="A12" s="7" t="s">
        <v>79</v>
      </c>
      <c r="B12" s="13">
        <v>1.539815389618455</v>
      </c>
      <c r="C12" s="15">
        <f>B12/Yardstick</f>
        <v>0.60948684743582227</v>
      </c>
    </row>
    <row r="13" spans="1:5" ht="20.25" customHeight="1" x14ac:dyDescent="0.45">
      <c r="A13" s="7" t="s">
        <v>80</v>
      </c>
      <c r="B13" s="13">
        <v>1.970344645091944</v>
      </c>
      <c r="C13" s="15">
        <f>B13/Yardstick</f>
        <v>0.77989813207199421</v>
      </c>
    </row>
    <row r="14" spans="1:5" ht="20.25" customHeight="1" x14ac:dyDescent="0.45">
      <c r="A14" s="7" t="s">
        <v>81</v>
      </c>
      <c r="B14" s="13">
        <v>2.5264128276051019</v>
      </c>
      <c r="C14" s="15">
        <f>B14/Yardstick</f>
        <v>1</v>
      </c>
    </row>
    <row r="15" spans="1:5" ht="20.25" customHeight="1" x14ac:dyDescent="0.45">
      <c r="A15" s="7" t="s">
        <v>82</v>
      </c>
      <c r="B15" s="13">
        <v>3.198631207621216</v>
      </c>
      <c r="C15" s="15">
        <f>B15/Yardstick</f>
        <v>1.2660762218553725</v>
      </c>
    </row>
    <row r="16" spans="1:5" ht="20.25" customHeight="1" x14ac:dyDescent="0.45">
      <c r="A16" s="7" t="s">
        <v>83</v>
      </c>
      <c r="B16" s="13">
        <v>3.907821322736178</v>
      </c>
      <c r="C16" s="15">
        <f>B16/Yardstick</f>
        <v>1.5467865267453436</v>
      </c>
    </row>
    <row r="18" spans="1:5" ht="22.05" customHeight="1" x14ac:dyDescent="0.45">
      <c r="A18" s="1" t="s">
        <v>84</v>
      </c>
    </row>
    <row r="19" spans="1:5" ht="83" customHeight="1" x14ac:dyDescent="0.45">
      <c r="A19" s="3" t="s">
        <v>85</v>
      </c>
      <c r="B19" s="4"/>
      <c r="C19" s="4"/>
      <c r="D19" s="4"/>
      <c r="E19" s="4"/>
    </row>
    <row r="21" spans="1:5" ht="24.3" customHeight="1" x14ac:dyDescent="0.45">
      <c r="A21" s="6" t="s">
        <v>86</v>
      </c>
      <c r="B21" s="6" t="s">
        <v>77</v>
      </c>
      <c r="C21" s="6" t="s">
        <v>44</v>
      </c>
    </row>
    <row r="22" spans="1:5" ht="20.25" customHeight="1" x14ac:dyDescent="0.45">
      <c r="A22" s="42">
        <v>0</v>
      </c>
      <c r="B22" s="19">
        <f t="shared" ref="B22:B31" si="0">A22*Yardstick</f>
        <v>0</v>
      </c>
      <c r="C22" s="19">
        <f t="shared" ref="C22:C31" si="1">EXP(-(B22^2)/(2*Yardstick^2))</f>
        <v>1</v>
      </c>
    </row>
    <row r="23" spans="1:5" ht="20.25" customHeight="1" x14ac:dyDescent="0.45">
      <c r="A23" s="42">
        <v>0.25</v>
      </c>
      <c r="B23" s="19">
        <f t="shared" si="0"/>
        <v>0.63160320690127547</v>
      </c>
      <c r="C23" s="19">
        <f t="shared" si="1"/>
        <v>0.96923323447634413</v>
      </c>
    </row>
    <row r="24" spans="1:5" ht="20.25" customHeight="1" x14ac:dyDescent="0.45">
      <c r="A24" s="42">
        <v>0.5</v>
      </c>
      <c r="B24" s="19">
        <f t="shared" si="0"/>
        <v>1.2632064138025509</v>
      </c>
      <c r="C24" s="19">
        <f t="shared" si="1"/>
        <v>0.88249690258459546</v>
      </c>
    </row>
    <row r="25" spans="1:5" ht="20.25" customHeight="1" x14ac:dyDescent="0.45">
      <c r="A25" s="42">
        <v>0.75</v>
      </c>
      <c r="B25" s="19">
        <f t="shared" si="0"/>
        <v>1.8948096207038265</v>
      </c>
      <c r="C25" s="19">
        <f t="shared" si="1"/>
        <v>0.75483960198900735</v>
      </c>
    </row>
    <row r="26" spans="1:5" ht="20.25" customHeight="1" x14ac:dyDescent="0.45">
      <c r="A26" s="42">
        <v>1</v>
      </c>
      <c r="B26" s="19">
        <f t="shared" si="0"/>
        <v>2.5264128276051019</v>
      </c>
      <c r="C26" s="19">
        <f t="shared" si="1"/>
        <v>0.60653065971263342</v>
      </c>
    </row>
    <row r="27" spans="1:5" ht="20.25" customHeight="1" x14ac:dyDescent="0.45">
      <c r="A27" s="42">
        <v>1.25</v>
      </c>
      <c r="B27" s="19">
        <f t="shared" si="0"/>
        <v>3.1580160345063772</v>
      </c>
      <c r="C27" s="19">
        <f t="shared" si="1"/>
        <v>0.45783336177161432</v>
      </c>
    </row>
    <row r="28" spans="1:5" ht="20.25" customHeight="1" x14ac:dyDescent="0.45">
      <c r="A28" s="42">
        <v>1.5</v>
      </c>
      <c r="B28" s="19">
        <f t="shared" si="0"/>
        <v>3.789619241407653</v>
      </c>
      <c r="C28" s="19">
        <f t="shared" si="1"/>
        <v>0.32465246735834968</v>
      </c>
    </row>
    <row r="29" spans="1:5" ht="20.25" customHeight="1" x14ac:dyDescent="0.45">
      <c r="A29" s="42">
        <v>2</v>
      </c>
      <c r="B29" s="19">
        <f t="shared" si="0"/>
        <v>5.0528256552102038</v>
      </c>
      <c r="C29" s="19">
        <f t="shared" si="1"/>
        <v>0.1353352832366127</v>
      </c>
    </row>
    <row r="30" spans="1:5" ht="20.25" customHeight="1" x14ac:dyDescent="0.45">
      <c r="A30" s="42">
        <v>2.5</v>
      </c>
      <c r="B30" s="19">
        <f t="shared" si="0"/>
        <v>6.3160320690127545</v>
      </c>
      <c r="C30" s="19">
        <f t="shared" si="1"/>
        <v>4.3936933623407434E-2</v>
      </c>
    </row>
    <row r="31" spans="1:5" ht="20.25" customHeight="1" x14ac:dyDescent="0.45">
      <c r="A31" s="42">
        <v>3</v>
      </c>
      <c r="B31" s="19">
        <f t="shared" si="0"/>
        <v>7.5792384828153061</v>
      </c>
      <c r="C31" s="19">
        <f t="shared" si="1"/>
        <v>1.1108996538242297E-2</v>
      </c>
    </row>
    <row r="33" spans="1:5" ht="22.05" customHeight="1" x14ac:dyDescent="0.45">
      <c r="A33" s="1" t="s">
        <v>87</v>
      </c>
    </row>
    <row r="34" spans="1:5" ht="53" customHeight="1" x14ac:dyDescent="0.45">
      <c r="A34" s="3" t="s">
        <v>88</v>
      </c>
      <c r="B34" s="4"/>
      <c r="C34" s="4"/>
      <c r="D34" s="4"/>
      <c r="E34" s="4"/>
    </row>
    <row r="36" spans="1:5" ht="37.799999999999997" customHeight="1" x14ac:dyDescent="0.45">
      <c r="A36" s="5" t="s">
        <v>89</v>
      </c>
      <c r="B36" s="6" t="s">
        <v>90</v>
      </c>
      <c r="C36" s="6" t="s">
        <v>91</v>
      </c>
      <c r="D36" s="6" t="s">
        <v>92</v>
      </c>
    </row>
    <row r="37" spans="1:5" ht="20.25" customHeight="1" x14ac:dyDescent="0.45">
      <c r="A37" s="7" t="s">
        <v>93</v>
      </c>
      <c r="B37" s="39">
        <v>472</v>
      </c>
      <c r="C37" s="13">
        <v>2.5559835207966408</v>
      </c>
      <c r="D37" s="15">
        <f>C37/Yardstick</f>
        <v>1.0117046164698151</v>
      </c>
    </row>
    <row r="38" spans="1:5" ht="20.25" customHeight="1" x14ac:dyDescent="0.45">
      <c r="A38" s="7" t="s">
        <v>94</v>
      </c>
      <c r="B38" s="39">
        <v>400</v>
      </c>
      <c r="C38" s="13">
        <v>2.554222902899967</v>
      </c>
      <c r="D38" s="15">
        <f>C38/Yardstick</f>
        <v>1.0110077319870274</v>
      </c>
    </row>
    <row r="39" spans="1:5" ht="20.25" customHeight="1" x14ac:dyDescent="0.45">
      <c r="A39" s="7" t="s">
        <v>95</v>
      </c>
      <c r="B39" s="39">
        <v>354</v>
      </c>
      <c r="C39" s="13">
        <v>2.585802683430336</v>
      </c>
      <c r="D39" s="15">
        <f>C39/Yardstick</f>
        <v>1.0235075816494854</v>
      </c>
    </row>
  </sheetData>
  <mergeCells count="3">
    <mergeCell ref="A2:E2"/>
    <mergeCell ref="A34:E34"/>
    <mergeCell ref="A19:E19"/>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0"/>
  <sheetViews>
    <sheetView workbookViewId="0">
      <pane xSplit="1" ySplit="4" topLeftCell="B5" activePane="bottomRight" state="frozen"/>
      <selection pane="topRight"/>
      <selection pane="bottomLeft"/>
      <selection pane="bottomRight"/>
    </sheetView>
  </sheetViews>
  <sheetFormatPr defaultRowHeight="14.25" x14ac:dyDescent="0.45"/>
  <cols>
    <col min="1" max="1" width="16.53125" customWidth="1"/>
    <col min="2" max="2" width="12.06640625" customWidth="1"/>
    <col min="3" max="3" width="10.33203125" customWidth="1"/>
    <col min="4" max="4" width="12.06640625" customWidth="1"/>
    <col min="5" max="5" width="11.73046875" customWidth="1"/>
    <col min="6" max="7" width="17.265625" customWidth="1"/>
    <col min="8" max="8" width="14.59765625" customWidth="1"/>
    <col min="9" max="9" width="14.3984375" customWidth="1"/>
    <col min="10" max="10" width="12.59765625" customWidth="1"/>
    <col min="11" max="11" width="12.06640625" customWidth="1"/>
    <col min="12" max="12" width="9.06640625" customWidth="1"/>
    <col min="13" max="13" width="17.3984375" customWidth="1"/>
    <col min="14" max="14" width="17.265625" customWidth="1"/>
    <col min="15" max="15" width="10.86328125" customWidth="1"/>
    <col min="16" max="16" width="54.9296875" customWidth="1"/>
  </cols>
  <sheetData>
    <row r="1" spans="1:16" ht="22.05" customHeight="1" x14ac:dyDescent="0.45">
      <c r="A1" s="1" t="s">
        <v>96</v>
      </c>
    </row>
    <row r="2" spans="1:16" ht="38" customHeight="1" x14ac:dyDescent="0.45">
      <c r="A2" s="3" t="s">
        <v>97</v>
      </c>
      <c r="B2" s="4"/>
      <c r="C2" s="4"/>
      <c r="D2" s="4"/>
      <c r="E2" s="4"/>
      <c r="F2" s="4"/>
      <c r="G2" s="4"/>
      <c r="H2" s="4"/>
      <c r="I2" s="4"/>
      <c r="J2" s="4"/>
      <c r="K2" s="4"/>
      <c r="L2" s="4"/>
      <c r="M2" s="4"/>
      <c r="N2" s="4"/>
      <c r="O2" s="4"/>
      <c r="P2" s="4"/>
    </row>
    <row r="4" spans="1:16" ht="51.75" customHeight="1" x14ac:dyDescent="0.45">
      <c r="A4" s="5" t="s">
        <v>98</v>
      </c>
      <c r="B4" s="5" t="s">
        <v>99</v>
      </c>
      <c r="C4" s="6" t="s">
        <v>100</v>
      </c>
      <c r="D4" s="6" t="s">
        <v>101</v>
      </c>
      <c r="E4" s="6" t="s">
        <v>102</v>
      </c>
      <c r="F4" s="6" t="s">
        <v>103</v>
      </c>
      <c r="G4" s="6" t="s">
        <v>104</v>
      </c>
      <c r="H4" s="6" t="s">
        <v>105</v>
      </c>
      <c r="I4" s="6" t="s">
        <v>106</v>
      </c>
      <c r="J4" s="6" t="s">
        <v>107</v>
      </c>
      <c r="K4" s="6" t="s">
        <v>108</v>
      </c>
      <c r="L4" s="6" t="s">
        <v>109</v>
      </c>
      <c r="M4" s="6" t="s">
        <v>110</v>
      </c>
      <c r="N4" s="6" t="s">
        <v>111</v>
      </c>
      <c r="O4" s="6" t="s">
        <v>112</v>
      </c>
      <c r="P4" s="5" t="s">
        <v>113</v>
      </c>
    </row>
    <row r="5" spans="1:16" ht="20.25" customHeight="1" x14ac:dyDescent="0.45">
      <c r="A5" s="16" t="s">
        <v>114</v>
      </c>
      <c r="B5" s="16" t="s">
        <v>115</v>
      </c>
      <c r="C5" s="17">
        <v>18</v>
      </c>
      <c r="D5" s="17">
        <v>81</v>
      </c>
      <c r="E5" s="18">
        <v>1341.1666666666699</v>
      </c>
      <c r="F5" s="18">
        <v>5.00083961750247E-2</v>
      </c>
      <c r="G5" s="18">
        <v>-0.300960418574447</v>
      </c>
      <c r="H5" s="18">
        <v>-4.7970961707256399E-2</v>
      </c>
      <c r="I5" s="18">
        <v>-0.302599772858206</v>
      </c>
      <c r="J5" s="18">
        <v>0.31528571169359998</v>
      </c>
      <c r="K5" s="18">
        <v>-3.2233278486147598E-2</v>
      </c>
      <c r="L5" s="18">
        <v>-0.318470323757433</v>
      </c>
      <c r="M5" s="13">
        <v>1</v>
      </c>
      <c r="N5" s="19">
        <f t="shared" ref="N5:N21" si="0">L5*M5</f>
        <v>-0.318470323757433</v>
      </c>
      <c r="O5" s="19">
        <f t="shared" ref="O5:O21" si="1">L5/D5*82</f>
        <v>-0.32240205614950013</v>
      </c>
      <c r="P5" s="2"/>
    </row>
    <row r="6" spans="1:16" ht="20.25" customHeight="1" x14ac:dyDescent="0.45">
      <c r="A6" s="16" t="s">
        <v>116</v>
      </c>
      <c r="B6" s="16" t="s">
        <v>115</v>
      </c>
      <c r="C6" s="17">
        <v>19</v>
      </c>
      <c r="D6" s="17">
        <v>74</v>
      </c>
      <c r="E6" s="18">
        <v>1165.25</v>
      </c>
      <c r="F6" s="18">
        <v>0.27488089690760398</v>
      </c>
      <c r="G6" s="18">
        <v>2.8877659382724401E-2</v>
      </c>
      <c r="H6" s="18">
        <v>-9.9528967041891004E-3</v>
      </c>
      <c r="I6" s="18">
        <v>-0.15914256574746299</v>
      </c>
      <c r="J6" s="18">
        <v>0.27533809757880401</v>
      </c>
      <c r="K6" s="18">
        <v>0.82187542354751697</v>
      </c>
      <c r="L6" s="18">
        <v>1.231876614965</v>
      </c>
      <c r="M6" s="13">
        <v>1</v>
      </c>
      <c r="N6" s="19">
        <f t="shared" si="0"/>
        <v>1.231876614965</v>
      </c>
      <c r="O6" s="19">
        <f t="shared" si="1"/>
        <v>1.3650524652314864</v>
      </c>
      <c r="P6" s="2"/>
    </row>
    <row r="7" spans="1:16" ht="20.25" customHeight="1" x14ac:dyDescent="0.45">
      <c r="A7" s="16" t="s">
        <v>117</v>
      </c>
      <c r="B7" s="16" t="s">
        <v>115</v>
      </c>
      <c r="C7" s="17">
        <v>20</v>
      </c>
      <c r="D7" s="17">
        <v>81</v>
      </c>
      <c r="E7" s="18">
        <v>1538.1666666666699</v>
      </c>
      <c r="F7" s="18">
        <v>0.63208415609173496</v>
      </c>
      <c r="G7" s="18">
        <v>0.638107370666531</v>
      </c>
      <c r="H7" s="18">
        <v>3.1504210298761999E-2</v>
      </c>
      <c r="I7" s="18">
        <v>6.6823960133572405E-2</v>
      </c>
      <c r="J7" s="18">
        <v>0.41556455817691901</v>
      </c>
      <c r="K7" s="18">
        <v>0.75676926350646301</v>
      </c>
      <c r="L7" s="18">
        <v>2.54085351887398</v>
      </c>
      <c r="M7" s="13">
        <v>1</v>
      </c>
      <c r="N7" s="19">
        <f t="shared" si="0"/>
        <v>2.54085351887398</v>
      </c>
      <c r="O7" s="19">
        <f t="shared" si="1"/>
        <v>2.5722220808353868</v>
      </c>
      <c r="P7" s="2"/>
    </row>
    <row r="8" spans="1:16" ht="20.25" customHeight="1" x14ac:dyDescent="0.45">
      <c r="A8" s="16" t="s">
        <v>118</v>
      </c>
      <c r="B8" s="16" t="s">
        <v>115</v>
      </c>
      <c r="C8" s="17">
        <v>21</v>
      </c>
      <c r="D8" s="17">
        <v>29</v>
      </c>
      <c r="E8" s="18">
        <v>521.91666666666697</v>
      </c>
      <c r="F8" s="18">
        <v>0.17364263213190601</v>
      </c>
      <c r="G8" s="18">
        <v>0.19599955408332601</v>
      </c>
      <c r="H8" s="18">
        <v>0.105788582802606</v>
      </c>
      <c r="I8" s="18">
        <v>7.0170751214488998E-3</v>
      </c>
      <c r="J8" s="18">
        <v>0.21894984700801901</v>
      </c>
      <c r="K8" s="18">
        <v>0.40497107254899001</v>
      </c>
      <c r="L8" s="18">
        <v>1.1063687636963</v>
      </c>
      <c r="M8" s="13">
        <v>1</v>
      </c>
      <c r="N8" s="19">
        <f t="shared" si="0"/>
        <v>1.1063687636963</v>
      </c>
      <c r="O8" s="19">
        <f t="shared" si="1"/>
        <v>3.1283530559688484</v>
      </c>
      <c r="P8" s="2"/>
    </row>
    <row r="9" spans="1:16" ht="20.25" customHeight="1" x14ac:dyDescent="0.45">
      <c r="A9" s="16" t="s">
        <v>119</v>
      </c>
      <c r="B9" s="16" t="s">
        <v>115</v>
      </c>
      <c r="C9" s="17">
        <v>22</v>
      </c>
      <c r="D9" s="17">
        <v>80</v>
      </c>
      <c r="E9" s="18">
        <v>1540.25</v>
      </c>
      <c r="F9" s="18">
        <v>0.56618149031908904</v>
      </c>
      <c r="G9" s="18">
        <v>-0.243159990688671</v>
      </c>
      <c r="H9" s="18">
        <v>0.44107603500961701</v>
      </c>
      <c r="I9" s="18">
        <v>0.141743329027817</v>
      </c>
      <c r="J9" s="18">
        <v>0.65239322945279699</v>
      </c>
      <c r="K9" s="18">
        <v>2.3437549443288401</v>
      </c>
      <c r="L9" s="18">
        <v>3.9019890374494901</v>
      </c>
      <c r="M9" s="13">
        <v>1</v>
      </c>
      <c r="N9" s="19">
        <f t="shared" si="0"/>
        <v>3.9019890374494901</v>
      </c>
      <c r="O9" s="19">
        <f t="shared" si="1"/>
        <v>3.9995387633857278</v>
      </c>
      <c r="P9" s="2"/>
    </row>
    <row r="10" spans="1:16" ht="20.25" customHeight="1" x14ac:dyDescent="0.45">
      <c r="A10" s="16" t="s">
        <v>120</v>
      </c>
      <c r="B10" s="16" t="s">
        <v>115</v>
      </c>
      <c r="C10" s="17">
        <v>23</v>
      </c>
      <c r="D10" s="17">
        <v>82</v>
      </c>
      <c r="E10" s="18">
        <v>1542.25</v>
      </c>
      <c r="F10" s="18">
        <v>0.39657853360609202</v>
      </c>
      <c r="G10" s="18">
        <v>0.36431636232084802</v>
      </c>
      <c r="H10" s="18">
        <v>0.354900685920162</v>
      </c>
      <c r="I10" s="18">
        <v>-5.24960739755106E-2</v>
      </c>
      <c r="J10" s="18">
        <v>0.38220266211924397</v>
      </c>
      <c r="K10" s="18">
        <v>0.31701870278483901</v>
      </c>
      <c r="L10" s="18">
        <v>1.76252087277567</v>
      </c>
      <c r="M10" s="13">
        <v>1</v>
      </c>
      <c r="N10" s="19">
        <f t="shared" si="0"/>
        <v>1.76252087277567</v>
      </c>
      <c r="O10" s="19">
        <f t="shared" si="1"/>
        <v>1.76252087277567</v>
      </c>
      <c r="P10" s="2"/>
    </row>
    <row r="11" spans="1:16" ht="20.25" customHeight="1" x14ac:dyDescent="0.45">
      <c r="A11" s="16" t="s">
        <v>121</v>
      </c>
      <c r="B11" s="16" t="s">
        <v>122</v>
      </c>
      <c r="C11" s="17">
        <v>24</v>
      </c>
      <c r="D11" s="17">
        <v>71</v>
      </c>
      <c r="E11" s="18">
        <v>1480.11666666667</v>
      </c>
      <c r="F11" s="18">
        <v>0.427346638385182</v>
      </c>
      <c r="G11" s="18">
        <v>-0.27875101639688599</v>
      </c>
      <c r="H11" s="18">
        <v>0.94390370764140696</v>
      </c>
      <c r="I11" s="18">
        <v>4.3422697475927301E-2</v>
      </c>
      <c r="J11" s="18">
        <v>0.46580859504197197</v>
      </c>
      <c r="K11" s="18">
        <v>1.4515532143285901</v>
      </c>
      <c r="L11" s="18">
        <v>3.0532838364761901</v>
      </c>
      <c r="M11" s="13">
        <v>1</v>
      </c>
      <c r="N11" s="19">
        <f t="shared" si="0"/>
        <v>3.0532838364761901</v>
      </c>
      <c r="O11" s="19">
        <f t="shared" si="1"/>
        <v>3.5263278111415155</v>
      </c>
      <c r="P11" s="2"/>
    </row>
    <row r="12" spans="1:16" ht="20.25" customHeight="1" x14ac:dyDescent="0.45">
      <c r="A12" s="16" t="s">
        <v>123</v>
      </c>
      <c r="B12" s="16" t="s">
        <v>122</v>
      </c>
      <c r="C12" s="17">
        <v>25</v>
      </c>
      <c r="D12" s="17">
        <v>72</v>
      </c>
      <c r="E12" s="18">
        <v>1488.55</v>
      </c>
      <c r="F12" s="18">
        <v>0.56602406219719203</v>
      </c>
      <c r="G12" s="18">
        <v>0.17154919026643001</v>
      </c>
      <c r="H12" s="18">
        <v>0.73740933068204395</v>
      </c>
      <c r="I12" s="18">
        <v>-0.22762153122050899</v>
      </c>
      <c r="J12" s="18">
        <v>0.87936304521322695</v>
      </c>
      <c r="K12" s="18">
        <v>1.1022062532275001</v>
      </c>
      <c r="L12" s="18">
        <v>3.2289303503658902</v>
      </c>
      <c r="M12" s="13">
        <v>1</v>
      </c>
      <c r="N12" s="19">
        <f t="shared" si="0"/>
        <v>3.2289303503658902</v>
      </c>
      <c r="O12" s="19">
        <f t="shared" si="1"/>
        <v>3.6773928990278191</v>
      </c>
      <c r="P12" s="7" t="s">
        <v>124</v>
      </c>
    </row>
    <row r="13" spans="1:16" ht="20.25" customHeight="1" x14ac:dyDescent="0.45">
      <c r="A13" s="16" t="s">
        <v>125</v>
      </c>
      <c r="B13" s="16" t="s">
        <v>122</v>
      </c>
      <c r="C13" s="17">
        <v>26</v>
      </c>
      <c r="D13" s="17">
        <v>81</v>
      </c>
      <c r="E13" s="18">
        <v>1606.7333333333299</v>
      </c>
      <c r="F13" s="18">
        <v>0.63118387046406499</v>
      </c>
      <c r="G13" s="18">
        <v>0.49498322774223902</v>
      </c>
      <c r="H13" s="18">
        <v>1.02731048641588</v>
      </c>
      <c r="I13" s="18">
        <v>-0.19707335063712</v>
      </c>
      <c r="J13" s="18">
        <v>0.683167253499953</v>
      </c>
      <c r="K13" s="18">
        <v>0.67381113059451403</v>
      </c>
      <c r="L13" s="18">
        <v>3.3133826180795301</v>
      </c>
      <c r="M13" s="13">
        <v>1</v>
      </c>
      <c r="N13" s="19">
        <f t="shared" si="0"/>
        <v>3.3133826180795301</v>
      </c>
      <c r="O13" s="19">
        <f t="shared" si="1"/>
        <v>3.3542885763274253</v>
      </c>
      <c r="P13" s="7" t="s">
        <v>126</v>
      </c>
    </row>
    <row r="14" spans="1:16" ht="20.25" customHeight="1" x14ac:dyDescent="0.45">
      <c r="A14" s="20" t="s">
        <v>127</v>
      </c>
      <c r="B14" s="20" t="s">
        <v>128</v>
      </c>
      <c r="C14" s="21">
        <v>27</v>
      </c>
      <c r="D14" s="21">
        <v>82</v>
      </c>
      <c r="E14" s="22">
        <v>1630.38333333333</v>
      </c>
      <c r="F14" s="22">
        <v>1.0202456045577299</v>
      </c>
      <c r="G14" s="22">
        <v>0.55498014033770404</v>
      </c>
      <c r="H14" s="22">
        <v>0.64736342851144602</v>
      </c>
      <c r="I14" s="22">
        <v>4.2690754658999103E-2</v>
      </c>
      <c r="J14" s="22">
        <v>0.69429212620533098</v>
      </c>
      <c r="K14" s="22">
        <v>0.98492593382275295</v>
      </c>
      <c r="L14" s="22">
        <v>3.9444979880939601</v>
      </c>
      <c r="M14" s="23">
        <v>1</v>
      </c>
      <c r="N14" s="24">
        <f t="shared" si="0"/>
        <v>3.9444979880939601</v>
      </c>
      <c r="O14" s="24">
        <f t="shared" si="1"/>
        <v>3.9444979880939601</v>
      </c>
      <c r="P14" s="20" t="s">
        <v>129</v>
      </c>
    </row>
    <row r="15" spans="1:16" ht="20.25" customHeight="1" x14ac:dyDescent="0.45">
      <c r="A15" s="20" t="s">
        <v>130</v>
      </c>
      <c r="B15" s="20" t="s">
        <v>128</v>
      </c>
      <c r="C15" s="21">
        <v>28</v>
      </c>
      <c r="D15" s="21">
        <v>71</v>
      </c>
      <c r="E15" s="22">
        <v>1403.2666666666701</v>
      </c>
      <c r="F15" s="22">
        <v>0.82001771135670398</v>
      </c>
      <c r="G15" s="22">
        <v>0.70883071141642795</v>
      </c>
      <c r="H15" s="22">
        <v>0.363160304053878</v>
      </c>
      <c r="I15" s="22">
        <v>-0.143668789072495</v>
      </c>
      <c r="J15" s="22">
        <v>0.26801753086341501</v>
      </c>
      <c r="K15" s="22">
        <v>-0.165120789180591</v>
      </c>
      <c r="L15" s="22">
        <v>1.85123667943734</v>
      </c>
      <c r="M15" s="23">
        <v>1.171428571428571</v>
      </c>
      <c r="N15" s="24">
        <f t="shared" si="0"/>
        <v>2.168591538769455</v>
      </c>
      <c r="O15" s="24">
        <f t="shared" si="1"/>
        <v>2.1380479959698855</v>
      </c>
      <c r="P15" s="20" t="s">
        <v>129</v>
      </c>
    </row>
    <row r="16" spans="1:16" ht="20.25" customHeight="1" x14ac:dyDescent="0.45">
      <c r="A16" s="20" t="s">
        <v>131</v>
      </c>
      <c r="B16" s="20" t="s">
        <v>128</v>
      </c>
      <c r="C16" s="21">
        <v>29</v>
      </c>
      <c r="D16" s="21">
        <v>56</v>
      </c>
      <c r="E16" s="22">
        <v>1098.81666666667</v>
      </c>
      <c r="F16" s="22">
        <v>0.41705311438035098</v>
      </c>
      <c r="G16" s="22">
        <v>0.17641001865908901</v>
      </c>
      <c r="H16" s="22">
        <v>0.23858788721628801</v>
      </c>
      <c r="I16" s="22">
        <v>-0.289706666863077</v>
      </c>
      <c r="J16" s="22">
        <v>3.9056427604770801E-2</v>
      </c>
      <c r="K16" s="22">
        <v>1.9086623646007399</v>
      </c>
      <c r="L16" s="22">
        <v>2.4900631455981599</v>
      </c>
      <c r="M16" s="23">
        <v>1.464285714285714</v>
      </c>
      <c r="N16" s="24">
        <f t="shared" si="0"/>
        <v>3.6461638917687331</v>
      </c>
      <c r="O16" s="24">
        <f t="shared" si="1"/>
        <v>3.646163891768734</v>
      </c>
      <c r="P16" s="20" t="s">
        <v>129</v>
      </c>
    </row>
    <row r="17" spans="1:16" ht="20.25" customHeight="1" x14ac:dyDescent="0.45">
      <c r="A17" s="20" t="s">
        <v>132</v>
      </c>
      <c r="B17" s="20" t="s">
        <v>128</v>
      </c>
      <c r="C17" s="21">
        <v>30</v>
      </c>
      <c r="D17" s="21">
        <v>78</v>
      </c>
      <c r="E17" s="22">
        <v>1424.6</v>
      </c>
      <c r="F17" s="22">
        <v>-5.9689024449214902E-2</v>
      </c>
      <c r="G17" s="22">
        <v>0.67677893331315497</v>
      </c>
      <c r="H17" s="22">
        <v>0.55605067810931097</v>
      </c>
      <c r="I17" s="22">
        <v>-0.105345021266131</v>
      </c>
      <c r="J17" s="22">
        <v>0.76340378262005404</v>
      </c>
      <c r="K17" s="22">
        <v>0.38676174729343199</v>
      </c>
      <c r="L17" s="22">
        <v>2.2179610956206099</v>
      </c>
      <c r="M17" s="23">
        <v>1</v>
      </c>
      <c r="N17" s="24">
        <f t="shared" si="0"/>
        <v>2.2179610956206099</v>
      </c>
      <c r="O17" s="24">
        <f t="shared" si="1"/>
        <v>2.3317026902678206</v>
      </c>
      <c r="P17" s="20" t="s">
        <v>129</v>
      </c>
    </row>
    <row r="18" spans="1:16" ht="20.25" customHeight="1" x14ac:dyDescent="0.45">
      <c r="A18" s="20" t="s">
        <v>133</v>
      </c>
      <c r="B18" s="20" t="s">
        <v>134</v>
      </c>
      <c r="C18" s="21">
        <v>31</v>
      </c>
      <c r="D18" s="21">
        <v>53</v>
      </c>
      <c r="E18" s="22">
        <v>924.4</v>
      </c>
      <c r="F18" s="22">
        <v>0.89572480578677804</v>
      </c>
      <c r="G18" s="22">
        <v>0.16360609852538399</v>
      </c>
      <c r="H18" s="22">
        <v>-7.5736027141983506E-2</v>
      </c>
      <c r="I18" s="22">
        <v>-6.6168607547292702E-2</v>
      </c>
      <c r="J18" s="22">
        <v>3.2856945514339597E-2</v>
      </c>
      <c r="K18" s="22">
        <v>0.74704568080690703</v>
      </c>
      <c r="L18" s="22">
        <v>1.6973288959441299</v>
      </c>
      <c r="M18" s="23">
        <v>1</v>
      </c>
      <c r="N18" s="24">
        <f t="shared" si="0"/>
        <v>1.6973288959441299</v>
      </c>
      <c r="O18" s="24">
        <f t="shared" si="1"/>
        <v>2.6260560276871447</v>
      </c>
      <c r="P18" s="20" t="s">
        <v>129</v>
      </c>
    </row>
    <row r="19" spans="1:16" ht="20.25" customHeight="1" x14ac:dyDescent="0.45">
      <c r="A19" s="20" t="s">
        <v>135</v>
      </c>
      <c r="B19" s="20" t="s">
        <v>136</v>
      </c>
      <c r="C19" s="21">
        <v>32</v>
      </c>
      <c r="D19" s="21">
        <v>82</v>
      </c>
      <c r="E19" s="22">
        <v>1553.7333333333299</v>
      </c>
      <c r="F19" s="22">
        <v>1.01711658597114</v>
      </c>
      <c r="G19" s="22">
        <v>0.30146335603801899</v>
      </c>
      <c r="H19" s="22">
        <v>0.22524603125010201</v>
      </c>
      <c r="I19" s="22">
        <v>0.141294148008939</v>
      </c>
      <c r="J19" s="22">
        <v>0.19356351656552301</v>
      </c>
      <c r="K19" s="22">
        <v>1.1033694454263701</v>
      </c>
      <c r="L19" s="22">
        <v>3.06244264544106</v>
      </c>
      <c r="M19" s="23">
        <v>1</v>
      </c>
      <c r="N19" s="24">
        <f t="shared" si="0"/>
        <v>3.06244264544106</v>
      </c>
      <c r="O19" s="24">
        <f t="shared" si="1"/>
        <v>3.06244264544106</v>
      </c>
      <c r="P19" s="20" t="s">
        <v>129</v>
      </c>
    </row>
    <row r="20" spans="1:16" ht="20.25" customHeight="1" x14ac:dyDescent="0.45">
      <c r="A20" s="20" t="s">
        <v>137</v>
      </c>
      <c r="B20" s="20" t="s">
        <v>136</v>
      </c>
      <c r="C20" s="21">
        <v>33</v>
      </c>
      <c r="D20" s="21">
        <v>79</v>
      </c>
      <c r="E20" s="22">
        <v>1428.35</v>
      </c>
      <c r="F20" s="22">
        <v>0.56887549491453804</v>
      </c>
      <c r="G20" s="22">
        <v>0.30937604016576098</v>
      </c>
      <c r="H20" s="22">
        <v>0.35879725410162999</v>
      </c>
      <c r="I20" s="22">
        <v>-2.66533961752091E-2</v>
      </c>
      <c r="J20" s="22">
        <v>0.19702473543767399</v>
      </c>
      <c r="K20" s="22">
        <v>0.16775270826452299</v>
      </c>
      <c r="L20" s="22">
        <v>1.5805724289833301</v>
      </c>
      <c r="M20" s="23">
        <v>1</v>
      </c>
      <c r="N20" s="24">
        <f t="shared" si="0"/>
        <v>1.5805724289833301</v>
      </c>
      <c r="O20" s="24">
        <f t="shared" si="1"/>
        <v>1.6405941667928234</v>
      </c>
      <c r="P20" s="20" t="s">
        <v>129</v>
      </c>
    </row>
    <row r="21" spans="1:16" ht="20.25" customHeight="1" x14ac:dyDescent="0.45">
      <c r="A21" s="20" t="s">
        <v>138</v>
      </c>
      <c r="B21" s="20" t="s">
        <v>136</v>
      </c>
      <c r="C21" s="21">
        <v>34</v>
      </c>
      <c r="D21" s="21">
        <v>81</v>
      </c>
      <c r="E21" s="22">
        <v>1586.2</v>
      </c>
      <c r="F21" s="22">
        <v>0.53158823058570603</v>
      </c>
      <c r="G21" s="22">
        <v>0.11185785279784299</v>
      </c>
      <c r="H21" s="22">
        <v>0.48642487479756202</v>
      </c>
      <c r="I21" s="22">
        <v>-5.7367625926231002E-3</v>
      </c>
      <c r="J21" s="22">
        <v>5.5873470865539197E-2</v>
      </c>
      <c r="K21" s="22">
        <v>1.00567756349096</v>
      </c>
      <c r="L21" s="22">
        <v>2.2368885018114901</v>
      </c>
      <c r="M21" s="23">
        <v>1</v>
      </c>
      <c r="N21" s="24">
        <f t="shared" si="0"/>
        <v>2.2368885018114901</v>
      </c>
      <c r="O21" s="24">
        <f t="shared" si="1"/>
        <v>2.2645044092412618</v>
      </c>
      <c r="P21" s="20" t="s">
        <v>129</v>
      </c>
    </row>
    <row r="23" spans="1:16" ht="22.05" customHeight="1" x14ac:dyDescent="0.45">
      <c r="A23" s="1" t="s">
        <v>139</v>
      </c>
    </row>
    <row r="24" spans="1:16" ht="38" customHeight="1" x14ac:dyDescent="0.45">
      <c r="A24" s="3" t="s">
        <v>140</v>
      </c>
      <c r="B24" s="4"/>
      <c r="C24" s="4"/>
      <c r="D24" s="4"/>
      <c r="E24" s="4"/>
      <c r="F24" s="4"/>
      <c r="G24" s="4"/>
      <c r="H24" s="4"/>
      <c r="I24" s="4"/>
      <c r="J24" s="4"/>
      <c r="K24" s="4"/>
      <c r="L24" s="4"/>
      <c r="M24" s="4"/>
      <c r="N24" s="4"/>
      <c r="O24" s="4"/>
      <c r="P24" s="4"/>
    </row>
    <row r="26" spans="1:16" ht="37.799999999999997" customHeight="1" x14ac:dyDescent="0.45">
      <c r="A26" s="5"/>
      <c r="B26" s="5" t="s">
        <v>98</v>
      </c>
      <c r="C26" s="6" t="s">
        <v>101</v>
      </c>
      <c r="D26" s="6" t="s">
        <v>141</v>
      </c>
      <c r="E26" s="25" t="s">
        <v>142</v>
      </c>
      <c r="F26" s="6" t="s">
        <v>44</v>
      </c>
    </row>
    <row r="27" spans="1:16" ht="20.25" customHeight="1" x14ac:dyDescent="0.45">
      <c r="A27" s="7" t="s">
        <v>143</v>
      </c>
      <c r="B27" s="7" t="str">
        <f>A13</f>
        <v>2017-18</v>
      </c>
      <c r="C27" s="26">
        <f>D13</f>
        <v>81</v>
      </c>
      <c r="D27" s="19">
        <f>N13</f>
        <v>3.3133826180795301</v>
      </c>
      <c r="E27" s="27" t="b">
        <f>C27&gt;=MinGP_base</f>
        <v>1</v>
      </c>
      <c r="F27" s="28">
        <f>W_recent</f>
        <v>0.6</v>
      </c>
    </row>
    <row r="28" spans="1:16" ht="20.25" customHeight="1" x14ac:dyDescent="0.45">
      <c r="A28" s="7" t="s">
        <v>144</v>
      </c>
      <c r="B28" s="7" t="str">
        <f>A12</f>
        <v>2016-17</v>
      </c>
      <c r="C28" s="26">
        <f>D12</f>
        <v>72</v>
      </c>
      <c r="D28" s="19">
        <f>N12</f>
        <v>3.2289303503658902</v>
      </c>
      <c r="E28" s="27" t="b">
        <f>C28&gt;=MinGP_base</f>
        <v>1</v>
      </c>
      <c r="F28" s="28">
        <f>W_older</f>
        <v>0.4</v>
      </c>
    </row>
    <row r="30" spans="1:16" ht="20.25" customHeight="1" x14ac:dyDescent="0.45">
      <c r="A30" s="14" t="s">
        <v>145</v>
      </c>
      <c r="D30" s="29">
        <f>IF(AND(E27,E28),F27*D27+F28*D28,IF(E27,D27,IF(E28,D28,NA())))</f>
        <v>3.2796017109940743</v>
      </c>
    </row>
  </sheetData>
  <mergeCells count="2">
    <mergeCell ref="A24:P24"/>
    <mergeCell ref="A2:P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
  <sheetViews>
    <sheetView topLeftCell="A4" workbookViewId="0">
      <selection activeCell="J6" sqref="J6"/>
    </sheetView>
  </sheetViews>
  <sheetFormatPr defaultRowHeight="14.25" x14ac:dyDescent="0.45"/>
  <cols>
    <col min="1" max="1" width="38.9296875" customWidth="1"/>
    <col min="2" max="2" width="7.46484375" customWidth="1"/>
    <col min="3" max="3" width="10.33203125" customWidth="1"/>
    <col min="4" max="6" width="11.73046875" customWidth="1"/>
    <col min="7" max="7" width="14.59765625" customWidth="1"/>
    <col min="8" max="8" width="14.3984375" customWidth="1"/>
    <col min="9" max="9" width="12.46484375" customWidth="1"/>
    <col min="10" max="10" width="8.53125" customWidth="1"/>
    <col min="11" max="11" width="8.33203125" customWidth="1"/>
  </cols>
  <sheetData>
    <row r="1" spans="1:11" ht="22.05" customHeight="1" x14ac:dyDescent="0.45">
      <c r="A1" s="1" t="s">
        <v>146</v>
      </c>
    </row>
    <row r="2" spans="1:11" ht="53" customHeight="1" x14ac:dyDescent="0.45">
      <c r="A2" s="3" t="s">
        <v>147</v>
      </c>
      <c r="B2" s="4"/>
      <c r="C2" s="4"/>
      <c r="D2" s="4"/>
      <c r="E2" s="4"/>
      <c r="F2" s="4"/>
      <c r="G2" s="4"/>
      <c r="H2" s="4"/>
      <c r="I2" s="4"/>
    </row>
    <row r="4" spans="1:11" ht="51.75" customHeight="1" x14ac:dyDescent="0.45">
      <c r="A4" s="5" t="s">
        <v>148</v>
      </c>
      <c r="B4" s="6" t="s">
        <v>100</v>
      </c>
      <c r="C4" s="6" t="s">
        <v>101</v>
      </c>
      <c r="D4" s="6" t="s">
        <v>102</v>
      </c>
      <c r="E4" s="6" t="s">
        <v>149</v>
      </c>
      <c r="F4" s="6" t="s">
        <v>150</v>
      </c>
      <c r="G4" s="6" t="s">
        <v>105</v>
      </c>
      <c r="H4" s="6" t="s">
        <v>106</v>
      </c>
      <c r="I4" s="6" t="s">
        <v>108</v>
      </c>
      <c r="J4" s="6" t="s">
        <v>109</v>
      </c>
      <c r="K4" s="6" t="s">
        <v>151</v>
      </c>
    </row>
    <row r="5" spans="1:11" ht="20.25" customHeight="1" x14ac:dyDescent="0.45">
      <c r="A5" s="43" t="str">
        <f>'OReilly 1 Seasons'!$A$12</f>
        <v>2016-17</v>
      </c>
      <c r="B5" s="44">
        <f>'OReilly 1 Seasons'!$C$12</f>
        <v>25</v>
      </c>
      <c r="C5" s="45">
        <f>'OReilly 1 Seasons'!$D$12</f>
        <v>72</v>
      </c>
      <c r="D5" s="35">
        <f>'OReilly 1 Seasons'!$E$12</f>
        <v>1488.55</v>
      </c>
      <c r="E5" s="35">
        <f>'OReilly 1 Seasons'!$F$12</f>
        <v>0.56602406219719203</v>
      </c>
      <c r="F5" s="35">
        <f>'OReilly 1 Seasons'!$G$12</f>
        <v>0.17154919026643001</v>
      </c>
      <c r="G5" s="35">
        <f>'OReilly 1 Seasons'!$H$12</f>
        <v>0.73740933068204395</v>
      </c>
      <c r="H5" s="35">
        <f>'OReilly 1 Seasons'!$I$12</f>
        <v>-0.22762153122050899</v>
      </c>
      <c r="I5" s="35">
        <f>'OReilly 1 Seasons'!$K$12</f>
        <v>1.1022062532275001</v>
      </c>
      <c r="J5" s="35">
        <f>'OReilly 1 Seasons'!$L$12</f>
        <v>3.2289303503658902</v>
      </c>
      <c r="K5" s="35">
        <f>'OReilly 1 Seasons'!$O$12</f>
        <v>3.6773928990278191</v>
      </c>
    </row>
    <row r="6" spans="1:11" ht="20.25" customHeight="1" x14ac:dyDescent="0.45">
      <c r="A6" s="43" t="str">
        <f>'OReilly 1 Seasons'!$A$13</f>
        <v>2017-18</v>
      </c>
      <c r="B6" s="44">
        <f>'OReilly 1 Seasons'!$C$13</f>
        <v>26</v>
      </c>
      <c r="C6" s="45">
        <f>'OReilly 1 Seasons'!$D$13</f>
        <v>81</v>
      </c>
      <c r="D6" s="35">
        <f>'OReilly 1 Seasons'!$E$13</f>
        <v>1606.7333333333299</v>
      </c>
      <c r="E6" s="35">
        <f>'OReilly 1 Seasons'!$F$13</f>
        <v>0.63118387046406499</v>
      </c>
      <c r="F6" s="35">
        <f>'OReilly 1 Seasons'!$G$13</f>
        <v>0.49498322774223902</v>
      </c>
      <c r="G6" s="35">
        <f>'OReilly 1 Seasons'!$H$13</f>
        <v>1.02731048641588</v>
      </c>
      <c r="H6" s="35">
        <f>'OReilly 1 Seasons'!$I$13</f>
        <v>-0.19707335063712</v>
      </c>
      <c r="I6" s="35">
        <f>'OReilly 1 Seasons'!$K$13</f>
        <v>0.67381113059451403</v>
      </c>
      <c r="J6" s="35">
        <f>'OReilly 1 Seasons'!$L$13</f>
        <v>3.3133826180795301</v>
      </c>
      <c r="K6" s="35">
        <f>'OReilly 1 Seasons'!$O$13</f>
        <v>3.3542885763274253</v>
      </c>
    </row>
    <row r="8" spans="1:11" ht="53" customHeight="1" x14ac:dyDescent="0.45">
      <c r="A8" s="3" t="s">
        <v>152</v>
      </c>
      <c r="B8" s="4"/>
      <c r="C8" s="4"/>
      <c r="D8" s="4"/>
      <c r="E8" s="4"/>
      <c r="F8" s="4"/>
      <c r="G8" s="4"/>
      <c r="H8" s="4"/>
      <c r="I8" s="4"/>
    </row>
    <row r="9" spans="1:11" ht="37.799999999999997" customHeight="1" x14ac:dyDescent="0.45">
      <c r="A9" s="5" t="s">
        <v>43</v>
      </c>
      <c r="B9" s="5"/>
      <c r="C9" s="5"/>
      <c r="D9" s="6" t="s">
        <v>153</v>
      </c>
      <c r="E9" s="6" t="s">
        <v>46</v>
      </c>
      <c r="F9" s="6" t="s">
        <v>154</v>
      </c>
      <c r="G9" s="6" t="s">
        <v>155</v>
      </c>
      <c r="H9" s="6" t="s">
        <v>156</v>
      </c>
      <c r="I9" s="6" t="s">
        <v>157</v>
      </c>
    </row>
    <row r="10" spans="1:11" ht="20.25" customHeight="1" x14ac:dyDescent="0.45">
      <c r="A10" s="7" t="s">
        <v>48</v>
      </c>
      <c r="D10" s="31">
        <f>SUM(E5:E6)/(ABS(SUM(E5:E6))+ABS(SUM(F5:F6))+ABS(SUM(G5:G6))+ABS(SUM(H5:H6))+ABS(SUM(I5:I6)))</f>
        <v>0.20538214409162769</v>
      </c>
      <c r="E10" s="30">
        <f>Settings!$D$18</f>
        <v>0.19232245234229939</v>
      </c>
      <c r="F10" s="30">
        <f>Settings!$E$18</f>
        <v>0.27941252252446019</v>
      </c>
      <c r="G10" s="19">
        <f t="shared" ref="G10:G17" si="0">(D10-E10)/F10</f>
        <v>4.6739822651237974E-2</v>
      </c>
      <c r="H10" s="28">
        <f>Settings!$B$18</f>
        <v>0.2</v>
      </c>
      <c r="I10" s="33">
        <f t="shared" ref="I10:I17" si="1">G10*SQRT(H10)</f>
        <v>2.0902684140890509E-2</v>
      </c>
    </row>
    <row r="11" spans="1:11" ht="20.25" customHeight="1" x14ac:dyDescent="0.45">
      <c r="A11" s="7" t="s">
        <v>50</v>
      </c>
      <c r="D11" s="31">
        <f>SUM(F5:F6)/(ABS(SUM(E5:E6))+ABS(SUM(F5:F6))+ABS(SUM(G5:G6))+ABS(SUM(H5:H6))+ABS(SUM(I5:I6)))</f>
        <v>0.11434426166296612</v>
      </c>
      <c r="E11" s="30">
        <f>Settings!$D$19</f>
        <v>-6.6418963634883579E-3</v>
      </c>
      <c r="F11" s="30">
        <f>Settings!$E$19</f>
        <v>0.2400310625374871</v>
      </c>
      <c r="G11" s="19">
        <f t="shared" si="0"/>
        <v>0.50404375478510965</v>
      </c>
      <c r="H11" s="28">
        <f>Settings!$B$19</f>
        <v>0.2</v>
      </c>
      <c r="I11" s="33">
        <f t="shared" si="1"/>
        <v>0.22541521986674801</v>
      </c>
    </row>
    <row r="12" spans="1:11" ht="20.25" customHeight="1" x14ac:dyDescent="0.45">
      <c r="A12" s="7" t="s">
        <v>52</v>
      </c>
      <c r="D12" s="31">
        <f>SUM(G5:G6)/(ABS(SUM(E5:E6))+ABS(SUM(F5:F6))+ABS(SUM(G5:G6))+ABS(SUM(H5:H6))+ABS(SUM(I5:I6)))</f>
        <v>0.30273934031734112</v>
      </c>
      <c r="E12" s="30">
        <f>Settings!$D$20</f>
        <v>5.3127195862295348E-2</v>
      </c>
      <c r="F12" s="30">
        <f>Settings!$E$20</f>
        <v>0.1103729332766991</v>
      </c>
      <c r="G12" s="19">
        <f t="shared" si="0"/>
        <v>2.2615340287213472</v>
      </c>
      <c r="H12" s="28">
        <f>Settings!$B$20</f>
        <v>0.2</v>
      </c>
      <c r="I12" s="33">
        <f t="shared" si="1"/>
        <v>1.0113887643299788</v>
      </c>
    </row>
    <row r="13" spans="1:11" ht="20.25" customHeight="1" x14ac:dyDescent="0.45">
      <c r="A13" s="7" t="s">
        <v>54</v>
      </c>
      <c r="D13" s="31">
        <f>SUM(H5:H6)/(ABS(SUM(E5:E6))+ABS(SUM(F5:F6))+ABS(SUM(G5:G6))+ABS(SUM(H5:H6))+ABS(SUM(I5:I6)))</f>
        <v>-7.2856805439611205E-2</v>
      </c>
      <c r="E13" s="30">
        <f>Settings!$D$21</f>
        <v>-2.9444757951917768E-3</v>
      </c>
      <c r="F13" s="30">
        <f>Settings!$E$21</f>
        <v>8.1318613552634561E-2</v>
      </c>
      <c r="G13" s="19">
        <f t="shared" si="0"/>
        <v>-0.85973341883365662</v>
      </c>
      <c r="H13" s="28">
        <f>Settings!$B$21</f>
        <v>0.2</v>
      </c>
      <c r="I13" s="33">
        <f t="shared" si="1"/>
        <v>-0.38448447340807079</v>
      </c>
    </row>
    <row r="14" spans="1:11" ht="20.25" customHeight="1" x14ac:dyDescent="0.45">
      <c r="A14" s="7" t="s">
        <v>56</v>
      </c>
      <c r="D14" s="31">
        <f>SUM(I5:I6)/(ABS(SUM(E5:E6))+ABS(SUM(F5:F6))+ABS(SUM(G5:G6))+ABS(SUM(H5:H6))+ABS(SUM(I5:I6)))</f>
        <v>0.30467744848845391</v>
      </c>
      <c r="E14" s="30">
        <f>Settings!$D$22</f>
        <v>0.24786122930332499</v>
      </c>
      <c r="F14" s="30">
        <f>Settings!$E$22</f>
        <v>0.37167162292607769</v>
      </c>
      <c r="G14" s="19">
        <f t="shared" si="0"/>
        <v>0.15286671265841884</v>
      </c>
      <c r="H14" s="28">
        <f>Settings!$B$22</f>
        <v>0.2</v>
      </c>
      <c r="I14" s="33">
        <f t="shared" si="1"/>
        <v>6.8364072200230414E-2</v>
      </c>
    </row>
    <row r="15" spans="1:11" ht="20.25" customHeight="1" x14ac:dyDescent="0.45">
      <c r="A15" s="7" t="s">
        <v>58</v>
      </c>
      <c r="D15" s="31">
        <f>SUM(D5:D6)/SUM(C5:C6)</f>
        <v>20.230610021786472</v>
      </c>
      <c r="E15" s="30">
        <f>Settings!$D$23</f>
        <v>15.2552116048704</v>
      </c>
      <c r="F15" s="30">
        <f>Settings!$E$23</f>
        <v>2.8795457330648611</v>
      </c>
      <c r="G15" s="19">
        <f t="shared" si="0"/>
        <v>1.7278414299120985</v>
      </c>
      <c r="H15" s="28">
        <f>Settings!$B$23</f>
        <v>1</v>
      </c>
      <c r="I15" s="33">
        <f t="shared" si="1"/>
        <v>1.7278414299120985</v>
      </c>
    </row>
    <row r="16" spans="1:11" ht="20.25" customHeight="1" x14ac:dyDescent="0.45">
      <c r="A16" s="7" t="s">
        <v>60</v>
      </c>
      <c r="D16" s="31">
        <f>AVERAGE(K5:K6)</f>
        <v>3.515840737677622</v>
      </c>
      <c r="E16" s="30">
        <f>Settings!$D$24</f>
        <v>1.308267917987153</v>
      </c>
      <c r="F16" s="30">
        <f>Settings!$E$24</f>
        <v>1.4464355306176659</v>
      </c>
      <c r="G16" s="19">
        <f t="shared" si="0"/>
        <v>1.52621584091465</v>
      </c>
      <c r="H16" s="28">
        <f>Settings!$B$24</f>
        <v>1</v>
      </c>
      <c r="I16" s="33">
        <f t="shared" si="1"/>
        <v>1.52621584091465</v>
      </c>
    </row>
    <row r="17" spans="1:9" ht="20.25" customHeight="1" x14ac:dyDescent="0.45">
      <c r="A17" s="7" t="s">
        <v>62</v>
      </c>
      <c r="D17" s="31">
        <f>(K6-K5)/(B6-B5)</f>
        <v>-0.3231043227003938</v>
      </c>
      <c r="E17" s="30">
        <f>Settings!$D$25</f>
        <v>-5.3335800692820373E-2</v>
      </c>
      <c r="F17" s="30">
        <f>Settings!$E$25</f>
        <v>1.482775037943316</v>
      </c>
      <c r="G17" s="19">
        <f t="shared" si="0"/>
        <v>-0.18193489578955685</v>
      </c>
      <c r="H17" s="28">
        <f>Settings!$B$25</f>
        <v>1</v>
      </c>
      <c r="I17" s="33">
        <f t="shared" si="1"/>
        <v>-0.18193489578955685</v>
      </c>
    </row>
  </sheetData>
  <mergeCells count="2">
    <mergeCell ref="A8:I8"/>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481"/>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8.53125" customWidth="1"/>
    <col min="2" max="2" width="24.73046875" customWidth="1"/>
    <col min="3" max="3" width="20.06640625" customWidth="1"/>
    <col min="4" max="4" width="7.46484375" customWidth="1"/>
    <col min="5" max="5" width="12.46484375" customWidth="1"/>
    <col min="6" max="6" width="18.46484375" customWidth="1"/>
    <col min="7" max="7" width="18.6640625" customWidth="1"/>
    <col min="8" max="8" width="15.46484375" customWidth="1"/>
    <col min="9" max="9" width="15.265625" customWidth="1"/>
    <col min="10" max="10" width="14.59765625" customWidth="1"/>
    <col min="11" max="11" width="17.06640625" customWidth="1"/>
    <col min="12" max="12" width="19" customWidth="1"/>
    <col min="13" max="13" width="21.6640625" customWidth="1"/>
    <col min="14" max="15" width="17.265625" customWidth="1"/>
    <col min="16" max="16" width="14.59765625" customWidth="1"/>
    <col min="17" max="17" width="14.3984375" customWidth="1"/>
    <col min="18" max="18" width="12.59765625" customWidth="1"/>
    <col min="19" max="19" width="15.1328125" customWidth="1"/>
    <col min="20" max="20" width="16.86328125" customWidth="1"/>
    <col min="21" max="21" width="19.73046875" customWidth="1"/>
    <col min="22" max="23" width="17.265625" customWidth="1"/>
    <col min="24" max="24" width="14.59765625" customWidth="1"/>
    <col min="25" max="25" width="14.3984375" customWidth="1"/>
    <col min="26" max="26" width="12.59765625" customWidth="1"/>
    <col min="27" max="27" width="14.9296875" customWidth="1"/>
    <col min="28" max="28" width="16.86328125" customWidth="1"/>
    <col min="29" max="29" width="19.53125" customWidth="1"/>
    <col min="30" max="30" width="12.06640625" customWidth="1"/>
    <col min="31" max="31" width="13.6640625" customWidth="1"/>
    <col min="32" max="33" width="10.1328125" customWidth="1"/>
    <col min="34" max="34" width="13.86328125" customWidth="1"/>
    <col min="35" max="35" width="15.6640625" customWidth="1"/>
    <col min="36" max="36" width="13.86328125" customWidth="1"/>
    <col min="37" max="37" width="15.6640625" customWidth="1"/>
    <col min="38" max="38" width="13.86328125" customWidth="1"/>
    <col min="39" max="39" width="15.6640625" customWidth="1"/>
    <col min="40" max="40" width="13.86328125" customWidth="1"/>
    <col min="41" max="41" width="15.6640625" customWidth="1"/>
    <col min="42" max="42" width="13.86328125" customWidth="1"/>
    <col min="43" max="43" width="15.6640625" customWidth="1"/>
  </cols>
  <sheetData>
    <row r="1" spans="1:43" ht="22.05" customHeight="1" x14ac:dyDescent="0.45">
      <c r="A1" s="1" t="s">
        <v>158</v>
      </c>
    </row>
    <row r="2" spans="1:43" ht="38" customHeight="1" x14ac:dyDescent="0.45">
      <c r="A2" s="3" t="s">
        <v>159</v>
      </c>
      <c r="B2" s="4"/>
      <c r="C2" s="4"/>
      <c r="D2" s="4"/>
      <c r="E2" s="4"/>
      <c r="F2" s="4"/>
      <c r="G2" s="4"/>
      <c r="H2" s="4"/>
      <c r="I2" s="4"/>
      <c r="J2" s="4"/>
      <c r="K2" s="4"/>
      <c r="L2" s="4"/>
      <c r="M2" s="4"/>
      <c r="N2" s="4"/>
      <c r="O2" s="4"/>
      <c r="P2" s="4"/>
      <c r="Q2" s="4"/>
      <c r="R2" s="4"/>
      <c r="S2" s="4"/>
      <c r="T2" s="4"/>
    </row>
    <row r="4" spans="1:43" ht="20" customHeight="1" x14ac:dyDescent="0.45">
      <c r="A4" s="1" t="s">
        <v>160</v>
      </c>
    </row>
    <row r="5" spans="1:43" ht="79.5" customHeight="1" x14ac:dyDescent="0.45">
      <c r="F5" s="6" t="s">
        <v>161</v>
      </c>
      <c r="G5" s="6" t="s">
        <v>162</v>
      </c>
      <c r="H5" s="6" t="s">
        <v>163</v>
      </c>
      <c r="I5" s="6" t="s">
        <v>164</v>
      </c>
      <c r="J5" s="6" t="s">
        <v>165</v>
      </c>
      <c r="K5" s="6" t="s">
        <v>166</v>
      </c>
      <c r="L5" s="6" t="s">
        <v>167</v>
      </c>
      <c r="M5" s="6" t="s">
        <v>168</v>
      </c>
    </row>
    <row r="6" spans="1:43" ht="20" customHeight="1" x14ac:dyDescent="0.45">
      <c r="F6" s="35">
        <f>'OReilly 2 Profile'!$G$10</f>
        <v>4.6739822651237974E-2</v>
      </c>
      <c r="G6" s="35">
        <f>'OReilly 2 Profile'!$G$11</f>
        <v>0.50404375478510965</v>
      </c>
      <c r="H6" s="35">
        <f>'OReilly 2 Profile'!$G$12</f>
        <v>2.2615340287213472</v>
      </c>
      <c r="I6" s="35">
        <f>'OReilly 2 Profile'!$G$13</f>
        <v>-0.85973341883365662</v>
      </c>
      <c r="J6" s="35">
        <f>'OReilly 2 Profile'!$G$14</f>
        <v>0.15286671265841884</v>
      </c>
      <c r="K6" s="35">
        <f>'OReilly 2 Profile'!$G$15</f>
        <v>1.7278414299120985</v>
      </c>
      <c r="L6" s="35">
        <f>'OReilly 2 Profile'!$G$16</f>
        <v>1.52621584091465</v>
      </c>
      <c r="M6" s="35">
        <f>'OReilly 2 Profile'!$G$17</f>
        <v>-0.18193489578955685</v>
      </c>
    </row>
    <row r="7" spans="1:43" ht="20" customHeight="1" x14ac:dyDescent="0.45">
      <c r="A7" s="49" t="s">
        <v>169</v>
      </c>
      <c r="E7" s="19">
        <f>SUM($AF$11:$AF$481)</f>
        <v>231.62088957642911</v>
      </c>
      <c r="G7" s="49" t="s">
        <v>170</v>
      </c>
      <c r="K7" s="34">
        <f>SUM($AF$11:$AF$15)/E7</f>
        <v>2.0229048917921121E-2</v>
      </c>
    </row>
    <row r="8" spans="1:43" ht="20" customHeight="1" x14ac:dyDescent="0.45">
      <c r="A8" s="49" t="s">
        <v>171</v>
      </c>
      <c r="E8" s="50">
        <f>SUM($AF$11:$AF$481)^2/SUMPRODUCT($AF$11:$AF$481,$AF$11:$AF$481)</f>
        <v>390.568295048572</v>
      </c>
      <c r="G8" s="49" t="s">
        <v>172</v>
      </c>
      <c r="K8" s="34">
        <f>SUMPRODUCT($AF$11:$AF$481,$E$11:$E$481)/E7</f>
        <v>0.56496802866316664</v>
      </c>
    </row>
    <row r="10" spans="1:43" ht="79.5" customHeight="1" x14ac:dyDescent="0.45">
      <c r="A10" s="6" t="s">
        <v>173</v>
      </c>
      <c r="B10" s="5" t="s">
        <v>174</v>
      </c>
      <c r="C10" s="5" t="s">
        <v>175</v>
      </c>
      <c r="D10" s="6" t="s">
        <v>100</v>
      </c>
      <c r="E10" s="6" t="s">
        <v>176</v>
      </c>
      <c r="F10" s="6" t="s">
        <v>177</v>
      </c>
      <c r="G10" s="6" t="s">
        <v>178</v>
      </c>
      <c r="H10" s="6" t="s">
        <v>179</v>
      </c>
      <c r="I10" s="6" t="s">
        <v>180</v>
      </c>
      <c r="J10" s="6" t="s">
        <v>181</v>
      </c>
      <c r="K10" s="6" t="s">
        <v>182</v>
      </c>
      <c r="L10" s="6" t="s">
        <v>183</v>
      </c>
      <c r="M10" s="6" t="s">
        <v>184</v>
      </c>
      <c r="N10" s="6" t="s">
        <v>185</v>
      </c>
      <c r="O10" s="6" t="s">
        <v>186</v>
      </c>
      <c r="P10" s="6" t="s">
        <v>187</v>
      </c>
      <c r="Q10" s="6" t="s">
        <v>188</v>
      </c>
      <c r="R10" s="6" t="s">
        <v>189</v>
      </c>
      <c r="S10" s="6" t="s">
        <v>190</v>
      </c>
      <c r="T10" s="6" t="s">
        <v>191</v>
      </c>
      <c r="U10" s="6" t="s">
        <v>192</v>
      </c>
      <c r="V10" s="6" t="s">
        <v>193</v>
      </c>
      <c r="W10" s="6" t="s">
        <v>194</v>
      </c>
      <c r="X10" s="6" t="s">
        <v>195</v>
      </c>
      <c r="Y10" s="6" t="s">
        <v>196</v>
      </c>
      <c r="Z10" s="6" t="s">
        <v>197</v>
      </c>
      <c r="AA10" s="6" t="s">
        <v>198</v>
      </c>
      <c r="AB10" s="6" t="s">
        <v>199</v>
      </c>
      <c r="AC10" s="6" t="s">
        <v>200</v>
      </c>
      <c r="AD10" s="6" t="s">
        <v>77</v>
      </c>
      <c r="AE10" s="6" t="s">
        <v>201</v>
      </c>
      <c r="AF10" s="6" t="s">
        <v>44</v>
      </c>
      <c r="AG10" s="6" t="s">
        <v>202</v>
      </c>
      <c r="AH10" s="6" t="s">
        <v>203</v>
      </c>
      <c r="AI10" s="6" t="s">
        <v>204</v>
      </c>
      <c r="AJ10" s="6" t="s">
        <v>205</v>
      </c>
      <c r="AK10" s="6" t="s">
        <v>204</v>
      </c>
      <c r="AL10" s="6" t="s">
        <v>206</v>
      </c>
      <c r="AM10" s="6" t="s">
        <v>204</v>
      </c>
      <c r="AN10" s="6" t="s">
        <v>207</v>
      </c>
      <c r="AO10" s="6" t="s">
        <v>204</v>
      </c>
      <c r="AP10" s="6" t="s">
        <v>208</v>
      </c>
      <c r="AQ10" s="6" t="s">
        <v>204</v>
      </c>
    </row>
    <row r="11" spans="1:43" ht="20" customHeight="1" x14ac:dyDescent="0.45">
      <c r="A11" s="26">
        <v>1</v>
      </c>
      <c r="B11" s="16" t="s">
        <v>209</v>
      </c>
      <c r="C11" s="16" t="s">
        <v>210</v>
      </c>
      <c r="D11" s="46">
        <v>26</v>
      </c>
      <c r="E11" s="46">
        <v>0</v>
      </c>
      <c r="F11" s="13">
        <v>0.50772108283430994</v>
      </c>
      <c r="G11" s="13">
        <v>2.767858912369766E-2</v>
      </c>
      <c r="H11" s="13">
        <v>0.29345703632017062</v>
      </c>
      <c r="I11" s="13">
        <v>-8.5191312595834762E-2</v>
      </c>
      <c r="J11" s="13">
        <v>8.5951979125986885E-2</v>
      </c>
      <c r="K11" s="13">
        <v>19.14892086330935</v>
      </c>
      <c r="L11" s="13">
        <v>3.022863338041327</v>
      </c>
      <c r="M11" s="13">
        <v>5.0163993608060682E-2</v>
      </c>
      <c r="N11" s="19">
        <f>(F11-Settings!$D$18)/Settings!$E$18</f>
        <v>1.1287920371013438</v>
      </c>
      <c r="O11" s="19">
        <f>(G11-Settings!$D$19)/Settings!$E$19</f>
        <v>0.14298351690138431</v>
      </c>
      <c r="P11" s="19">
        <f>(H11-Settings!$D$20)/Settings!$E$20</f>
        <v>2.1774345695369086</v>
      </c>
      <c r="Q11" s="19">
        <f>(I11-Settings!$D$21)/Settings!$E$21</f>
        <v>-1.0114146467512954</v>
      </c>
      <c r="R11" s="19">
        <f>(J11-Settings!$D$22)/Settings!$E$22</f>
        <v>-0.43562446038432279</v>
      </c>
      <c r="S11" s="19">
        <f>(K11-Settings!$D$23)/Settings!$E$23</f>
        <v>1.3521956653540133</v>
      </c>
      <c r="T11" s="19">
        <f>(L11-Settings!$D$24)/Settings!$E$24</f>
        <v>1.1853935994796787</v>
      </c>
      <c r="U11" s="19">
        <f>(M11-Settings!$D$25)/Settings!$E$25</f>
        <v>6.9801414005755388E-2</v>
      </c>
      <c r="V11" s="31">
        <f>Settings!$B$18*(N11-F$6)^2</f>
        <v>0.2341673989592756</v>
      </c>
      <c r="W11" s="31">
        <f>Settings!$B$19*(O11-G$6)^2</f>
        <v>2.6072899076130463E-2</v>
      </c>
      <c r="X11" s="31">
        <f>Settings!$B$20*(P11-H$6)^2</f>
        <v>1.4145438070230117E-3</v>
      </c>
      <c r="Y11" s="31">
        <f>Settings!$B$21*(Q11-I$6)^2</f>
        <v>4.6014389805205391E-3</v>
      </c>
      <c r="Z11" s="31">
        <f>Settings!$B$22*(R11-J$6)^2</f>
        <v>6.9264372149844405E-2</v>
      </c>
      <c r="AA11" s="31">
        <f>Settings!$B$23*(S11-K$6)^2</f>
        <v>0.14110974043042845</v>
      </c>
      <c r="AB11" s="31">
        <f>Settings!$B$24*(T11-L$6)^2</f>
        <v>0.11615980025675787</v>
      </c>
      <c r="AC11" s="31">
        <f>Settings!$B$25*(U11-M$6)^2</f>
        <v>6.3371169669361418E-2</v>
      </c>
      <c r="AD11" s="19">
        <f t="shared" ref="AD11:AD74" si="0">SQRT(SUM(V11:AC11))</f>
        <v>0.81003787771272873</v>
      </c>
      <c r="AE11" s="15">
        <f t="shared" ref="AE11:AE74" si="1">AD11/Yardstick</f>
        <v>0.32062767765496164</v>
      </c>
      <c r="AF11" s="33">
        <f t="shared" ref="AF11:AF74" si="2">EXP(-(AD11^2)/(2*Yardstick^2))</f>
        <v>0.94989763403647542</v>
      </c>
      <c r="AG11" s="47">
        <f t="shared" ref="AG11:AG74" si="3">AF11/$E$7</f>
        <v>4.1010879276630746E-3</v>
      </c>
      <c r="AH11" s="18">
        <v>0.33035044976616618</v>
      </c>
      <c r="AI11" s="46">
        <v>0</v>
      </c>
      <c r="AJ11" s="18">
        <v>0.25739386756254529</v>
      </c>
      <c r="AK11" s="46">
        <v>0</v>
      </c>
      <c r="AL11" s="18">
        <v>1.3086286777969049</v>
      </c>
      <c r="AM11" s="46">
        <v>0</v>
      </c>
      <c r="AN11" s="18">
        <v>0.8529700881519604</v>
      </c>
      <c r="AO11" s="46">
        <v>0</v>
      </c>
      <c r="AP11" s="18">
        <v>-0.99598650553672474</v>
      </c>
      <c r="AQ11" s="46">
        <v>0</v>
      </c>
    </row>
    <row r="12" spans="1:43" ht="20" customHeight="1" x14ac:dyDescent="0.45">
      <c r="A12" s="26">
        <v>2</v>
      </c>
      <c r="B12" s="16" t="s">
        <v>211</v>
      </c>
      <c r="C12" s="16" t="s">
        <v>212</v>
      </c>
      <c r="D12" s="46">
        <v>26</v>
      </c>
      <c r="E12" s="46">
        <v>0</v>
      </c>
      <c r="F12" s="13">
        <v>0.10753186740429881</v>
      </c>
      <c r="G12" s="13">
        <v>-4.1372676280262581E-2</v>
      </c>
      <c r="H12" s="13">
        <v>0.2544845815798284</v>
      </c>
      <c r="I12" s="13">
        <v>4.001712750164961E-2</v>
      </c>
      <c r="J12" s="13">
        <v>0.55659374723396071</v>
      </c>
      <c r="K12" s="13">
        <v>19.77846790890273</v>
      </c>
      <c r="L12" s="13">
        <v>3.1195733982192579</v>
      </c>
      <c r="M12" s="13">
        <v>-0.25004317474977761</v>
      </c>
      <c r="N12" s="19">
        <f>(F12-Settings!$D$18)/Settings!$E$18</f>
        <v>-0.30346021778811966</v>
      </c>
      <c r="O12" s="19">
        <f>(G12-Settings!$D$19)/Settings!$E$19</f>
        <v>-0.14469285578965474</v>
      </c>
      <c r="P12" s="19">
        <f>(H12-Settings!$D$20)/Settings!$E$20</f>
        <v>1.8243366352576744</v>
      </c>
      <c r="Q12" s="19">
        <f>(I12-Settings!$D$21)/Settings!$E$21</f>
        <v>0.52831204837295842</v>
      </c>
      <c r="R12" s="19">
        <f>(J12-Settings!$D$22)/Settings!$E$22</f>
        <v>0.83065937479988883</v>
      </c>
      <c r="S12" s="19">
        <f>(K12-Settings!$D$23)/Settings!$E$23</f>
        <v>1.5708228739322629</v>
      </c>
      <c r="T12" s="19">
        <f>(L12-Settings!$D$24)/Settings!$E$24</f>
        <v>1.2522545539645518</v>
      </c>
      <c r="U12" s="19">
        <f>(M12-Settings!$D$25)/Settings!$E$25</f>
        <v>-0.13266164389292681</v>
      </c>
      <c r="V12" s="31">
        <f>Settings!$B$18*(N12-F$6)^2</f>
        <v>2.4528013664745548E-2</v>
      </c>
      <c r="W12" s="31">
        <f>Settings!$B$19*(O12-G$6)^2</f>
        <v>8.4171837980006714E-2</v>
      </c>
      <c r="X12" s="31">
        <f>Settings!$B$20*(P12-H$6)^2</f>
        <v>3.8228312170285911E-2</v>
      </c>
      <c r="Y12" s="31">
        <f>Settings!$B$21*(Q12-I$6)^2</f>
        <v>0.38533404380656611</v>
      </c>
      <c r="Z12" s="31">
        <f>Settings!$B$22*(R12-J$6)^2</f>
        <v>9.1880578570564198E-2</v>
      </c>
      <c r="AA12" s="31">
        <f>Settings!$B$23*(S12-K$6)^2</f>
        <v>2.4654826921992768E-2</v>
      </c>
      <c r="AB12" s="31">
        <f>Settings!$B$24*(T12-L$6)^2</f>
        <v>7.505478674735408E-2</v>
      </c>
      <c r="AC12" s="31">
        <f>Settings!$B$25*(U12-M$6)^2</f>
        <v>2.4278533524687558E-3</v>
      </c>
      <c r="AD12" s="19">
        <f t="shared" si="0"/>
        <v>0.85222077727193679</v>
      </c>
      <c r="AE12" s="15">
        <f t="shared" si="1"/>
        <v>0.33732443405925644</v>
      </c>
      <c r="AF12" s="33">
        <f t="shared" si="2"/>
        <v>0.94469430848338509</v>
      </c>
      <c r="AG12" s="47">
        <f t="shared" si="3"/>
        <v>4.0786230905639435E-3</v>
      </c>
      <c r="AH12" s="18">
        <v>-0.57804337992903854</v>
      </c>
      <c r="AI12" s="46">
        <v>0</v>
      </c>
      <c r="AJ12" s="18">
        <v>-0.65431191352599782</v>
      </c>
      <c r="AK12" s="46">
        <v>0</v>
      </c>
      <c r="AL12" s="18">
        <v>0.51394690060748305</v>
      </c>
      <c r="AM12" s="46">
        <v>0</v>
      </c>
      <c r="AN12" s="18">
        <v>1.704444149765743</v>
      </c>
      <c r="AO12" s="46">
        <v>0</v>
      </c>
      <c r="AP12" s="18">
        <v>-0.91910327767958311</v>
      </c>
      <c r="AQ12" s="46">
        <v>0</v>
      </c>
    </row>
    <row r="13" spans="1:43" ht="20" customHeight="1" x14ac:dyDescent="0.45">
      <c r="A13" s="26">
        <v>3</v>
      </c>
      <c r="B13" s="16" t="s">
        <v>213</v>
      </c>
      <c r="C13" s="16" t="s">
        <v>214</v>
      </c>
      <c r="D13" s="46">
        <v>26</v>
      </c>
      <c r="E13" s="46">
        <v>1</v>
      </c>
      <c r="F13" s="13">
        <v>0.30839482298666798</v>
      </c>
      <c r="G13" s="13">
        <v>0.13699750366991961</v>
      </c>
      <c r="H13" s="13">
        <v>0.16305717164298089</v>
      </c>
      <c r="I13" s="13">
        <v>2.5209162080169791E-2</v>
      </c>
      <c r="J13" s="13">
        <v>0.36634133962026161</v>
      </c>
      <c r="K13" s="13">
        <v>19.522967479674762</v>
      </c>
      <c r="L13" s="13">
        <v>3.4740978821730502</v>
      </c>
      <c r="M13" s="13">
        <v>-0.95900817086824031</v>
      </c>
      <c r="N13" s="19">
        <f>(F13-Settings!$D$18)/Settings!$E$18</f>
        <v>0.41541577877636976</v>
      </c>
      <c r="O13" s="19">
        <f>(G13-Settings!$D$19)/Settings!$E$19</f>
        <v>0.59842004828427131</v>
      </c>
      <c r="P13" s="19">
        <f>(H13-Settings!$D$20)/Settings!$E$20</f>
        <v>0.99598671990620125</v>
      </c>
      <c r="Q13" s="19">
        <f>(I13-Settings!$D$21)/Settings!$E$21</f>
        <v>0.34621394346742945</v>
      </c>
      <c r="R13" s="19">
        <f>(J13-Settings!$D$22)/Settings!$E$22</f>
        <v>0.31877631492060748</v>
      </c>
      <c r="S13" s="19">
        <f>(K13-Settings!$D$23)/Settings!$E$23</f>
        <v>1.4820934516855029</v>
      </c>
      <c r="T13" s="19">
        <f>(L13-Settings!$D$24)/Settings!$E$24</f>
        <v>1.4973567216376595</v>
      </c>
      <c r="U13" s="19">
        <f>(M13-Settings!$D$25)/Settings!$E$25</f>
        <v>-0.6107955333747952</v>
      </c>
      <c r="V13" s="31">
        <f>Settings!$B$18*(N13-F$6)^2</f>
        <v>2.7184392124956016E-2</v>
      </c>
      <c r="W13" s="31">
        <f>Settings!$B$19*(O13-G$6)^2</f>
        <v>1.7813769549279808E-3</v>
      </c>
      <c r="X13" s="31">
        <f>Settings!$B$20*(P13-H$6)^2</f>
        <v>0.32032199816985174</v>
      </c>
      <c r="Y13" s="31">
        <f>Settings!$B$21*(Q13-I$6)^2</f>
        <v>0.29086180812818946</v>
      </c>
      <c r="Z13" s="31">
        <f>Settings!$B$22*(R13-J$6)^2</f>
        <v>5.5051992245595269E-3</v>
      </c>
      <c r="AA13" s="31">
        <f>Settings!$B$23*(S13-K$6)^2</f>
        <v>6.0392068802459335E-2</v>
      </c>
      <c r="AB13" s="31">
        <f>Settings!$B$24*(T13-L$6)^2</f>
        <v>8.3284876544356321E-4</v>
      </c>
      <c r="AC13" s="31">
        <f>Settings!$B$25*(U13-M$6)^2</f>
        <v>0.18392144647001715</v>
      </c>
      <c r="AD13" s="19">
        <f t="shared" si="0"/>
        <v>0.9438226203267247</v>
      </c>
      <c r="AE13" s="15">
        <f t="shared" si="1"/>
        <v>0.37358210424438659</v>
      </c>
      <c r="AF13" s="33">
        <f t="shared" si="2"/>
        <v>0.93259729574564498</v>
      </c>
      <c r="AG13" s="47">
        <f t="shared" si="3"/>
        <v>4.0263954492667257E-3</v>
      </c>
      <c r="AH13" s="48"/>
      <c r="AI13" s="48"/>
      <c r="AJ13" s="48"/>
      <c r="AK13" s="48"/>
      <c r="AL13" s="48"/>
      <c r="AM13" s="48"/>
      <c r="AN13" s="48"/>
      <c r="AO13" s="48"/>
      <c r="AP13" s="48"/>
      <c r="AQ13" s="48"/>
    </row>
    <row r="14" spans="1:43" ht="20" customHeight="1" x14ac:dyDescent="0.45">
      <c r="A14" s="26">
        <v>4</v>
      </c>
      <c r="B14" s="16" t="s">
        <v>215</v>
      </c>
      <c r="C14" s="16" t="s">
        <v>216</v>
      </c>
      <c r="D14" s="46">
        <v>26</v>
      </c>
      <c r="E14" s="46">
        <v>1</v>
      </c>
      <c r="F14" s="13">
        <v>0.1227267738149595</v>
      </c>
      <c r="G14" s="13">
        <v>6.3112713177805202E-2</v>
      </c>
      <c r="H14" s="13">
        <v>0.24234025054823799</v>
      </c>
      <c r="I14" s="13">
        <v>-5.4926290238886842E-3</v>
      </c>
      <c r="J14" s="13">
        <v>0.5663276334351085</v>
      </c>
      <c r="K14" s="13">
        <v>20.460961968680131</v>
      </c>
      <c r="L14" s="13">
        <v>4.6096922540637246</v>
      </c>
      <c r="M14" s="13">
        <v>-0.51674079655223615</v>
      </c>
      <c r="N14" s="19">
        <f>(F14-Settings!$D$18)/Settings!$E$18</f>
        <v>-0.24907859496972751</v>
      </c>
      <c r="O14" s="19">
        <f>(G14-Settings!$D$19)/Settings!$E$19</f>
        <v>0.29060659401280431</v>
      </c>
      <c r="P14" s="19">
        <f>(H14-Settings!$D$20)/Settings!$E$20</f>
        <v>1.7143066607788298</v>
      </c>
      <c r="Q14" s="19">
        <f>(I14-Settings!$D$21)/Settings!$E$21</f>
        <v>-3.1335423925391709E-2</v>
      </c>
      <c r="R14" s="19">
        <f>(J14-Settings!$D$22)/Settings!$E$22</f>
        <v>0.85684885390113241</v>
      </c>
      <c r="S14" s="19">
        <f>(K14-Settings!$D$23)/Settings!$E$23</f>
        <v>1.8078373626901769</v>
      </c>
      <c r="T14" s="19">
        <f>(L14-Settings!$D$24)/Settings!$E$24</f>
        <v>2.282455226101074</v>
      </c>
      <c r="U14" s="19">
        <f>(M14-Settings!$D$25)/Settings!$E$25</f>
        <v>-0.31252549038199479</v>
      </c>
      <c r="V14" s="31">
        <f>Settings!$B$18*(N14-F$6)^2</f>
        <v>1.750170724075439E-2</v>
      </c>
      <c r="W14" s="31">
        <f>Settings!$B$19*(O14-G$6)^2</f>
        <v>9.1110843197085845E-3</v>
      </c>
      <c r="X14" s="31">
        <f>Settings!$B$20*(P14-H$6)^2</f>
        <v>5.9891558445059084E-2</v>
      </c>
      <c r="Y14" s="31">
        <f>Settings!$B$21*(Q14-I$6)^2</f>
        <v>0.13724864759360675</v>
      </c>
      <c r="Z14" s="31">
        <f>Settings!$B$22*(R14-J$6)^2</f>
        <v>9.9118171037735209E-2</v>
      </c>
      <c r="AA14" s="31">
        <f>Settings!$B$23*(S14-K$6)^2</f>
        <v>6.3993492610348339E-3</v>
      </c>
      <c r="AB14" s="31">
        <f>Settings!$B$24*(T14-L$6)^2</f>
        <v>0.5718980077071405</v>
      </c>
      <c r="AC14" s="31">
        <f>Settings!$B$25*(U14-M$6)^2</f>
        <v>1.705390339600648E-2</v>
      </c>
      <c r="AD14" s="19">
        <f t="shared" si="0"/>
        <v>0.95823923369952135</v>
      </c>
      <c r="AE14" s="15">
        <f t="shared" si="1"/>
        <v>0.37928846118465864</v>
      </c>
      <c r="AF14" s="33">
        <f t="shared" si="2"/>
        <v>0.93059615772587712</v>
      </c>
      <c r="AG14" s="47">
        <f t="shared" si="3"/>
        <v>4.017755736227771E-3</v>
      </c>
      <c r="AH14" s="18">
        <v>-0.48909737286940391</v>
      </c>
      <c r="AI14" s="46">
        <v>1</v>
      </c>
      <c r="AJ14" s="18">
        <v>-0.34253149584116649</v>
      </c>
      <c r="AK14" s="46">
        <v>1</v>
      </c>
      <c r="AL14" s="48"/>
      <c r="AM14" s="48"/>
      <c r="AN14" s="48"/>
      <c r="AO14" s="48"/>
      <c r="AP14" s="48"/>
      <c r="AQ14" s="48"/>
    </row>
    <row r="15" spans="1:43" ht="20" customHeight="1" x14ac:dyDescent="0.45">
      <c r="A15" s="26">
        <v>5</v>
      </c>
      <c r="B15" s="16" t="s">
        <v>217</v>
      </c>
      <c r="C15" s="16" t="s">
        <v>218</v>
      </c>
      <c r="D15" s="46">
        <v>26</v>
      </c>
      <c r="E15" s="46">
        <v>0</v>
      </c>
      <c r="F15" s="13">
        <v>0.23256166949565621</v>
      </c>
      <c r="G15" s="13">
        <v>-0.1823401454411652</v>
      </c>
      <c r="H15" s="13">
        <v>0.20313401679840901</v>
      </c>
      <c r="I15" s="13">
        <v>1.2944155276639301E-2</v>
      </c>
      <c r="J15" s="13">
        <v>0.36902001298813042</v>
      </c>
      <c r="K15" s="13">
        <v>20.01589743589744</v>
      </c>
      <c r="L15" s="13">
        <v>3.52692888025731</v>
      </c>
      <c r="M15" s="13">
        <v>-1.069850394711203</v>
      </c>
      <c r="N15" s="19">
        <f>(F15-Settings!$D$18)/Settings!$E$18</f>
        <v>0.14401364974554504</v>
      </c>
      <c r="O15" s="19">
        <f>(G15-Settings!$D$19)/Settings!$E$19</f>
        <v>-0.73198129950467128</v>
      </c>
      <c r="P15" s="19">
        <f>(H15-Settings!$D$20)/Settings!$E$20</f>
        <v>1.3590906437183699</v>
      </c>
      <c r="Q15" s="19">
        <f>(I15-Settings!$D$21)/Settings!$E$21</f>
        <v>0.19538738276135201</v>
      </c>
      <c r="R15" s="19">
        <f>(J15-Settings!$D$22)/Settings!$E$22</f>
        <v>0.32598341173036738</v>
      </c>
      <c r="S15" s="19">
        <f>(K15-Settings!$D$23)/Settings!$E$23</f>
        <v>1.6532766874863891</v>
      </c>
      <c r="T15" s="19">
        <f>(L15-Settings!$D$24)/Settings!$E$24</f>
        <v>1.533881680383453</v>
      </c>
      <c r="U15" s="19">
        <f>(M15-Settings!$D$25)/Settings!$E$25</f>
        <v>-0.68554876364005957</v>
      </c>
      <c r="V15" s="31">
        <f>Settings!$B$18*(N15-F$6)^2</f>
        <v>1.8924394875146297E-3</v>
      </c>
      <c r="W15" s="31">
        <f>Settings!$B$19*(O15-G$6)^2</f>
        <v>0.30555158696641116</v>
      </c>
      <c r="X15" s="31">
        <f>Settings!$B$20*(P15-H$6)^2</f>
        <v>0.16288081262712642</v>
      </c>
      <c r="Y15" s="31">
        <f>Settings!$B$21*(Q15-I$6)^2</f>
        <v>0.22265598119169874</v>
      </c>
      <c r="Z15" s="31">
        <f>Settings!$B$22*(R15-J$6)^2</f>
        <v>5.9938782995135184E-3</v>
      </c>
      <c r="AA15" s="31">
        <f>Settings!$B$23*(S15-K$6)^2</f>
        <v>5.5599008130123913E-3</v>
      </c>
      <c r="AB15" s="31">
        <f>Settings!$B$24*(T15-L$6)^2</f>
        <v>5.8765094761457074E-5</v>
      </c>
      <c r="AC15" s="31">
        <f>Settings!$B$25*(U15-M$6)^2</f>
        <v>0.25362692789134356</v>
      </c>
      <c r="AD15" s="19">
        <f t="shared" si="0"/>
        <v>0.97888727255562058</v>
      </c>
      <c r="AE15" s="15">
        <f t="shared" si="1"/>
        <v>0.38746132930442367</v>
      </c>
      <c r="AF15" s="33">
        <f t="shared" si="2"/>
        <v>0.92768490966260786</v>
      </c>
      <c r="AG15" s="47">
        <f t="shared" si="3"/>
        <v>4.0051867141996057E-3</v>
      </c>
      <c r="AH15" s="18">
        <v>-0.33516230382381501</v>
      </c>
      <c r="AI15" s="46">
        <v>0</v>
      </c>
      <c r="AJ15" s="18">
        <v>-0.25167535894719828</v>
      </c>
      <c r="AK15" s="46">
        <v>0</v>
      </c>
      <c r="AL15" s="18">
        <v>-0.73790410109567572</v>
      </c>
      <c r="AM15" s="46">
        <v>0</v>
      </c>
      <c r="AN15" s="18">
        <v>1.847602071431379</v>
      </c>
      <c r="AO15" s="46">
        <v>0</v>
      </c>
      <c r="AP15" s="18">
        <v>0.60494628991094945</v>
      </c>
      <c r="AQ15" s="46">
        <v>1</v>
      </c>
    </row>
    <row r="16" spans="1:43" ht="20" customHeight="1" x14ac:dyDescent="0.45">
      <c r="A16" s="26">
        <v>6</v>
      </c>
      <c r="B16" s="16" t="s">
        <v>219</v>
      </c>
      <c r="C16" s="16" t="s">
        <v>220</v>
      </c>
      <c r="D16" s="46">
        <v>26</v>
      </c>
      <c r="E16" s="46">
        <v>1</v>
      </c>
      <c r="F16" s="13">
        <v>0.35621909981056271</v>
      </c>
      <c r="G16" s="13">
        <v>-0.1126196990038697</v>
      </c>
      <c r="H16" s="13">
        <v>0.16051760673896501</v>
      </c>
      <c r="I16" s="13">
        <v>1.22444339361205E-4</v>
      </c>
      <c r="J16" s="13">
        <v>0.37052115010724163</v>
      </c>
      <c r="K16" s="13">
        <v>19.992182890855421</v>
      </c>
      <c r="L16" s="13">
        <v>4.2984445369877076</v>
      </c>
      <c r="M16" s="13">
        <v>-0.47765556189028491</v>
      </c>
      <c r="N16" s="19">
        <f>(F16-Settings!$D$18)/Settings!$E$18</f>
        <v>0.58657588424268126</v>
      </c>
      <c r="O16" s="19">
        <f>(G16-Settings!$D$19)/Settings!$E$19</f>
        <v>-0.44151703333742542</v>
      </c>
      <c r="P16" s="19">
        <f>(H16-Settings!$D$20)/Settings!$E$20</f>
        <v>0.97297777352213322</v>
      </c>
      <c r="Q16" s="19">
        <f>(I16-Settings!$D$21)/Settings!$E$21</f>
        <v>3.771486011093729E-2</v>
      </c>
      <c r="R16" s="19">
        <f>(J16-Settings!$D$22)/Settings!$E$22</f>
        <v>0.33002229182374959</v>
      </c>
      <c r="S16" s="19">
        <f>(K16-Settings!$D$23)/Settings!$E$23</f>
        <v>1.6450411714569986</v>
      </c>
      <c r="T16" s="19">
        <f>(L16-Settings!$D$24)/Settings!$E$24</f>
        <v>2.0672726545397229</v>
      </c>
      <c r="U16" s="19">
        <f>(M16-Settings!$D$25)/Settings!$E$25</f>
        <v>-0.28616597281406725</v>
      </c>
      <c r="V16" s="31">
        <f>Settings!$B$18*(N16-F$6)^2</f>
        <v>5.8284594678912109E-2</v>
      </c>
      <c r="W16" s="31">
        <f>Settings!$B$19*(O16-G$6)^2</f>
        <v>0.17881704080698194</v>
      </c>
      <c r="X16" s="31">
        <f>Settings!$B$20*(P16-H$6)^2</f>
        <v>0.3320754445626044</v>
      </c>
      <c r="Y16" s="31">
        <f>Settings!$B$21*(Q16-I$6)^2</f>
        <v>0.16108268267612272</v>
      </c>
      <c r="Z16" s="31">
        <f>Settings!$B$22*(R16-J$6)^2</f>
        <v>6.2768198458807547E-3</v>
      </c>
      <c r="AA16" s="31">
        <f>Settings!$B$23*(S16-K$6)^2</f>
        <v>6.8558828002313549E-3</v>
      </c>
      <c r="AB16" s="31">
        <f>Settings!$B$24*(T16-L$6)^2</f>
        <v>0.29274247557011684</v>
      </c>
      <c r="AC16" s="31">
        <f>Settings!$B$25*(U16-M$6)^2</f>
        <v>1.0864117417689419E-2</v>
      </c>
      <c r="AD16" s="19">
        <f t="shared" si="0"/>
        <v>1.0232297192510289</v>
      </c>
      <c r="AE16" s="15">
        <f t="shared" si="1"/>
        <v>0.40501287361693517</v>
      </c>
      <c r="AF16" s="33">
        <f t="shared" si="2"/>
        <v>0.92125563952363509</v>
      </c>
      <c r="AG16" s="47">
        <f t="shared" si="3"/>
        <v>3.9774289840970659E-3</v>
      </c>
      <c r="AH16" s="18">
        <v>0.6312445785719234</v>
      </c>
      <c r="AI16" s="46">
        <v>1</v>
      </c>
      <c r="AJ16" s="18">
        <v>2.6460711940293269</v>
      </c>
      <c r="AK16" s="46">
        <v>1</v>
      </c>
      <c r="AL16" s="18">
        <v>-0.2076926223901232</v>
      </c>
      <c r="AM16" s="46">
        <v>1</v>
      </c>
      <c r="AN16" s="18">
        <v>-0.66171672411158333</v>
      </c>
      <c r="AO16" s="46">
        <v>1</v>
      </c>
      <c r="AP16" s="48"/>
      <c r="AQ16" s="48"/>
    </row>
    <row r="17" spans="1:43" ht="20" customHeight="1" x14ac:dyDescent="0.45">
      <c r="A17" s="26">
        <v>7</v>
      </c>
      <c r="B17" s="16" t="s">
        <v>221</v>
      </c>
      <c r="C17" s="16" t="s">
        <v>216</v>
      </c>
      <c r="D17" s="46">
        <v>26</v>
      </c>
      <c r="E17" s="46">
        <v>1</v>
      </c>
      <c r="F17" s="13">
        <v>0.38049616093847211</v>
      </c>
      <c r="G17" s="13">
        <v>-0.13031032371764259</v>
      </c>
      <c r="H17" s="13">
        <v>0.25942889582691092</v>
      </c>
      <c r="I17" s="13">
        <v>1.2102934312429539E-5</v>
      </c>
      <c r="J17" s="13">
        <v>0.2297525165826621</v>
      </c>
      <c r="K17" s="13">
        <v>18.91835748792268</v>
      </c>
      <c r="L17" s="13">
        <v>2.6804044744960351</v>
      </c>
      <c r="M17" s="13">
        <v>6.9187324660102245E-2</v>
      </c>
      <c r="N17" s="19">
        <f>(F17-Settings!$D$18)/Settings!$E$18</f>
        <v>0.67346197262758578</v>
      </c>
      <c r="O17" s="19">
        <f>(G17-Settings!$D$19)/Settings!$E$19</f>
        <v>-0.51521843067640538</v>
      </c>
      <c r="P17" s="19">
        <f>(H17-Settings!$D$20)/Settings!$E$20</f>
        <v>1.8691330731188245</v>
      </c>
      <c r="Q17" s="19">
        <f>(I17-Settings!$D$21)/Settings!$E$21</f>
        <v>3.6357957918091176E-2</v>
      </c>
      <c r="R17" s="19">
        <f>(J17-Settings!$D$22)/Settings!$E$22</f>
        <v>-4.8722344143729689E-2</v>
      </c>
      <c r="S17" s="19">
        <f>(K17-Settings!$D$23)/Settings!$E$23</f>
        <v>1.2721263083234278</v>
      </c>
      <c r="T17" s="19">
        <f>(L17-Settings!$D$24)/Settings!$E$24</f>
        <v>0.94863305516488783</v>
      </c>
      <c r="U17" s="19">
        <f>(M17-Settings!$D$25)/Settings!$E$25</f>
        <v>8.263096033965367E-2</v>
      </c>
      <c r="V17" s="31">
        <f>Settings!$B$18*(N17-F$6)^2</f>
        <v>7.8556130654195158E-2</v>
      </c>
      <c r="W17" s="31">
        <f>Settings!$B$19*(O17-G$6)^2</f>
        <v>0.20777908054235672</v>
      </c>
      <c r="X17" s="31">
        <f>Settings!$B$20*(P17-H$6)^2</f>
        <v>3.0795701991554611E-2</v>
      </c>
      <c r="Y17" s="31">
        <f>Settings!$B$21*(Q17-I$6)^2</f>
        <v>0.16059595109776859</v>
      </c>
      <c r="Z17" s="31">
        <f>Settings!$B$22*(R17-J$6)^2</f>
        <v>8.1276295644759737E-3</v>
      </c>
      <c r="AA17" s="31">
        <f>Settings!$B$23*(S17-K$6)^2</f>
        <v>0.207676272044577</v>
      </c>
      <c r="AB17" s="31">
        <f>Settings!$B$24*(T17-L$6)^2</f>
        <v>0.33360187439445571</v>
      </c>
      <c r="AC17" s="31">
        <f>Settings!$B$25*(U17-M$6)^2</f>
        <v>6.9995092229382119E-2</v>
      </c>
      <c r="AD17" s="19">
        <f t="shared" si="0"/>
        <v>1.0474386533438442</v>
      </c>
      <c r="AE17" s="15">
        <f t="shared" si="1"/>
        <v>0.41459520862897037</v>
      </c>
      <c r="AF17" s="33">
        <f t="shared" si="2"/>
        <v>0.91764507330509681</v>
      </c>
      <c r="AG17" s="47">
        <f t="shared" si="3"/>
        <v>3.9618407259518658E-3</v>
      </c>
      <c r="AH17" s="18">
        <v>-0.37123619962681431</v>
      </c>
      <c r="AI17" s="46">
        <v>1</v>
      </c>
      <c r="AJ17" s="18">
        <v>-8.9494463699958615E-2</v>
      </c>
      <c r="AK17" s="46">
        <v>1</v>
      </c>
      <c r="AL17" s="48"/>
      <c r="AM17" s="48"/>
      <c r="AN17" s="48"/>
      <c r="AO17" s="48"/>
      <c r="AP17" s="48"/>
      <c r="AQ17" s="48"/>
    </row>
    <row r="18" spans="1:43" ht="20" customHeight="1" x14ac:dyDescent="0.45">
      <c r="A18" s="26">
        <v>8</v>
      </c>
      <c r="B18" s="16" t="s">
        <v>222</v>
      </c>
      <c r="C18" s="16" t="s">
        <v>212</v>
      </c>
      <c r="D18" s="46">
        <v>26</v>
      </c>
      <c r="E18" s="46">
        <v>0</v>
      </c>
      <c r="F18" s="13">
        <v>0.1159738225540332</v>
      </c>
      <c r="G18" s="13">
        <v>-2.483533282340715E-2</v>
      </c>
      <c r="H18" s="13">
        <v>0.27595417168844377</v>
      </c>
      <c r="I18" s="13">
        <v>3.0696160360892649E-2</v>
      </c>
      <c r="J18" s="13">
        <v>0.55254051257322312</v>
      </c>
      <c r="K18" s="13">
        <v>19.937254901960731</v>
      </c>
      <c r="L18" s="13">
        <v>3.260552176610017</v>
      </c>
      <c r="M18" s="13">
        <v>-1.447295130464952</v>
      </c>
      <c r="N18" s="19">
        <f>(F18-Settings!$D$18)/Settings!$E$18</f>
        <v>-0.27324698656475754</v>
      </c>
      <c r="O18" s="19">
        <f>(G18-Settings!$D$19)/Settings!$E$19</f>
        <v>-7.5796175159943774E-2</v>
      </c>
      <c r="P18" s="19">
        <f>(H18-Settings!$D$20)/Settings!$E$20</f>
        <v>2.0188552502046222</v>
      </c>
      <c r="Q18" s="19">
        <f>(I18-Settings!$D$21)/Settings!$E$21</f>
        <v>0.4136892488250562</v>
      </c>
      <c r="R18" s="19">
        <f>(J18-Settings!$D$22)/Settings!$E$22</f>
        <v>0.81975395611651591</v>
      </c>
      <c r="S18" s="19">
        <f>(K18-Settings!$D$23)/Settings!$E$23</f>
        <v>1.6259659443251737</v>
      </c>
      <c r="T18" s="19">
        <f>(L18-Settings!$D$24)/Settings!$E$24</f>
        <v>1.3497208947772372</v>
      </c>
      <c r="U18" s="19">
        <f>(M18-Settings!$D$25)/Settings!$E$25</f>
        <v>-0.94010169722416126</v>
      </c>
      <c r="V18" s="31">
        <f>Settings!$B$18*(N18-F$6)^2</f>
        <v>2.0478311614446784E-2</v>
      </c>
      <c r="W18" s="31">
        <f>Settings!$B$19*(O18-G$6)^2</f>
        <v>6.7242868871736888E-2</v>
      </c>
      <c r="X18" s="31">
        <f>Settings!$B$20*(P18-H$6)^2</f>
        <v>1.1778597908473937E-2</v>
      </c>
      <c r="Y18" s="31">
        <f>Settings!$B$21*(Q18-I$6)^2</f>
        <v>0.32432105810140655</v>
      </c>
      <c r="Z18" s="31">
        <f>Settings!$B$22*(R18-J$6)^2</f>
        <v>8.8947719097427838E-2</v>
      </c>
      <c r="AA18" s="31">
        <f>Settings!$B$23*(S18-K$6)^2</f>
        <v>1.0378614563571729E-2</v>
      </c>
      <c r="AB18" s="31">
        <f>Settings!$B$24*(T18-L$6)^2</f>
        <v>3.1150466012048243E-2</v>
      </c>
      <c r="AC18" s="31">
        <f>Settings!$B$25*(U18-M$6)^2</f>
        <v>0.5748168987975788</v>
      </c>
      <c r="AD18" s="19">
        <f t="shared" si="0"/>
        <v>1.062598011934283</v>
      </c>
      <c r="AE18" s="15">
        <f t="shared" si="1"/>
        <v>0.42059555759205297</v>
      </c>
      <c r="AF18" s="33">
        <f t="shared" si="2"/>
        <v>0.91534859187426731</v>
      </c>
      <c r="AG18" s="47">
        <f t="shared" si="3"/>
        <v>3.951925897306534E-3</v>
      </c>
      <c r="AH18" s="18">
        <v>-0.41966118312667883</v>
      </c>
      <c r="AI18" s="46">
        <v>0</v>
      </c>
      <c r="AJ18" s="18">
        <v>-0.3901348600042791</v>
      </c>
      <c r="AK18" s="46">
        <v>0</v>
      </c>
      <c r="AL18" s="18">
        <v>-0.2160456429787265</v>
      </c>
      <c r="AM18" s="46">
        <v>0</v>
      </c>
      <c r="AN18" s="18">
        <v>-1.0402919636069681</v>
      </c>
      <c r="AO18" s="46">
        <v>0</v>
      </c>
      <c r="AP18" s="48"/>
      <c r="AQ18" s="48"/>
    </row>
    <row r="19" spans="1:43" ht="20" customHeight="1" x14ac:dyDescent="0.45">
      <c r="A19" s="26">
        <v>9</v>
      </c>
      <c r="B19" s="16" t="s">
        <v>223</v>
      </c>
      <c r="C19" s="16" t="s">
        <v>224</v>
      </c>
      <c r="D19" s="46">
        <v>26</v>
      </c>
      <c r="E19" s="46">
        <v>0</v>
      </c>
      <c r="F19" s="13">
        <v>0.46710781461451922</v>
      </c>
      <c r="G19" s="13">
        <v>-0.14957658151424119</v>
      </c>
      <c r="H19" s="13">
        <v>0.16998334796777431</v>
      </c>
      <c r="I19" s="13">
        <v>1.463897190396001E-2</v>
      </c>
      <c r="J19" s="13">
        <v>0.1986932839995052</v>
      </c>
      <c r="K19" s="13">
        <v>19.591290322580651</v>
      </c>
      <c r="L19" s="13">
        <v>3.0032701049036108</v>
      </c>
      <c r="M19" s="13">
        <v>-0.18257105438439061</v>
      </c>
      <c r="N19" s="19">
        <f>(F19-Settings!$D$18)/Settings!$E$18</f>
        <v>0.98343968190675746</v>
      </c>
      <c r="O19" s="19">
        <f>(G19-Settings!$D$19)/Settings!$E$19</f>
        <v>-0.59548411626278519</v>
      </c>
      <c r="P19" s="19">
        <f>(H19-Settings!$D$20)/Settings!$E$20</f>
        <v>1.0587392092998631</v>
      </c>
      <c r="Q19" s="19">
        <f>(I19-Settings!$D$21)/Settings!$E$21</f>
        <v>0.21622906406010803</v>
      </c>
      <c r="R19" s="19">
        <f>(J19-Settings!$D$22)/Settings!$E$22</f>
        <v>-0.13228867169554906</v>
      </c>
      <c r="S19" s="19">
        <f>(K19-Settings!$D$23)/Settings!$E$23</f>
        <v>1.5058204035173008</v>
      </c>
      <c r="T19" s="19">
        <f>(L19-Settings!$D$24)/Settings!$E$24</f>
        <v>1.1718477256934137</v>
      </c>
      <c r="U19" s="19">
        <f>(M19-Settings!$D$25)/Settings!$E$25</f>
        <v>-8.715769444758531E-2</v>
      </c>
      <c r="V19" s="31">
        <f>Settings!$B$18*(N19-F$6)^2</f>
        <v>0.17548132526586202</v>
      </c>
      <c r="W19" s="31">
        <f>Settings!$B$19*(O19-G$6)^2</f>
        <v>0.24179230784222325</v>
      </c>
      <c r="X19" s="31">
        <f>Settings!$B$20*(P19-H$6)^2</f>
        <v>0.28934307552543215</v>
      </c>
      <c r="Y19" s="31">
        <f>Settings!$B$21*(Q19-I$6)^2</f>
        <v>0.23153905291898297</v>
      </c>
      <c r="Z19" s="31">
        <f>Settings!$B$22*(R19-J$6)^2</f>
        <v>1.6262718645211834E-2</v>
      </c>
      <c r="AA19" s="31">
        <f>Settings!$B$23*(S19-K$6)^2</f>
        <v>4.9293336161399456E-2</v>
      </c>
      <c r="AB19" s="31">
        <f>Settings!$B$24*(T19-L$6)^2</f>
        <v>0.12557676108545143</v>
      </c>
      <c r="AC19" s="31">
        <f>Settings!$B$25*(U19-M$6)^2</f>
        <v>8.9827178942166117E-3</v>
      </c>
      <c r="AD19" s="19">
        <f t="shared" si="0"/>
        <v>1.0668979779429613</v>
      </c>
      <c r="AE19" s="15">
        <f t="shared" si="1"/>
        <v>0.42229756209491737</v>
      </c>
      <c r="AF19" s="33">
        <f t="shared" si="2"/>
        <v>0.91469224414903749</v>
      </c>
      <c r="AG19" s="47">
        <f t="shared" si="3"/>
        <v>3.949092181718834E-3</v>
      </c>
      <c r="AH19" s="18">
        <v>0.1003807978130018</v>
      </c>
      <c r="AI19" s="46">
        <v>0</v>
      </c>
      <c r="AJ19" s="18">
        <v>0.94778134292099692</v>
      </c>
      <c r="AK19" s="46">
        <v>1</v>
      </c>
      <c r="AL19" s="18">
        <v>-6.5618057972760546E-2</v>
      </c>
      <c r="AM19" s="46">
        <v>1</v>
      </c>
      <c r="AN19" s="18">
        <v>-1.4225728073298209</v>
      </c>
      <c r="AO19" s="46">
        <v>1</v>
      </c>
      <c r="AP19" s="18">
        <v>-0.61502027384214331</v>
      </c>
      <c r="AQ19" s="46">
        <v>1</v>
      </c>
    </row>
    <row r="20" spans="1:43" ht="20" customHeight="1" x14ac:dyDescent="0.45">
      <c r="A20" s="26">
        <v>10</v>
      </c>
      <c r="B20" s="16" t="s">
        <v>225</v>
      </c>
      <c r="C20" s="16" t="s">
        <v>212</v>
      </c>
      <c r="D20" s="46">
        <v>26</v>
      </c>
      <c r="E20" s="46">
        <v>0</v>
      </c>
      <c r="F20" s="13">
        <v>0.166642947717797</v>
      </c>
      <c r="G20" s="13">
        <v>1.446693502336489E-3</v>
      </c>
      <c r="H20" s="13">
        <v>0.1544913120888417</v>
      </c>
      <c r="I20" s="13">
        <v>1.290059140086855E-2</v>
      </c>
      <c r="J20" s="13">
        <v>0.6645184552901563</v>
      </c>
      <c r="K20" s="13">
        <v>21.203909465020619</v>
      </c>
      <c r="L20" s="13">
        <v>4.247529399026468</v>
      </c>
      <c r="M20" s="13">
        <v>-0.45197796072868363</v>
      </c>
      <c r="N20" s="19">
        <f>(F20-Settings!$D$18)/Settings!$E$18</f>
        <v>-9.1905346233200277E-2</v>
      </c>
      <c r="O20" s="19">
        <f>(G20-Settings!$D$19)/Settings!$E$19</f>
        <v>3.3698096322685743E-2</v>
      </c>
      <c r="P20" s="19">
        <f>(H20-Settings!$D$20)/Settings!$E$20</f>
        <v>0.91837838514658188</v>
      </c>
      <c r="Q20" s="19">
        <f>(I20-Settings!$D$21)/Settings!$E$21</f>
        <v>0.19485166438314142</v>
      </c>
      <c r="R20" s="19">
        <f>(J20-Settings!$D$22)/Settings!$E$22</f>
        <v>1.1210358829834606</v>
      </c>
      <c r="S20" s="19">
        <f>(K20-Settings!$D$23)/Settings!$E$23</f>
        <v>2.0658459394630584</v>
      </c>
      <c r="T20" s="19">
        <f>(L20-Settings!$D$24)/Settings!$E$24</f>
        <v>2.0320722346914235</v>
      </c>
      <c r="U20" s="19">
        <f>(M20-Settings!$D$25)/Settings!$E$25</f>
        <v>-0.26884871260633042</v>
      </c>
      <c r="V20" s="31">
        <f>Settings!$B$18*(N20-F$6)^2</f>
        <v>3.8444965709988816E-3</v>
      </c>
      <c r="W20" s="31">
        <f>Settings!$B$19*(O20-G$6)^2</f>
        <v>4.4245007686890235E-2</v>
      </c>
      <c r="X20" s="31">
        <f>Settings!$B$20*(P20-H$6)^2</f>
        <v>0.36081341657334848</v>
      </c>
      <c r="Y20" s="31">
        <f>Settings!$B$21*(Q20-I$6)^2</f>
        <v>0.22242993954867615</v>
      </c>
      <c r="Z20" s="31">
        <f>Settings!$B$22*(R20-J$6)^2</f>
        <v>0.18747030847357593</v>
      </c>
      <c r="AA20" s="31">
        <f>Settings!$B$23*(S20-K$6)^2</f>
        <v>0.11424704847678491</v>
      </c>
      <c r="AB20" s="31">
        <f>Settings!$B$24*(T20-L$6)^2</f>
        <v>0.25589069112484214</v>
      </c>
      <c r="AC20" s="31">
        <f>Settings!$B$25*(U20-M$6)^2</f>
        <v>7.5540115536596722E-3</v>
      </c>
      <c r="AD20" s="19">
        <f t="shared" si="0"/>
        <v>1.0938441022416203</v>
      </c>
      <c r="AE20" s="15">
        <f t="shared" si="1"/>
        <v>0.43296332661456732</v>
      </c>
      <c r="AF20" s="33">
        <f t="shared" si="2"/>
        <v>0.91052982730119569</v>
      </c>
      <c r="AG20" s="47">
        <f t="shared" si="3"/>
        <v>3.9311213637349563E-3</v>
      </c>
      <c r="AH20" s="18">
        <v>-1.5098182125725159</v>
      </c>
      <c r="AI20" s="46">
        <v>0</v>
      </c>
      <c r="AJ20" s="18">
        <v>0.71003937425498043</v>
      </c>
      <c r="AK20" s="46">
        <v>0</v>
      </c>
      <c r="AL20" s="18">
        <v>1.294526999764771</v>
      </c>
      <c r="AM20" s="46">
        <v>0</v>
      </c>
      <c r="AN20" s="18">
        <v>-1.507278582737519</v>
      </c>
      <c r="AO20" s="46">
        <v>0</v>
      </c>
      <c r="AP20" s="18">
        <v>-1.8452489457476</v>
      </c>
      <c r="AQ20" s="46">
        <v>0</v>
      </c>
    </row>
    <row r="21" spans="1:43" ht="20" customHeight="1" x14ac:dyDescent="0.45">
      <c r="A21" s="26">
        <v>11</v>
      </c>
      <c r="B21" s="16" t="s">
        <v>226</v>
      </c>
      <c r="C21" s="16" t="s">
        <v>227</v>
      </c>
      <c r="D21" s="46">
        <v>26</v>
      </c>
      <c r="E21" s="46">
        <v>0</v>
      </c>
      <c r="F21" s="13">
        <v>0.32562787039193941</v>
      </c>
      <c r="G21" s="13">
        <v>-0.16869300212937269</v>
      </c>
      <c r="H21" s="13">
        <v>0.157786314765336</v>
      </c>
      <c r="I21" s="13">
        <v>-7.6710586301601295E-4</v>
      </c>
      <c r="J21" s="13">
        <v>0.34712570685033578</v>
      </c>
      <c r="K21" s="13">
        <v>19.495928753180689</v>
      </c>
      <c r="L21" s="13">
        <v>2.7267188252598009</v>
      </c>
      <c r="M21" s="13">
        <v>-0.59461490988931187</v>
      </c>
      <c r="N21" s="19">
        <f>(F21-Settings!$D$18)/Settings!$E$18</f>
        <v>0.47709178116013129</v>
      </c>
      <c r="O21" s="19">
        <f>(G21-Settings!$D$19)/Settings!$E$19</f>
        <v>-0.67512556105348165</v>
      </c>
      <c r="P21" s="19">
        <f>(H21-Settings!$D$20)/Settings!$E$20</f>
        <v>0.94823174301860569</v>
      </c>
      <c r="Q21" s="19">
        <f>(I21-Settings!$D$21)/Settings!$E$21</f>
        <v>2.6775787695475551E-2</v>
      </c>
      <c r="R21" s="19">
        <f>(J21-Settings!$D$22)/Settings!$E$22</f>
        <v>0.2670757502698925</v>
      </c>
      <c r="S21" s="19">
        <f>(K21-Settings!$D$23)/Settings!$E$23</f>
        <v>1.4727035238980757</v>
      </c>
      <c r="T21" s="19">
        <f>(L21-Settings!$D$24)/Settings!$E$24</f>
        <v>0.98065269916795539</v>
      </c>
      <c r="U21" s="19">
        <f>(M21-Settings!$D$25)/Settings!$E$25</f>
        <v>-0.36504465973966826</v>
      </c>
      <c r="V21" s="31">
        <f>Settings!$B$18*(N21-F$6)^2</f>
        <v>3.7040561638488047E-2</v>
      </c>
      <c r="W21" s="31">
        <f>Settings!$B$19*(O21-G$6)^2</f>
        <v>0.27808805508305023</v>
      </c>
      <c r="X21" s="31">
        <f>Settings!$B$20*(P21-H$6)^2</f>
        <v>0.34495257872640916</v>
      </c>
      <c r="Y21" s="31">
        <f>Settings!$B$21*(Q21-I$6)^2</f>
        <v>0.15717971465218228</v>
      </c>
      <c r="Z21" s="31">
        <f>Settings!$B$22*(R21-J$6)^2</f>
        <v>2.6087408544278011E-3</v>
      </c>
      <c r="AA21" s="31">
        <f>Settings!$B$23*(S21-K$6)^2</f>
        <v>6.5095351085220368E-2</v>
      </c>
      <c r="AB21" s="31">
        <f>Settings!$B$24*(T21-L$6)^2</f>
        <v>0.29763914163252403</v>
      </c>
      <c r="AC21" s="31">
        <f>Settings!$B$25*(U21-M$6)^2</f>
        <v>3.352918565386552E-2</v>
      </c>
      <c r="AD21" s="19">
        <f t="shared" si="0"/>
        <v>1.1027843530473977</v>
      </c>
      <c r="AE21" s="15">
        <f t="shared" si="1"/>
        <v>0.43650203996659392</v>
      </c>
      <c r="AF21" s="33">
        <f t="shared" si="2"/>
        <v>0.90913015026220012</v>
      </c>
      <c r="AG21" s="47">
        <f t="shared" si="3"/>
        <v>3.9250783982599713E-3</v>
      </c>
      <c r="AH21" s="18">
        <v>-0.2311864576071434</v>
      </c>
      <c r="AI21" s="46">
        <v>0</v>
      </c>
      <c r="AJ21" s="18">
        <v>9.8558956878897597E-2</v>
      </c>
      <c r="AK21" s="46">
        <v>0</v>
      </c>
      <c r="AL21" s="18">
        <v>-1.220104863335747</v>
      </c>
      <c r="AM21" s="46">
        <v>0</v>
      </c>
      <c r="AN21" s="18">
        <v>-1.118092069310612</v>
      </c>
      <c r="AO21" s="46">
        <v>1</v>
      </c>
      <c r="AP21" s="18">
        <v>0.60967124061622646</v>
      </c>
      <c r="AQ21" s="46">
        <v>1</v>
      </c>
    </row>
    <row r="22" spans="1:43" ht="20" customHeight="1" x14ac:dyDescent="0.45">
      <c r="A22" s="26">
        <v>12</v>
      </c>
      <c r="B22" s="16" t="s">
        <v>228</v>
      </c>
      <c r="C22" s="16" t="s">
        <v>229</v>
      </c>
      <c r="D22" s="46">
        <v>26</v>
      </c>
      <c r="E22" s="46">
        <v>1</v>
      </c>
      <c r="F22" s="13">
        <v>0.34222721182116589</v>
      </c>
      <c r="G22" s="13">
        <v>-9.8390263320316418E-2</v>
      </c>
      <c r="H22" s="13">
        <v>0.25060226490618043</v>
      </c>
      <c r="I22" s="13">
        <v>4.0601999921571806E-3</v>
      </c>
      <c r="J22" s="13">
        <v>0.30472005996017992</v>
      </c>
      <c r="K22" s="13">
        <v>17.839366053169751</v>
      </c>
      <c r="L22" s="13">
        <v>3.9369355599590579</v>
      </c>
      <c r="M22" s="13">
        <v>-0.13967571573437529</v>
      </c>
      <c r="N22" s="19">
        <f>(F22-Settings!$D$18)/Settings!$E$18</f>
        <v>0.53649978935981157</v>
      </c>
      <c r="O22" s="19">
        <f>(G22-Settings!$D$19)/Settings!$E$19</f>
        <v>-0.38223539064865475</v>
      </c>
      <c r="P22" s="19">
        <f>(H22-Settings!$D$20)/Settings!$E$20</f>
        <v>1.7891620996320314</v>
      </c>
      <c r="Q22" s="19">
        <f>(I22-Settings!$D$21)/Settings!$E$21</f>
        <v>8.6138652410927871E-2</v>
      </c>
      <c r="R22" s="19">
        <f>(J22-Settings!$D$22)/Settings!$E$22</f>
        <v>0.15298136082927069</v>
      </c>
      <c r="S22" s="19">
        <f>(K22-Settings!$D$23)/Settings!$E$23</f>
        <v>0.8974174011637911</v>
      </c>
      <c r="T22" s="19">
        <f>(L22-Settings!$D$24)/Settings!$E$24</f>
        <v>1.8173417247634915</v>
      </c>
      <c r="U22" s="19">
        <f>(M22-Settings!$D$25)/Settings!$E$25</f>
        <v>-5.8228600315063807E-2</v>
      </c>
      <c r="V22" s="31">
        <f>Settings!$B$18*(N22-F$6)^2</f>
        <v>4.7972964998076628E-2</v>
      </c>
      <c r="W22" s="31">
        <f>Settings!$B$19*(O22-G$6)^2</f>
        <v>0.15709814472616077</v>
      </c>
      <c r="X22" s="31">
        <f>Settings!$B$20*(P22-H$6)^2</f>
        <v>4.4627047878312322E-2</v>
      </c>
      <c r="Y22" s="31">
        <f>Settings!$B$21*(Q22-I$6)^2</f>
        <v>0.17893479503210408</v>
      </c>
      <c r="Z22" s="31">
        <f>Settings!$B$22*(R22-J$6)^2</f>
        <v>2.6288406159352461E-9</v>
      </c>
      <c r="AA22" s="31">
        <f>Settings!$B$23*(S22-K$6)^2</f>
        <v>0.68960406752256975</v>
      </c>
      <c r="AB22" s="31">
        <f>Settings!$B$24*(T22-L$6)^2</f>
        <v>8.4754280246769162E-2</v>
      </c>
      <c r="AC22" s="31">
        <f>Settings!$B$25*(U22-M$6)^2</f>
        <v>1.5303247540022579E-2</v>
      </c>
      <c r="AD22" s="19">
        <f t="shared" si="0"/>
        <v>1.1037638110451238</v>
      </c>
      <c r="AE22" s="15">
        <f t="shared" si="1"/>
        <v>0.43688972719926783</v>
      </c>
      <c r="AF22" s="33">
        <f t="shared" si="2"/>
        <v>0.90897624626649476</v>
      </c>
      <c r="AG22" s="47">
        <f t="shared" si="3"/>
        <v>3.9244139331679551E-3</v>
      </c>
      <c r="AH22" s="18">
        <v>0.23928664773401209</v>
      </c>
      <c r="AI22" s="46">
        <v>1</v>
      </c>
      <c r="AJ22" s="18">
        <v>0.23503101983146471</v>
      </c>
      <c r="AK22" s="46">
        <v>1</v>
      </c>
      <c r="AL22" s="18">
        <v>-0.93913550964404102</v>
      </c>
      <c r="AM22" s="46">
        <v>1</v>
      </c>
      <c r="AN22" s="48"/>
      <c r="AO22" s="48"/>
      <c r="AP22" s="48"/>
      <c r="AQ22" s="48"/>
    </row>
    <row r="23" spans="1:43" ht="20" customHeight="1" x14ac:dyDescent="0.45">
      <c r="A23" s="26">
        <v>13</v>
      </c>
      <c r="B23" s="16" t="s">
        <v>230</v>
      </c>
      <c r="C23" s="16" t="s">
        <v>210</v>
      </c>
      <c r="D23" s="46">
        <v>26</v>
      </c>
      <c r="E23" s="46">
        <v>0</v>
      </c>
      <c r="F23" s="13">
        <v>0.24250760013241399</v>
      </c>
      <c r="G23" s="13">
        <v>-1.6935511369443771E-2</v>
      </c>
      <c r="H23" s="13">
        <v>0.2371986806702035</v>
      </c>
      <c r="I23" s="13">
        <v>-0.1029832793842896</v>
      </c>
      <c r="J23" s="13">
        <v>0.40037492844364919</v>
      </c>
      <c r="K23" s="13">
        <v>19.499284253578711</v>
      </c>
      <c r="L23" s="13">
        <v>3.5435546169458818</v>
      </c>
      <c r="M23" s="13">
        <v>1.1697163773855559</v>
      </c>
      <c r="N23" s="19">
        <f>(F23-Settings!$D$18)/Settings!$E$18</f>
        <v>0.17960951548161666</v>
      </c>
      <c r="O23" s="19">
        <f>(G23-Settings!$D$19)/Settings!$E$19</f>
        <v>-4.2884512100794442E-2</v>
      </c>
      <c r="P23" s="19">
        <f>(H23-Settings!$D$20)/Settings!$E$20</f>
        <v>1.667723048969358</v>
      </c>
      <c r="Q23" s="19">
        <f>(I23-Settings!$D$21)/Settings!$E$21</f>
        <v>-1.2302079341815926</v>
      </c>
      <c r="R23" s="19">
        <f>(J23-Settings!$D$22)/Settings!$E$22</f>
        <v>0.4103452879711989</v>
      </c>
      <c r="S23" s="19">
        <f>(K23-Settings!$D$23)/Settings!$E$23</f>
        <v>1.4738688120056729</v>
      </c>
      <c r="T23" s="19">
        <f>(L23-Settings!$D$24)/Settings!$E$24</f>
        <v>1.5453759615571683</v>
      </c>
      <c r="U23" s="19">
        <f>(M23-Settings!$D$25)/Settings!$E$25</f>
        <v>0.82484001064302481</v>
      </c>
      <c r="V23" s="31">
        <f>Settings!$B$18*(N23-F$6)^2</f>
        <v>3.5308710545678378E-3</v>
      </c>
      <c r="W23" s="31">
        <f>Settings!$B$19*(O23-G$6)^2</f>
        <v>5.9826105823763756E-2</v>
      </c>
      <c r="X23" s="31">
        <f>Settings!$B$20*(P23-H$6)^2</f>
        <v>7.0522295934803483E-2</v>
      </c>
      <c r="Y23" s="31">
        <f>Settings!$B$21*(Q23-I$6)^2</f>
        <v>2.7450273304457609E-2</v>
      </c>
      <c r="Z23" s="31">
        <f>Settings!$B$22*(R23-J$6)^2</f>
        <v>1.3259043349019792E-2</v>
      </c>
      <c r="AA23" s="31">
        <f>Settings!$B$23*(S23-K$6)^2</f>
        <v>6.4502090646243293E-2</v>
      </c>
      <c r="AB23" s="31">
        <f>Settings!$B$24*(T23-L$6)^2</f>
        <v>3.6711022303585446E-4</v>
      </c>
      <c r="AC23" s="31">
        <f>Settings!$B$25*(U23-M$6)^2</f>
        <v>1.0135957122223336</v>
      </c>
      <c r="AD23" s="19">
        <f t="shared" si="0"/>
        <v>1.1193987236718761</v>
      </c>
      <c r="AE23" s="15">
        <f t="shared" si="1"/>
        <v>0.44307830907152396</v>
      </c>
      <c r="AF23" s="33">
        <f t="shared" si="2"/>
        <v>0.90650458218994834</v>
      </c>
      <c r="AG23" s="47">
        <f t="shared" si="3"/>
        <v>3.9137427709896797E-3</v>
      </c>
      <c r="AH23" s="18">
        <v>-0.94137902130716933</v>
      </c>
      <c r="AI23" s="46">
        <v>0</v>
      </c>
      <c r="AJ23" s="48"/>
      <c r="AK23" s="48"/>
      <c r="AL23" s="48"/>
      <c r="AM23" s="48"/>
      <c r="AN23" s="18">
        <v>-0.21824837754716639</v>
      </c>
      <c r="AO23" s="46">
        <v>0</v>
      </c>
      <c r="AP23" s="18">
        <v>0.11824020101898849</v>
      </c>
      <c r="AQ23" s="46">
        <v>0</v>
      </c>
    </row>
    <row r="24" spans="1:43" ht="20" customHeight="1" x14ac:dyDescent="0.45">
      <c r="A24" s="26">
        <v>14</v>
      </c>
      <c r="B24" s="16" t="s">
        <v>231</v>
      </c>
      <c r="C24" s="16" t="s">
        <v>232</v>
      </c>
      <c r="D24" s="46">
        <v>26</v>
      </c>
      <c r="E24" s="46">
        <v>0</v>
      </c>
      <c r="F24" s="13">
        <v>0.34492040125055479</v>
      </c>
      <c r="G24" s="13">
        <v>-5.8298587282004433E-2</v>
      </c>
      <c r="H24" s="13">
        <v>0.1552166302083586</v>
      </c>
      <c r="I24" s="13">
        <v>1.974357471096173E-2</v>
      </c>
      <c r="J24" s="13">
        <v>0.42182080654812032</v>
      </c>
      <c r="K24" s="13">
        <v>19.31961382113823</v>
      </c>
      <c r="L24" s="13">
        <v>4.4085300131800604</v>
      </c>
      <c r="M24" s="13">
        <v>-3.2292761680920101E-2</v>
      </c>
      <c r="N24" s="19">
        <f>(F24-Settings!$D$18)/Settings!$E$18</f>
        <v>0.54613854643861481</v>
      </c>
      <c r="O24" s="19">
        <f>(G24-Settings!$D$19)/Settings!$E$19</f>
        <v>-0.21520835833674043</v>
      </c>
      <c r="P24" s="19">
        <f>(H24-Settings!$D$20)/Settings!$E$20</f>
        <v>0.92494990678675226</v>
      </c>
      <c r="Q24" s="19">
        <f>(I24-Settings!$D$21)/Settings!$E$21</f>
        <v>0.27900193467352175</v>
      </c>
      <c r="R24" s="19">
        <f>(J24-Settings!$D$22)/Settings!$E$22</f>
        <v>0.46804643269576274</v>
      </c>
      <c r="S24" s="19">
        <f>(K24-Settings!$D$23)/Settings!$E$23</f>
        <v>1.4114734034600172</v>
      </c>
      <c r="T24" s="19">
        <f>(L24-Settings!$D$24)/Settings!$E$24</f>
        <v>2.1433807657289878</v>
      </c>
      <c r="U24" s="19">
        <f>(M24-Settings!$D$25)/Settings!$E$25</f>
        <v>1.419165987652991E-2</v>
      </c>
      <c r="V24" s="31">
        <f>Settings!$B$18*(N24-F$6)^2</f>
        <v>4.9879817064092141E-2</v>
      </c>
      <c r="W24" s="31">
        <f>Settings!$B$19*(O24-G$6)^2</f>
        <v>0.10346472044604933</v>
      </c>
      <c r="X24" s="31">
        <f>Settings!$B$20*(P24-H$6)^2</f>
        <v>0.35729142300153449</v>
      </c>
      <c r="Y24" s="31">
        <f>Settings!$B$21*(Q24-I$6)^2</f>
        <v>0.25934364106542368</v>
      </c>
      <c r="Z24" s="31">
        <f>Settings!$B$22*(R24-J$6)^2</f>
        <v>1.9867651184563698E-2</v>
      </c>
      <c r="AA24" s="31">
        <f>Settings!$B$23*(S24-K$6)^2</f>
        <v>0.10008872816118487</v>
      </c>
      <c r="AB24" s="31">
        <f>Settings!$B$24*(T24-L$6)^2</f>
        <v>0.38089254442108728</v>
      </c>
      <c r="AC24" s="31">
        <f>Settings!$B$25*(U24-M$6)^2</f>
        <v>3.8465625837442625E-2</v>
      </c>
      <c r="AD24" s="19">
        <f t="shared" si="0"/>
        <v>1.1442439211904856</v>
      </c>
      <c r="AE24" s="15">
        <f t="shared" si="1"/>
        <v>0.45291248868268486</v>
      </c>
      <c r="AF24" s="33">
        <f t="shared" si="2"/>
        <v>0.90251960934741937</v>
      </c>
      <c r="AG24" s="47">
        <f t="shared" si="3"/>
        <v>3.8965380497323859E-3</v>
      </c>
      <c r="AH24" s="18">
        <v>-1.4236101055092369</v>
      </c>
      <c r="AI24" s="46">
        <v>0</v>
      </c>
      <c r="AJ24" s="18">
        <v>-0.4807151894416748</v>
      </c>
      <c r="AK24" s="46">
        <v>0</v>
      </c>
      <c r="AL24" s="18">
        <v>0.31286202912847871</v>
      </c>
      <c r="AM24" s="46">
        <v>1</v>
      </c>
      <c r="AN24" s="18">
        <v>-0.46999238671003729</v>
      </c>
      <c r="AO24" s="46">
        <v>1</v>
      </c>
      <c r="AP24" s="18">
        <v>-0.28865244223511072</v>
      </c>
      <c r="AQ24" s="46">
        <v>1</v>
      </c>
    </row>
    <row r="25" spans="1:43" ht="20" customHeight="1" x14ac:dyDescent="0.45">
      <c r="A25" s="26">
        <v>15</v>
      </c>
      <c r="B25" s="16" t="s">
        <v>233</v>
      </c>
      <c r="C25" s="16" t="s">
        <v>234</v>
      </c>
      <c r="D25" s="46">
        <v>26</v>
      </c>
      <c r="E25" s="46">
        <v>1</v>
      </c>
      <c r="F25" s="13">
        <v>0.22924031228625349</v>
      </c>
      <c r="G25" s="13">
        <v>-7.15341588628369E-2</v>
      </c>
      <c r="H25" s="13">
        <v>0.1766747646087862</v>
      </c>
      <c r="I25" s="13">
        <v>1.299553635484105E-3</v>
      </c>
      <c r="J25" s="13">
        <v>0.52125121060663926</v>
      </c>
      <c r="K25" s="13">
        <v>18.086754966887419</v>
      </c>
      <c r="L25" s="13">
        <v>2.87712608375096</v>
      </c>
      <c r="M25" s="13">
        <v>-0.13865211572024089</v>
      </c>
      <c r="N25" s="19">
        <f>(F25-Settings!$D$18)/Settings!$E$18</f>
        <v>0.132126719341014</v>
      </c>
      <c r="O25" s="19">
        <f>(G25-Settings!$D$19)/Settings!$E$19</f>
        <v>-0.27034943649934445</v>
      </c>
      <c r="P25" s="19">
        <f>(H25-Settings!$D$20)/Settings!$E$20</f>
        <v>1.1193647308146069</v>
      </c>
      <c r="Q25" s="19">
        <f>(I25-Settings!$D$21)/Settings!$E$21</f>
        <v>5.219013513958741E-2</v>
      </c>
      <c r="R25" s="19">
        <f>(J25-Settings!$D$22)/Settings!$E$22</f>
        <v>0.73556861605678514</v>
      </c>
      <c r="S25" s="19">
        <f>(K25-Settings!$D$23)/Settings!$E$23</f>
        <v>0.9833298806486569</v>
      </c>
      <c r="T25" s="19">
        <f>(L25-Settings!$D$24)/Settings!$E$24</f>
        <v>1.0846374639966589</v>
      </c>
      <c r="U25" s="19">
        <f>(M25-Settings!$D$25)/Settings!$E$25</f>
        <v>-5.7538273065183616E-2</v>
      </c>
      <c r="V25" s="31">
        <f>Settings!$B$18*(N25-F$6)^2</f>
        <v>1.458184425262097E-3</v>
      </c>
      <c r="W25" s="31">
        <f>Settings!$B$19*(O25-G$6)^2</f>
        <v>0.11993696294154424</v>
      </c>
      <c r="X25" s="31">
        <f>Settings!$B$20*(P25-H$6)^2</f>
        <v>0.26091014101615528</v>
      </c>
      <c r="Y25" s="31">
        <f>Settings!$B$21*(Q25-I$6)^2</f>
        <v>0.16632091365823842</v>
      </c>
      <c r="Z25" s="31">
        <f>Settings!$B$22*(R25-J$6)^2</f>
        <v>6.7908301644815802E-2</v>
      </c>
      <c r="AA25" s="31">
        <f>Settings!$B$23*(S25-K$6)^2</f>
        <v>0.55429744698665007</v>
      </c>
      <c r="AB25" s="31">
        <f>Settings!$B$24*(T25-L$6)^2</f>
        <v>0.19499146296152739</v>
      </c>
      <c r="AC25" s="31">
        <f>Settings!$B$25*(U25-M$6)^2</f>
        <v>1.5474519745230052E-2</v>
      </c>
      <c r="AD25" s="19">
        <f t="shared" si="0"/>
        <v>1.1752863197448626</v>
      </c>
      <c r="AE25" s="15">
        <f t="shared" si="1"/>
        <v>0.46519963281652921</v>
      </c>
      <c r="AF25" s="33">
        <f t="shared" si="2"/>
        <v>0.89744328825830666</v>
      </c>
      <c r="AG25" s="47">
        <f t="shared" si="3"/>
        <v>3.874621541690318E-3</v>
      </c>
      <c r="AH25" s="18">
        <v>0.4674794997889995</v>
      </c>
      <c r="AI25" s="46">
        <v>1</v>
      </c>
      <c r="AJ25" s="18">
        <v>-0.33301117821229509</v>
      </c>
      <c r="AK25" s="46">
        <v>1</v>
      </c>
      <c r="AL25" s="18">
        <v>-1.450132111969832</v>
      </c>
      <c r="AM25" s="46">
        <v>1</v>
      </c>
      <c r="AN25" s="18">
        <v>-0.7533646426726619</v>
      </c>
      <c r="AO25" s="46">
        <v>1</v>
      </c>
      <c r="AP25" s="18">
        <v>1.148750662940309</v>
      </c>
      <c r="AQ25" s="46">
        <v>1</v>
      </c>
    </row>
    <row r="26" spans="1:43" ht="20" customHeight="1" x14ac:dyDescent="0.45">
      <c r="A26" s="26">
        <v>16</v>
      </c>
      <c r="B26" s="16" t="s">
        <v>235</v>
      </c>
      <c r="C26" s="16" t="s">
        <v>236</v>
      </c>
      <c r="D26" s="46">
        <v>26</v>
      </c>
      <c r="E26" s="46">
        <v>0</v>
      </c>
      <c r="F26" s="13">
        <v>0.3030447488775313</v>
      </c>
      <c r="G26" s="13">
        <v>-5.4404479560259462E-2</v>
      </c>
      <c r="H26" s="13">
        <v>9.9305898173435325E-2</v>
      </c>
      <c r="I26" s="13">
        <v>6.4957468865533839E-6</v>
      </c>
      <c r="J26" s="13">
        <v>0.54323837764188743</v>
      </c>
      <c r="K26" s="13">
        <v>19.231083844580802</v>
      </c>
      <c r="L26" s="13">
        <v>3.089553618592324</v>
      </c>
      <c r="M26" s="13">
        <v>-1.074097485903651</v>
      </c>
      <c r="N26" s="19">
        <f>(F26-Settings!$D$18)/Settings!$E$18</f>
        <v>0.3962681970545508</v>
      </c>
      <c r="O26" s="19">
        <f>(G26-Settings!$D$19)/Settings!$E$19</f>
        <v>-0.19898500923942597</v>
      </c>
      <c r="P26" s="19">
        <f>(H26-Settings!$D$20)/Settings!$E$20</f>
        <v>0.41838792301888378</v>
      </c>
      <c r="Q26" s="19">
        <f>(I26-Settings!$D$21)/Settings!$E$21</f>
        <v>3.6289004609852016E-2</v>
      </c>
      <c r="R26" s="19">
        <f>(J26-Settings!$D$22)/Settings!$E$22</f>
        <v>0.79472612413380406</v>
      </c>
      <c r="S26" s="19">
        <f>(K26-Settings!$D$23)/Settings!$E$23</f>
        <v>1.3807289788999666</v>
      </c>
      <c r="T26" s="19">
        <f>(L26-Settings!$D$24)/Settings!$E$24</f>
        <v>1.2315002382750617</v>
      </c>
      <c r="U26" s="19">
        <f>(M26-Settings!$D$25)/Settings!$E$25</f>
        <v>-0.68841304924223612</v>
      </c>
      <c r="V26" s="31">
        <f>Settings!$B$18*(N26-F$6)^2</f>
        <v>2.4434016902604484E-2</v>
      </c>
      <c r="W26" s="31">
        <f>Settings!$B$19*(O26-G$6)^2</f>
        <v>9.884988860917325E-2</v>
      </c>
      <c r="X26" s="31">
        <f>Settings!$B$20*(P26-H$6)^2</f>
        <v>0.67943751339323133</v>
      </c>
      <c r="Y26" s="31">
        <f>Settings!$B$21*(Q26-I$6)^2</f>
        <v>0.16057123666271567</v>
      </c>
      <c r="Z26" s="31">
        <f>Settings!$B$22*(R26-J$6)^2</f>
        <v>8.2396700819905591E-2</v>
      </c>
      <c r="AA26" s="31">
        <f>Settings!$B$23*(S26-K$6)^2</f>
        <v>0.12048705364764971</v>
      </c>
      <c r="AB26" s="31">
        <f>Settings!$B$24*(T26-L$6)^2</f>
        <v>8.6857286439215697E-2</v>
      </c>
      <c r="AC26" s="31">
        <f>Settings!$B$25*(U26-M$6)^2</f>
        <v>0.2565201199248357</v>
      </c>
      <c r="AD26" s="19">
        <f t="shared" si="0"/>
        <v>1.228639009798782</v>
      </c>
      <c r="AE26" s="15">
        <f t="shared" si="1"/>
        <v>0.48631759480237563</v>
      </c>
      <c r="AF26" s="33">
        <f t="shared" si="2"/>
        <v>0.8884717726969944</v>
      </c>
      <c r="AG26" s="47">
        <f t="shared" si="3"/>
        <v>3.8358879215159083E-3</v>
      </c>
      <c r="AH26" s="18">
        <v>0.61199579971540752</v>
      </c>
      <c r="AI26" s="46">
        <v>1</v>
      </c>
      <c r="AJ26" s="18">
        <v>1.235576622348483</v>
      </c>
      <c r="AK26" s="46">
        <v>1</v>
      </c>
      <c r="AL26" s="18">
        <v>-0.59375803635265711</v>
      </c>
      <c r="AM26" s="46">
        <v>1</v>
      </c>
      <c r="AN26" s="18">
        <v>-1.9216071664489061</v>
      </c>
      <c r="AO26" s="46">
        <v>1</v>
      </c>
      <c r="AP26" s="18">
        <v>9.0991419878508673E-2</v>
      </c>
      <c r="AQ26" s="46">
        <v>1</v>
      </c>
    </row>
    <row r="27" spans="1:43" ht="20" customHeight="1" x14ac:dyDescent="0.45">
      <c r="A27" s="26">
        <v>17</v>
      </c>
      <c r="B27" s="16" t="s">
        <v>237</v>
      </c>
      <c r="C27" s="16" t="s">
        <v>229</v>
      </c>
      <c r="D27" s="46">
        <v>26</v>
      </c>
      <c r="E27" s="46">
        <v>1</v>
      </c>
      <c r="F27" s="13">
        <v>0.29148678959280178</v>
      </c>
      <c r="G27" s="13">
        <v>1.863867285329035E-2</v>
      </c>
      <c r="H27" s="13">
        <v>0.17246829763457541</v>
      </c>
      <c r="I27" s="13">
        <v>-1.009522388077118E-2</v>
      </c>
      <c r="J27" s="13">
        <v>0.50731101603856121</v>
      </c>
      <c r="K27" s="13">
        <v>18.842052980132451</v>
      </c>
      <c r="L27" s="13">
        <v>4.1285940703718289</v>
      </c>
      <c r="M27" s="13">
        <v>-1.4718055791705951</v>
      </c>
      <c r="N27" s="19">
        <f>(F27-Settings!$D$18)/Settings!$E$18</f>
        <v>0.35490298127859105</v>
      </c>
      <c r="O27" s="19">
        <f>(G27-Settings!$D$19)/Settings!$E$19</f>
        <v>0.10532207352467346</v>
      </c>
      <c r="P27" s="19">
        <f>(H27-Settings!$D$20)/Settings!$E$20</f>
        <v>1.0812533311323551</v>
      </c>
      <c r="Q27" s="19">
        <f>(I27-Settings!$D$21)/Settings!$E$21</f>
        <v>-8.7934948386091033E-2</v>
      </c>
      <c r="R27" s="19">
        <f>(J27-Settings!$D$22)/Settings!$E$22</f>
        <v>0.69806186625885769</v>
      </c>
      <c r="S27" s="19">
        <f>(K27-Settings!$D$23)/Settings!$E$23</f>
        <v>1.2456275078654073</v>
      </c>
      <c r="T27" s="19">
        <f>(L27-Settings!$D$24)/Settings!$E$24</f>
        <v>1.9498457364223643</v>
      </c>
      <c r="U27" s="19">
        <f>(M27-Settings!$D$25)/Settings!$E$25</f>
        <v>-0.95663181681643628</v>
      </c>
      <c r="V27" s="31">
        <f>Settings!$B$18*(N27-F$6)^2</f>
        <v>1.8992906467037433E-2</v>
      </c>
      <c r="W27" s="31">
        <f>Settings!$B$19*(O27-G$6)^2</f>
        <v>3.1795795821429773E-2</v>
      </c>
      <c r="X27" s="31">
        <f>Settings!$B$20*(P27-H$6)^2</f>
        <v>0.2786125050202316</v>
      </c>
      <c r="Y27" s="31">
        <f>Settings!$B$21*(Q27-I$6)^2</f>
        <v>0.11913457579704034</v>
      </c>
      <c r="Z27" s="31">
        <f>Settings!$B$22*(R27-J$6)^2</f>
        <v>5.9447551101881241E-2</v>
      </c>
      <c r="AA27" s="31">
        <f>Settings!$B$23*(S27-K$6)^2</f>
        <v>0.2325302666156524</v>
      </c>
      <c r="AB27" s="31">
        <f>Settings!$B$24*(T27-L$6)^2</f>
        <v>0.17946228836787689</v>
      </c>
      <c r="AC27" s="31">
        <f>Settings!$B$25*(U27-M$6)^2</f>
        <v>0.60015531944852718</v>
      </c>
      <c r="AD27" s="19">
        <f t="shared" si="0"/>
        <v>1.2329360115754902</v>
      </c>
      <c r="AE27" s="15">
        <f t="shared" si="1"/>
        <v>0.48801842600848594</v>
      </c>
      <c r="AF27" s="33">
        <f t="shared" si="2"/>
        <v>0.88773589828939947</v>
      </c>
      <c r="AG27" s="47">
        <f t="shared" si="3"/>
        <v>3.8327108574396042E-3</v>
      </c>
      <c r="AH27" s="18">
        <v>0.14761958652082269</v>
      </c>
      <c r="AI27" s="46">
        <v>1</v>
      </c>
      <c r="AJ27" s="18">
        <v>-0.21884884844788571</v>
      </c>
      <c r="AK27" s="46">
        <v>1</v>
      </c>
      <c r="AL27" s="18">
        <v>-1.3468143685501439</v>
      </c>
      <c r="AM27" s="46">
        <v>1</v>
      </c>
      <c r="AN27" s="48"/>
      <c r="AO27" s="48"/>
      <c r="AP27" s="48"/>
      <c r="AQ27" s="48"/>
    </row>
    <row r="28" spans="1:43" ht="20" customHeight="1" x14ac:dyDescent="0.45">
      <c r="A28" s="26">
        <v>18</v>
      </c>
      <c r="B28" s="16" t="s">
        <v>238</v>
      </c>
      <c r="C28" s="16" t="s">
        <v>229</v>
      </c>
      <c r="D28" s="46">
        <v>26</v>
      </c>
      <c r="E28" s="46">
        <v>1</v>
      </c>
      <c r="F28" s="13">
        <v>0.2235668312071048</v>
      </c>
      <c r="G28" s="13">
        <v>-0.120272565990654</v>
      </c>
      <c r="H28" s="13">
        <v>0.1368794490551544</v>
      </c>
      <c r="I28" s="13">
        <v>-2.512372864275198E-5</v>
      </c>
      <c r="J28" s="13">
        <v>0.519256030018444</v>
      </c>
      <c r="K28" s="13">
        <v>20.74065817409771</v>
      </c>
      <c r="L28" s="13">
        <v>4.7183049530960757</v>
      </c>
      <c r="M28" s="13">
        <v>-1.8451867236919379E-3</v>
      </c>
      <c r="N28" s="19">
        <f>(F28-Settings!$D$18)/Settings!$E$18</f>
        <v>0.11182168423417826</v>
      </c>
      <c r="O28" s="19">
        <f>(G28-Settings!$D$19)/Settings!$E$19</f>
        <v>-0.47339985261040646</v>
      </c>
      <c r="P28" s="19">
        <f>(H28-Settings!$D$20)/Settings!$E$20</f>
        <v>0.75881151933234015</v>
      </c>
      <c r="Q28" s="19">
        <f>(I28-Settings!$D$21)/Settings!$E$21</f>
        <v>3.5900170194852567E-2</v>
      </c>
      <c r="R28" s="19">
        <f>(J28-Settings!$D$22)/Settings!$E$22</f>
        <v>0.73020048874997678</v>
      </c>
      <c r="S28" s="19">
        <f>(K28-Settings!$D$23)/Settings!$E$23</f>
        <v>1.9049694214749782</v>
      </c>
      <c r="T28" s="19">
        <f>(L28-Settings!$D$24)/Settings!$E$24</f>
        <v>2.3575451258811015</v>
      </c>
      <c r="U28" s="19">
        <f>(M28-Settings!$D$25)/Settings!$E$25</f>
        <v>3.472584353763368E-2</v>
      </c>
      <c r="V28" s="31">
        <f>Settings!$B$18*(N28-F$6)^2</f>
        <v>8.4712974142020004E-4</v>
      </c>
      <c r="W28" s="31">
        <f>Settings!$B$19*(O28-G$6)^2</f>
        <v>0.19107920112767199</v>
      </c>
      <c r="X28" s="31">
        <f>Settings!$B$20*(P28-H$6)^2</f>
        <v>0.45163498804487895</v>
      </c>
      <c r="Y28" s="31">
        <f>Settings!$B$21*(Q28-I$6)^2</f>
        <v>0.16043190515921771</v>
      </c>
      <c r="Z28" s="31">
        <f>Settings!$B$22*(R28-J$6)^2</f>
        <v>6.6662857803227449E-2</v>
      </c>
      <c r="AA28" s="31">
        <f>Settings!$B$23*(S28-K$6)^2</f>
        <v>3.1374325395099552E-2</v>
      </c>
      <c r="AB28" s="31">
        <f>Settings!$B$24*(T28-L$6)^2</f>
        <v>0.69110838004283159</v>
      </c>
      <c r="AC28" s="31">
        <f>Settings!$B$25*(U28-M$6)^2</f>
        <v>4.6941875965804812E-2</v>
      </c>
      <c r="AD28" s="19">
        <f t="shared" si="0"/>
        <v>1.2806563408190943</v>
      </c>
      <c r="AE28" s="15">
        <f t="shared" si="1"/>
        <v>0.50690699747320589</v>
      </c>
      <c r="AF28" s="33">
        <f t="shared" si="2"/>
        <v>0.87943347956393125</v>
      </c>
      <c r="AG28" s="47">
        <f t="shared" si="3"/>
        <v>3.7968659958614835E-3</v>
      </c>
      <c r="AH28" s="18">
        <v>-0.76785446474118668</v>
      </c>
      <c r="AI28" s="46">
        <v>1</v>
      </c>
      <c r="AJ28" s="18">
        <v>-2.7408485929831978</v>
      </c>
      <c r="AK28" s="46">
        <v>1</v>
      </c>
      <c r="AL28" s="18">
        <v>-0.5593276466749082</v>
      </c>
      <c r="AM28" s="46">
        <v>1</v>
      </c>
      <c r="AN28" s="48"/>
      <c r="AO28" s="48"/>
      <c r="AP28" s="48"/>
      <c r="AQ28" s="48"/>
    </row>
    <row r="29" spans="1:43" ht="20" customHeight="1" x14ac:dyDescent="0.45">
      <c r="A29" s="26">
        <v>19</v>
      </c>
      <c r="B29" s="16" t="s">
        <v>239</v>
      </c>
      <c r="C29" s="16" t="s">
        <v>234</v>
      </c>
      <c r="D29" s="46">
        <v>26</v>
      </c>
      <c r="E29" s="46">
        <v>1</v>
      </c>
      <c r="F29" s="13">
        <v>0.21775738934371369</v>
      </c>
      <c r="G29" s="13">
        <v>-0.2006163062444411</v>
      </c>
      <c r="H29" s="13">
        <v>0.1092992783272411</v>
      </c>
      <c r="I29" s="13">
        <v>-1.268274408040823E-2</v>
      </c>
      <c r="J29" s="13">
        <v>0.45964428200419588</v>
      </c>
      <c r="K29" s="13">
        <v>21.01949891067542</v>
      </c>
      <c r="L29" s="13">
        <v>2.862256626697921</v>
      </c>
      <c r="M29" s="13">
        <v>-1.0857047512764191</v>
      </c>
      <c r="N29" s="19">
        <f>(F29-Settings!$D$18)/Settings!$E$18</f>
        <v>9.1030053956109608E-2</v>
      </c>
      <c r="O29" s="19">
        <f>(G29-Settings!$D$19)/Settings!$E$19</f>
        <v>-0.80812211482277874</v>
      </c>
      <c r="P29" s="19">
        <f>(H29-Settings!$D$20)/Settings!$E$20</f>
        <v>0.5089298689210815</v>
      </c>
      <c r="Q29" s="19">
        <f>(I29-Settings!$D$21)/Settings!$E$21</f>
        <v>-0.1197544800602537</v>
      </c>
      <c r="R29" s="19">
        <f>(J29-Settings!$D$22)/Settings!$E$22</f>
        <v>0.56981227416168045</v>
      </c>
      <c r="S29" s="19">
        <f>(K29-Settings!$D$23)/Settings!$E$23</f>
        <v>2.0018043956085281</v>
      </c>
      <c r="T29" s="19">
        <f>(L29-Settings!$D$24)/Settings!$E$24</f>
        <v>1.0743573950006426</v>
      </c>
      <c r="U29" s="19">
        <f>(M29-Settings!$D$25)/Settings!$E$25</f>
        <v>-0.69624111828558066</v>
      </c>
      <c r="V29" s="31">
        <f>Settings!$B$18*(N29-F$6)^2</f>
        <v>3.9232491780780631E-4</v>
      </c>
      <c r="W29" s="31">
        <f>Settings!$B$19*(O29-G$6)^2</f>
        <v>0.34435585387276518</v>
      </c>
      <c r="X29" s="31">
        <f>Settings!$B$20*(P29-H$6)^2</f>
        <v>0.6143242681898391</v>
      </c>
      <c r="Y29" s="31">
        <f>Settings!$B$21*(Q29-I$6)^2</f>
        <v>0.10951376596564233</v>
      </c>
      <c r="Z29" s="31">
        <f>Settings!$B$22*(R29-J$6)^2</f>
        <v>3.476872025145402E-2</v>
      </c>
      <c r="AA29" s="31">
        <f>Settings!$B$23*(S29-K$6)^2</f>
        <v>7.5055706573183029E-2</v>
      </c>
      <c r="AB29" s="31">
        <f>Settings!$B$24*(T29-L$6)^2</f>
        <v>0.20417605514382192</v>
      </c>
      <c r="AC29" s="31">
        <f>Settings!$B$25*(U29-M$6)^2</f>
        <v>0.26451089049812948</v>
      </c>
      <c r="AD29" s="19">
        <f t="shared" si="0"/>
        <v>1.2833929972586895</v>
      </c>
      <c r="AE29" s="15">
        <f t="shared" si="1"/>
        <v>0.50799021570646252</v>
      </c>
      <c r="AF29" s="33">
        <f t="shared" si="2"/>
        <v>0.87895020752845887</v>
      </c>
      <c r="AG29" s="47">
        <f t="shared" si="3"/>
        <v>3.7947795172353282E-3</v>
      </c>
      <c r="AH29" s="18">
        <v>-0.2454250171667445</v>
      </c>
      <c r="AI29" s="46">
        <v>1</v>
      </c>
      <c r="AJ29" s="18">
        <v>0.42880443392292023</v>
      </c>
      <c r="AK29" s="46">
        <v>1</v>
      </c>
      <c r="AL29" s="18">
        <v>0.72307879573344414</v>
      </c>
      <c r="AM29" s="46">
        <v>1</v>
      </c>
      <c r="AN29" s="18">
        <v>-0.84999619380465807</v>
      </c>
      <c r="AO29" s="46">
        <v>1</v>
      </c>
      <c r="AP29" s="18">
        <v>-0.55870972506492933</v>
      </c>
      <c r="AQ29" s="46">
        <v>1</v>
      </c>
    </row>
    <row r="30" spans="1:43" ht="20" customHeight="1" x14ac:dyDescent="0.45">
      <c r="A30" s="26">
        <v>20</v>
      </c>
      <c r="B30" s="16" t="s">
        <v>240</v>
      </c>
      <c r="C30" s="16" t="s">
        <v>218</v>
      </c>
      <c r="D30" s="46">
        <v>26</v>
      </c>
      <c r="E30" s="46">
        <v>0</v>
      </c>
      <c r="F30" s="13">
        <v>0.2824439425937601</v>
      </c>
      <c r="G30" s="13">
        <v>-0.2021364454720137</v>
      </c>
      <c r="H30" s="13">
        <v>7.5962874421251325E-2</v>
      </c>
      <c r="I30" s="13">
        <v>1.567420175977003E-5</v>
      </c>
      <c r="J30" s="13">
        <v>0.43944106331121502</v>
      </c>
      <c r="K30" s="13">
        <v>19.80294871794872</v>
      </c>
      <c r="L30" s="13">
        <v>3.5404888952233482</v>
      </c>
      <c r="M30" s="13">
        <v>0.40151811455280439</v>
      </c>
      <c r="N30" s="19">
        <f>(F30-Settings!$D$18)/Settings!$E$18</f>
        <v>0.32253919558516331</v>
      </c>
      <c r="O30" s="19">
        <f>(G30-Settings!$D$19)/Settings!$E$19</f>
        <v>-0.81445520859615317</v>
      </c>
      <c r="P30" s="19">
        <f>(H30-Settings!$D$20)/Settings!$E$20</f>
        <v>0.20689563900334279</v>
      </c>
      <c r="Q30" s="19">
        <f>(I30-Settings!$D$21)/Settings!$E$21</f>
        <v>3.6401874892217023E-2</v>
      </c>
      <c r="R30" s="19">
        <f>(J30-Settings!$D$22)/Settings!$E$22</f>
        <v>0.51545456308886306</v>
      </c>
      <c r="S30" s="19">
        <f>(K30-Settings!$D$23)/Settings!$E$23</f>
        <v>1.5793244958252182</v>
      </c>
      <c r="T30" s="19">
        <f>(L30-Settings!$D$24)/Settings!$E$24</f>
        <v>1.5432564604403614</v>
      </c>
      <c r="U30" s="19">
        <f>(M30-Settings!$D$25)/Settings!$E$25</f>
        <v>0.30675854637837052</v>
      </c>
      <c r="V30" s="31">
        <f>Settings!$B$18*(N30-F$6)^2</f>
        <v>1.5213058822149284E-2</v>
      </c>
      <c r="W30" s="31">
        <f>Settings!$B$19*(O30-G$6)^2</f>
        <v>0.34768790328749288</v>
      </c>
      <c r="X30" s="31">
        <f>Settings!$B$20*(P30-H$6)^2</f>
        <v>0.84430778250059879</v>
      </c>
      <c r="Y30" s="31">
        <f>Settings!$B$21*(Q30-I$6)^2</f>
        <v>0.16061169293223157</v>
      </c>
      <c r="Z30" s="31">
        <f>Settings!$B$22*(R30-J$6)^2</f>
        <v>2.6293989855954037E-2</v>
      </c>
      <c r="AA30" s="31">
        <f>Settings!$B$23*(S30-K$6)^2</f>
        <v>2.2057279710566771E-2</v>
      </c>
      <c r="AB30" s="31">
        <f>Settings!$B$24*(T30-L$6)^2</f>
        <v>2.9038271382005466E-4</v>
      </c>
      <c r="AC30" s="31">
        <f>Settings!$B$25*(U30-M$6)^2</f>
        <v>0.23882128041793738</v>
      </c>
      <c r="AD30" s="19">
        <f t="shared" si="0"/>
        <v>1.2865781632845907</v>
      </c>
      <c r="AE30" s="15">
        <f t="shared" si="1"/>
        <v>0.50925096216527488</v>
      </c>
      <c r="AF30" s="33">
        <f t="shared" si="2"/>
        <v>0.87838676875495414</v>
      </c>
      <c r="AG30" s="47">
        <f t="shared" si="3"/>
        <v>3.79234692674431E-3</v>
      </c>
      <c r="AH30" s="18">
        <v>-1.2910538011807029</v>
      </c>
      <c r="AI30" s="46">
        <v>0</v>
      </c>
      <c r="AJ30" s="18">
        <v>-0.92501284823315988</v>
      </c>
      <c r="AK30" s="46">
        <v>0</v>
      </c>
      <c r="AL30" s="18">
        <v>0.1045643570214521</v>
      </c>
      <c r="AM30" s="46">
        <v>0</v>
      </c>
      <c r="AN30" s="18">
        <v>0.470719407376885</v>
      </c>
      <c r="AO30" s="46">
        <v>0</v>
      </c>
      <c r="AP30" s="18">
        <v>0.28731504365966809</v>
      </c>
      <c r="AQ30" s="46">
        <v>1</v>
      </c>
    </row>
    <row r="31" spans="1:43" ht="20" customHeight="1" x14ac:dyDescent="0.45">
      <c r="A31" s="26">
        <v>21</v>
      </c>
      <c r="B31" s="16" t="s">
        <v>241</v>
      </c>
      <c r="C31" s="16" t="s">
        <v>242</v>
      </c>
      <c r="D31" s="46">
        <v>26</v>
      </c>
      <c r="E31" s="46">
        <v>0</v>
      </c>
      <c r="F31" s="13">
        <v>0.23480500027777029</v>
      </c>
      <c r="G31" s="13">
        <v>-0.15915123482229229</v>
      </c>
      <c r="H31" s="13">
        <v>9.6536599335181772E-2</v>
      </c>
      <c r="I31" s="13">
        <v>-2.7039284214535751E-3</v>
      </c>
      <c r="J31" s="13">
        <v>0.50680323714330189</v>
      </c>
      <c r="K31" s="13">
        <v>18.937261904761929</v>
      </c>
      <c r="L31" s="13">
        <v>2.6257774999891428</v>
      </c>
      <c r="M31" s="13">
        <v>-5.8305650082437488E-2</v>
      </c>
      <c r="N31" s="19">
        <f>(F31-Settings!$D$18)/Settings!$E$18</f>
        <v>0.15204239076919654</v>
      </c>
      <c r="O31" s="19">
        <f>(G31-Settings!$D$19)/Settings!$E$19</f>
        <v>-0.63537334229391929</v>
      </c>
      <c r="P31" s="19">
        <f>(H31-Settings!$D$20)/Settings!$E$20</f>
        <v>0.3932975430132073</v>
      </c>
      <c r="Q31" s="19">
        <f>(I31-Settings!$D$21)/Settings!$E$21</f>
        <v>2.9580850340310359E-3</v>
      </c>
      <c r="R31" s="19">
        <f>(J31-Settings!$D$22)/Settings!$E$22</f>
        <v>0.69669566323463505</v>
      </c>
      <c r="S31" s="19">
        <f>(K31-Settings!$D$23)/Settings!$E$23</f>
        <v>1.2786913774668609</v>
      </c>
      <c r="T31" s="19">
        <f>(L31-Settings!$D$24)/Settings!$E$24</f>
        <v>0.91086643968112324</v>
      </c>
      <c r="U31" s="19">
        <f>(M31-Settings!$D$25)/Settings!$E$25</f>
        <v>-3.3517217800689086E-3</v>
      </c>
      <c r="V31" s="31">
        <f>Settings!$B$18*(N31-F$6)^2</f>
        <v>2.217726170447461E-3</v>
      </c>
      <c r="W31" s="31">
        <f>Settings!$B$19*(O31-G$6)^2</f>
        <v>0.25965426422320026</v>
      </c>
      <c r="X31" s="31">
        <f>Settings!$B$20*(P31-H$6)^2</f>
        <v>0.69806151330622024</v>
      </c>
      <c r="Y31" s="31">
        <f>Settings!$B$21*(Q31-I$6)^2</f>
        <v>0.14884732616909851</v>
      </c>
      <c r="Z31" s="31">
        <f>Settings!$B$22*(R31-J$6)^2</f>
        <v>5.9149985496965721E-2</v>
      </c>
      <c r="AA31" s="31">
        <f>Settings!$B$23*(S31-K$6)^2</f>
        <v>0.20173576961155973</v>
      </c>
      <c r="AB31" s="31">
        <f>Settings!$B$24*(T31-L$6)^2</f>
        <v>0.37865488559845994</v>
      </c>
      <c r="AC31" s="31">
        <f>Settings!$B$25*(U31-M$6)^2</f>
        <v>3.1891950039303049E-2</v>
      </c>
      <c r="AD31" s="19">
        <f t="shared" si="0"/>
        <v>1.3342463867724188</v>
      </c>
      <c r="AE31" s="15">
        <f t="shared" si="1"/>
        <v>0.5281189092272025</v>
      </c>
      <c r="AF31" s="33">
        <f t="shared" si="2"/>
        <v>0.86983234644283791</v>
      </c>
      <c r="AG31" s="47">
        <f t="shared" si="3"/>
        <v>3.7554140649123748E-3</v>
      </c>
      <c r="AH31" s="18">
        <v>-2.0418420029439499E-2</v>
      </c>
      <c r="AI31" s="46">
        <v>0</v>
      </c>
      <c r="AJ31" s="18">
        <v>0.13215851349200761</v>
      </c>
      <c r="AK31" s="46">
        <v>0</v>
      </c>
      <c r="AL31" s="48"/>
      <c r="AM31" s="48"/>
      <c r="AN31" s="48"/>
      <c r="AO31" s="48"/>
      <c r="AP31" s="18">
        <v>0.40661429904196977</v>
      </c>
      <c r="AQ31" s="46">
        <v>0</v>
      </c>
    </row>
    <row r="32" spans="1:43" ht="20" customHeight="1" x14ac:dyDescent="0.45">
      <c r="A32" s="26">
        <v>22</v>
      </c>
      <c r="B32" s="16" t="s">
        <v>243</v>
      </c>
      <c r="C32" s="16" t="s">
        <v>210</v>
      </c>
      <c r="D32" s="46">
        <v>26</v>
      </c>
      <c r="E32" s="46">
        <v>0</v>
      </c>
      <c r="F32" s="13">
        <v>4.535695697118227E-2</v>
      </c>
      <c r="G32" s="13">
        <v>0.1388434248354771</v>
      </c>
      <c r="H32" s="13">
        <v>0.1557869628042004</v>
      </c>
      <c r="I32" s="13">
        <v>-1.9026005067095401E-2</v>
      </c>
      <c r="J32" s="13">
        <v>0.64098665032204483</v>
      </c>
      <c r="K32" s="13">
        <v>17.533452380952351</v>
      </c>
      <c r="L32" s="13">
        <v>3.4099875196967631</v>
      </c>
      <c r="M32" s="13">
        <v>-1.031447376862626</v>
      </c>
      <c r="N32" s="19">
        <f>(F32-Settings!$D$18)/Settings!$E$18</f>
        <v>-0.52598034634704505</v>
      </c>
      <c r="O32" s="19">
        <f>(G32-Settings!$D$19)/Settings!$E$19</f>
        <v>0.60611039113424803</v>
      </c>
      <c r="P32" s="19">
        <f>(H32-Settings!$D$20)/Settings!$E$20</f>
        <v>0.93011722977899347</v>
      </c>
      <c r="Q32" s="19">
        <f>(I32-Settings!$D$21)/Settings!$E$21</f>
        <v>-0.1977595112525454</v>
      </c>
      <c r="R32" s="19">
        <f>(J32-Settings!$D$22)/Settings!$E$22</f>
        <v>1.0577224538256156</v>
      </c>
      <c r="S32" s="19">
        <f>(K32-Settings!$D$23)/Settings!$E$23</f>
        <v>0.79118061919339355</v>
      </c>
      <c r="T32" s="19">
        <f>(L32-Settings!$D$24)/Settings!$E$24</f>
        <v>1.4530337213246696</v>
      </c>
      <c r="U32" s="19">
        <f>(M32-Settings!$D$25)/Settings!$E$25</f>
        <v>-0.65964934068926318</v>
      </c>
      <c r="V32" s="31">
        <f>Settings!$B$18*(N32-F$6)^2</f>
        <v>6.5601678395484378E-2</v>
      </c>
      <c r="W32" s="31">
        <f>Settings!$B$19*(O32-G$6)^2</f>
        <v>2.0835196511254507E-3</v>
      </c>
      <c r="X32" s="31">
        <f>Settings!$B$20*(P32-H$6)^2</f>
        <v>0.35453413850118087</v>
      </c>
      <c r="Y32" s="31">
        <f>Settings!$B$21*(Q32-I$6)^2</f>
        <v>8.7641890863641103E-2</v>
      </c>
      <c r="Z32" s="31">
        <f>Settings!$B$22*(R32-J$6)^2</f>
        <v>0.16375278246464739</v>
      </c>
      <c r="AA32" s="31">
        <f>Settings!$B$23*(S32-K$6)^2</f>
        <v>0.87733347433622166</v>
      </c>
      <c r="AB32" s="31">
        <f>Settings!$B$24*(T32-L$6)^2</f>
        <v>5.3556226276821996E-3</v>
      </c>
      <c r="AC32" s="31">
        <f>Settings!$B$25*(U32-M$6)^2</f>
        <v>0.22821109086583455</v>
      </c>
      <c r="AD32" s="19">
        <f t="shared" si="0"/>
        <v>1.3358571022777166</v>
      </c>
      <c r="AE32" s="15">
        <f t="shared" si="1"/>
        <v>0.52875645962581441</v>
      </c>
      <c r="AF32" s="33">
        <f t="shared" si="2"/>
        <v>0.86953934436504732</v>
      </c>
      <c r="AG32" s="47">
        <f t="shared" si="3"/>
        <v>3.7541490577779734E-3</v>
      </c>
      <c r="AH32" s="18">
        <v>1.5483205767917511E-2</v>
      </c>
      <c r="AI32" s="46">
        <v>0</v>
      </c>
      <c r="AJ32" s="18">
        <v>-0.78721689128265826</v>
      </c>
      <c r="AK32" s="46">
        <v>0</v>
      </c>
      <c r="AL32" s="18">
        <v>1.488460347832576</v>
      </c>
      <c r="AM32" s="46">
        <v>0</v>
      </c>
      <c r="AN32" s="18">
        <v>1.2673511626252389</v>
      </c>
      <c r="AO32" s="46">
        <v>0</v>
      </c>
      <c r="AP32" s="18">
        <v>-3.1875179129217361</v>
      </c>
      <c r="AQ32" s="46">
        <v>0</v>
      </c>
    </row>
    <row r="33" spans="1:43" ht="20" customHeight="1" x14ac:dyDescent="0.45">
      <c r="A33" s="26">
        <v>23</v>
      </c>
      <c r="B33" s="16" t="s">
        <v>244</v>
      </c>
      <c r="C33" s="16" t="s">
        <v>227</v>
      </c>
      <c r="D33" s="46">
        <v>26</v>
      </c>
      <c r="E33" s="46">
        <v>0</v>
      </c>
      <c r="F33" s="13">
        <v>0.44959952354638061</v>
      </c>
      <c r="G33" s="13">
        <v>-2.6377285156859422E-2</v>
      </c>
      <c r="H33" s="13">
        <v>0.1035332741800491</v>
      </c>
      <c r="I33" s="13">
        <v>-1.5400204754643369E-2</v>
      </c>
      <c r="J33" s="13">
        <v>0.40508971236206759</v>
      </c>
      <c r="K33" s="13">
        <v>19.510828025477711</v>
      </c>
      <c r="L33" s="13">
        <v>4.1362305072454948</v>
      </c>
      <c r="M33" s="13">
        <v>-1.5167123416153421</v>
      </c>
      <c r="N33" s="19">
        <f>(F33-Settings!$D$18)/Settings!$E$18</f>
        <v>0.92077859961182951</v>
      </c>
      <c r="O33" s="19">
        <f>(G33-Settings!$D$19)/Settings!$E$19</f>
        <v>-8.2220145112630441E-2</v>
      </c>
      <c r="P33" s="19">
        <f>(H33-Settings!$D$20)/Settings!$E$20</f>
        <v>0.45668876255547525</v>
      </c>
      <c r="Q33" s="19">
        <f>(I33-Settings!$D$21)/Settings!$E$21</f>
        <v>-0.15317192971310872</v>
      </c>
      <c r="R33" s="19">
        <f>(J33-Settings!$D$22)/Settings!$E$22</f>
        <v>0.42303063607848801</v>
      </c>
      <c r="S33" s="19">
        <f>(K33-Settings!$D$23)/Settings!$E$23</f>
        <v>1.477877698465244</v>
      </c>
      <c r="T33" s="19">
        <f>(L33-Settings!$D$24)/Settings!$E$24</f>
        <v>1.9551252229338751</v>
      </c>
      <c r="U33" s="19">
        <f>(M33-Settings!$D$25)/Settings!$E$25</f>
        <v>-0.98691743755836281</v>
      </c>
      <c r="V33" s="31">
        <f>Settings!$B$18*(N33-F$6)^2</f>
        <v>0.15278875672615333</v>
      </c>
      <c r="W33" s="31">
        <f>Settings!$B$19*(O33-G$6)^2</f>
        <v>6.8741072064661485E-2</v>
      </c>
      <c r="X33" s="31">
        <f>Settings!$B$20*(P33-H$6)^2</f>
        <v>0.65149328696027153</v>
      </c>
      <c r="Y33" s="31">
        <f>Settings!$B$21*(Q33-I$6)^2</f>
        <v>9.9845827581649213E-2</v>
      </c>
      <c r="Z33" s="31">
        <f>Settings!$B$22*(R33-J$6)^2</f>
        <v>1.4597709103545001E-2</v>
      </c>
      <c r="AA33" s="31">
        <f>Settings!$B$23*(S33-K$6)^2</f>
        <v>6.2481867038835237E-2</v>
      </c>
      <c r="AB33" s="31">
        <f>Settings!$B$24*(T33-L$6)^2</f>
        <v>0.18396325798411359</v>
      </c>
      <c r="AC33" s="31">
        <f>Settings!$B$25*(U33-M$6)^2</f>
        <v>0.64799689255256732</v>
      </c>
      <c r="AD33" s="19">
        <f t="shared" si="0"/>
        <v>1.3718267638487727</v>
      </c>
      <c r="AE33" s="15">
        <f t="shared" si="1"/>
        <v>0.5429939037909286</v>
      </c>
      <c r="AF33" s="33">
        <f t="shared" si="2"/>
        <v>0.86293044338222114</v>
      </c>
      <c r="AG33" s="47">
        <f t="shared" si="3"/>
        <v>3.7256157894924053E-3</v>
      </c>
      <c r="AH33" s="18">
        <v>-0.7265328988395221</v>
      </c>
      <c r="AI33" s="46">
        <v>0</v>
      </c>
      <c r="AJ33" s="18">
        <v>-1.081491796981741</v>
      </c>
      <c r="AK33" s="46">
        <v>0</v>
      </c>
      <c r="AL33" s="18">
        <v>-1.120076877821065</v>
      </c>
      <c r="AM33" s="46">
        <v>0</v>
      </c>
      <c r="AN33" s="18">
        <v>0.8940344523543089</v>
      </c>
      <c r="AO33" s="46">
        <v>1</v>
      </c>
      <c r="AP33" s="18">
        <v>-0.37673917146540509</v>
      </c>
      <c r="AQ33" s="46">
        <v>1</v>
      </c>
    </row>
    <row r="34" spans="1:43" ht="20" customHeight="1" x14ac:dyDescent="0.45">
      <c r="A34" s="26">
        <v>24</v>
      </c>
      <c r="B34" s="16" t="s">
        <v>245</v>
      </c>
      <c r="C34" s="16" t="s">
        <v>246</v>
      </c>
      <c r="D34" s="46">
        <v>26</v>
      </c>
      <c r="E34" s="46">
        <v>1</v>
      </c>
      <c r="F34" s="13">
        <v>6.9513607392889865E-2</v>
      </c>
      <c r="G34" s="13">
        <v>-8.2440585230351693E-2</v>
      </c>
      <c r="H34" s="13">
        <v>0.31660199469365968</v>
      </c>
      <c r="I34" s="13">
        <v>1.059270292134483E-4</v>
      </c>
      <c r="J34" s="13">
        <v>0.5313378856538854</v>
      </c>
      <c r="K34" s="13">
        <v>17.516056910569151</v>
      </c>
      <c r="L34" s="13">
        <v>2.4717436316049701</v>
      </c>
      <c r="M34" s="13">
        <v>0.1665796129624999</v>
      </c>
      <c r="N34" s="19">
        <f>(F34-Settings!$D$18)/Settings!$E$18</f>
        <v>-0.43952520037343229</v>
      </c>
      <c r="O34" s="19">
        <f>(G34-Settings!$D$19)/Settings!$E$19</f>
        <v>-0.31578699883905814</v>
      </c>
      <c r="P34" s="19">
        <f>(H34-Settings!$D$20)/Settings!$E$20</f>
        <v>2.3871323431338638</v>
      </c>
      <c r="Q34" s="19">
        <f>(I34-Settings!$D$21)/Settings!$E$21</f>
        <v>3.7511741668232096E-2</v>
      </c>
      <c r="R34" s="19">
        <f>(J34-Settings!$D$22)/Settings!$E$22</f>
        <v>0.76270729015796157</v>
      </c>
      <c r="S34" s="19">
        <f>(K34-Settings!$D$23)/Settings!$E$23</f>
        <v>0.78513957244652188</v>
      </c>
      <c r="T34" s="19">
        <f>(L34-Settings!$D$24)/Settings!$E$24</f>
        <v>0.80437440106368407</v>
      </c>
      <c r="U34" s="19">
        <f>(M34-Settings!$D$25)/Settings!$E$25</f>
        <v>0.14831340427766715</v>
      </c>
      <c r="V34" s="31">
        <f>Settings!$B$18*(N34-F$6)^2</f>
        <v>4.7290734523436628E-2</v>
      </c>
      <c r="W34" s="31">
        <f>Settings!$B$19*(O34-G$6)^2</f>
        <v>0.13442449291759417</v>
      </c>
      <c r="X34" s="31">
        <f>Settings!$B$20*(P34-H$6)^2</f>
        <v>3.1549873166530733E-3</v>
      </c>
      <c r="Y34" s="31">
        <f>Settings!$B$21*(Q34-I$6)^2</f>
        <v>0.16100977560881202</v>
      </c>
      <c r="Z34" s="31">
        <f>Settings!$B$22*(R34-J$6)^2</f>
        <v>7.4381105992995175E-2</v>
      </c>
      <c r="AA34" s="31">
        <f>Settings!$B$23*(S34-K$6)^2</f>
        <v>0.88868679206904844</v>
      </c>
      <c r="AB34" s="31">
        <f>Settings!$B$24*(T34-L$6)^2</f>
        <v>0.5210550642861157</v>
      </c>
      <c r="AC34" s="31">
        <f>Settings!$B$25*(U34-M$6)^2</f>
        <v>0.10906393969729122</v>
      </c>
      <c r="AD34" s="19">
        <f t="shared" si="0"/>
        <v>1.392503821327592</v>
      </c>
      <c r="AE34" s="15">
        <f t="shared" si="1"/>
        <v>0.55117825800766207</v>
      </c>
      <c r="AF34" s="33">
        <f t="shared" si="2"/>
        <v>0.85907526969162806</v>
      </c>
      <c r="AG34" s="47">
        <f t="shared" si="3"/>
        <v>3.7089714630776198E-3</v>
      </c>
      <c r="AH34" s="18">
        <v>0.65328013547535946</v>
      </c>
      <c r="AI34" s="46">
        <v>1</v>
      </c>
      <c r="AJ34" s="48"/>
      <c r="AK34" s="48"/>
      <c r="AL34" s="48"/>
      <c r="AM34" s="48"/>
      <c r="AN34" s="48"/>
      <c r="AO34" s="48"/>
      <c r="AP34" s="48"/>
      <c r="AQ34" s="48"/>
    </row>
    <row r="35" spans="1:43" ht="20" customHeight="1" x14ac:dyDescent="0.45">
      <c r="A35" s="26">
        <v>25</v>
      </c>
      <c r="B35" s="16" t="s">
        <v>247</v>
      </c>
      <c r="C35" s="16" t="s">
        <v>220</v>
      </c>
      <c r="D35" s="46">
        <v>26</v>
      </c>
      <c r="E35" s="46">
        <v>1</v>
      </c>
      <c r="F35" s="13">
        <v>0.16623875288199161</v>
      </c>
      <c r="G35" s="13">
        <v>0.111622629510867</v>
      </c>
      <c r="H35" s="13">
        <v>9.1111767732147381E-2</v>
      </c>
      <c r="I35" s="13">
        <v>-1.095955094039873E-2</v>
      </c>
      <c r="J35" s="13">
        <v>0.62006729893459522</v>
      </c>
      <c r="K35" s="13">
        <v>17.855681818181822</v>
      </c>
      <c r="L35" s="13">
        <v>4.103281075787609</v>
      </c>
      <c r="M35" s="13">
        <v>-0.81740331985077619</v>
      </c>
      <c r="N35" s="19">
        <f>(F35-Settings!$D$18)/Settings!$E$18</f>
        <v>-9.3351934353709476E-2</v>
      </c>
      <c r="O35" s="19">
        <f>(G35-Settings!$D$19)/Settings!$E$19</f>
        <v>0.49270508835032667</v>
      </c>
      <c r="P35" s="19">
        <f>(H35-Settings!$D$20)/Settings!$E$20</f>
        <v>0.34414752550452493</v>
      </c>
      <c r="Q35" s="19">
        <f>(I35-Settings!$D$21)/Settings!$E$21</f>
        <v>-9.8563844057905484E-2</v>
      </c>
      <c r="R35" s="19">
        <f>(J35-Settings!$D$22)/Settings!$E$22</f>
        <v>1.0014379540223839</v>
      </c>
      <c r="S35" s="19">
        <f>(K35-Settings!$D$23)/Settings!$E$23</f>
        <v>0.903083491069821</v>
      </c>
      <c r="T35" s="19">
        <f>(L35-Settings!$D$24)/Settings!$E$24</f>
        <v>1.9323454786864316</v>
      </c>
      <c r="U35" s="19">
        <f>(M35-Settings!$D$25)/Settings!$E$25</f>
        <v>-0.51529564472420308</v>
      </c>
      <c r="V35" s="31">
        <f>Settings!$B$18*(N35-F$6)^2</f>
        <v>3.9251400761466477E-3</v>
      </c>
      <c r="W35" s="31">
        <f>Settings!$B$19*(O35-G$6)^2</f>
        <v>2.5713071303854859E-5</v>
      </c>
      <c r="X35" s="31">
        <f>Settings!$B$20*(P35-H$6)^2</f>
        <v>0.73527420054360659</v>
      </c>
      <c r="Y35" s="31">
        <f>Settings!$B$21*(Q35-I$6)^2</f>
        <v>0.11587582431285955</v>
      </c>
      <c r="Z35" s="31">
        <f>Settings!$B$22*(R35-J$6)^2</f>
        <v>0.14401463033399611</v>
      </c>
      <c r="AA35" s="31">
        <f>Settings!$B$23*(S35-K$6)^2</f>
        <v>0.68022565768336207</v>
      </c>
      <c r="AB35" s="31">
        <f>Settings!$B$24*(T35-L$6)^2</f>
        <v>0.16494128267663852</v>
      </c>
      <c r="AC35" s="31">
        <f>Settings!$B$25*(U35-M$6)^2</f>
        <v>0.11112938893026825</v>
      </c>
      <c r="AD35" s="19">
        <f t="shared" si="0"/>
        <v>1.3983604104908653</v>
      </c>
      <c r="AE35" s="15">
        <f t="shared" si="1"/>
        <v>0.553496402176058</v>
      </c>
      <c r="AF35" s="33">
        <f t="shared" si="2"/>
        <v>0.85797601570306381</v>
      </c>
      <c r="AG35" s="47">
        <f t="shared" si="3"/>
        <v>3.7042255440433974E-3</v>
      </c>
      <c r="AH35" s="18">
        <v>-1.073668857196314</v>
      </c>
      <c r="AI35" s="46">
        <v>1</v>
      </c>
      <c r="AJ35" s="18">
        <v>1.561215896692864</v>
      </c>
      <c r="AK35" s="46">
        <v>1</v>
      </c>
      <c r="AL35" s="18">
        <v>0.95568300541562401</v>
      </c>
      <c r="AM35" s="46">
        <v>1</v>
      </c>
      <c r="AN35" s="18">
        <v>-2.7501518514947292</v>
      </c>
      <c r="AO35" s="46">
        <v>1</v>
      </c>
      <c r="AP35" s="48"/>
      <c r="AQ35" s="48"/>
    </row>
    <row r="36" spans="1:43" ht="20" customHeight="1" x14ac:dyDescent="0.45">
      <c r="A36" s="26">
        <v>26</v>
      </c>
      <c r="B36" s="16" t="s">
        <v>248</v>
      </c>
      <c r="C36" s="16" t="s">
        <v>232</v>
      </c>
      <c r="D36" s="46">
        <v>26</v>
      </c>
      <c r="E36" s="46">
        <v>0</v>
      </c>
      <c r="F36" s="13">
        <v>0.36999268118987022</v>
      </c>
      <c r="G36" s="13">
        <v>-1.3826467129255369E-3</v>
      </c>
      <c r="H36" s="13">
        <v>0.34769374084183879</v>
      </c>
      <c r="I36" s="13">
        <v>1.807772942895856E-2</v>
      </c>
      <c r="J36" s="13">
        <v>0.26285320182640692</v>
      </c>
      <c r="K36" s="13">
        <v>17.773507462686592</v>
      </c>
      <c r="L36" s="13">
        <v>2.8649759174208018</v>
      </c>
      <c r="M36" s="13">
        <v>0.92267761802226422</v>
      </c>
      <c r="N36" s="19">
        <f>(F36-Settings!$D$18)/Settings!$E$18</f>
        <v>0.63587067337691461</v>
      </c>
      <c r="O36" s="19">
        <f>(G36-Settings!$D$19)/Settings!$E$19</f>
        <v>2.1910704368695834E-2</v>
      </c>
      <c r="P36" s="19">
        <f>(H36-Settings!$D$20)/Settings!$E$20</f>
        <v>2.6688295421222583</v>
      </c>
      <c r="Q36" s="19">
        <f>(I36-Settings!$D$21)/Settings!$E$21</f>
        <v>0.25851652291813154</v>
      </c>
      <c r="R36" s="19">
        <f>(J36-Settings!$D$22)/Settings!$E$22</f>
        <v>4.0336607904186722E-2</v>
      </c>
      <c r="S36" s="19">
        <f>(K36-Settings!$D$23)/Settings!$E$23</f>
        <v>0.87454622751757061</v>
      </c>
      <c r="T36" s="19">
        <f>(L36-Settings!$D$24)/Settings!$E$24</f>
        <v>1.0762373894181745</v>
      </c>
      <c r="U36" s="19">
        <f>(M36-Settings!$D$25)/Settings!$E$25</f>
        <v>0.65823431993356496</v>
      </c>
      <c r="V36" s="31">
        <f>Settings!$B$18*(N36-F$6)^2</f>
        <v>6.9415031855351902E-2</v>
      </c>
      <c r="W36" s="31">
        <f>Settings!$B$19*(O36-G$6)^2</f>
        <v>4.6490455660767246E-2</v>
      </c>
      <c r="X36" s="31">
        <f>Settings!$B$20*(P36-H$6)^2</f>
        <v>3.3177927047302345E-2</v>
      </c>
      <c r="Y36" s="31">
        <f>Settings!$B$21*(Q36-I$6)^2</f>
        <v>0.25009658644557553</v>
      </c>
      <c r="Z36" s="31">
        <f>Settings!$B$22*(R36-J$6)^2</f>
        <v>2.5326048951996908E-3</v>
      </c>
      <c r="AA36" s="31">
        <f>Settings!$B$23*(S36-K$6)^2</f>
        <v>0.72811270242951842</v>
      </c>
      <c r="AB36" s="31">
        <f>Settings!$B$24*(T36-L$6)^2</f>
        <v>0.20248060681116598</v>
      </c>
      <c r="AC36" s="31">
        <f>Settings!$B$25*(U36-M$6)^2</f>
        <v>0.70588431104880545</v>
      </c>
      <c r="AD36" s="19">
        <f t="shared" si="0"/>
        <v>1.4276519975798327</v>
      </c>
      <c r="AE36" s="15">
        <f t="shared" si="1"/>
        <v>0.56509054339039555</v>
      </c>
      <c r="AF36" s="33">
        <f t="shared" si="2"/>
        <v>0.85243044626266584</v>
      </c>
      <c r="AG36" s="47">
        <f t="shared" si="3"/>
        <v>3.6802831032275484E-3</v>
      </c>
      <c r="AH36" s="18">
        <v>0.49064430845810669</v>
      </c>
      <c r="AI36" s="46">
        <v>0</v>
      </c>
      <c r="AJ36" s="18">
        <v>0.24529316914094229</v>
      </c>
      <c r="AK36" s="46">
        <v>0</v>
      </c>
      <c r="AL36" s="18">
        <v>-0.88786357404221228</v>
      </c>
      <c r="AM36" s="46">
        <v>1</v>
      </c>
      <c r="AN36" s="18">
        <v>-0.89879345606065875</v>
      </c>
      <c r="AO36" s="46">
        <v>1</v>
      </c>
      <c r="AP36" s="18">
        <v>0.1632397355937143</v>
      </c>
      <c r="AQ36" s="46">
        <v>1</v>
      </c>
    </row>
    <row r="37" spans="1:43" ht="20" customHeight="1" x14ac:dyDescent="0.45">
      <c r="A37" s="26">
        <v>27</v>
      </c>
      <c r="B37" s="16" t="s">
        <v>249</v>
      </c>
      <c r="C37" s="16" t="s">
        <v>214</v>
      </c>
      <c r="D37" s="46">
        <v>26</v>
      </c>
      <c r="E37" s="46">
        <v>1</v>
      </c>
      <c r="F37" s="13">
        <v>0.23808088688615739</v>
      </c>
      <c r="G37" s="13">
        <v>-0.12777416027583921</v>
      </c>
      <c r="H37" s="13">
        <v>7.6194753489308806E-2</v>
      </c>
      <c r="I37" s="13">
        <v>8.230950014609407E-6</v>
      </c>
      <c r="J37" s="13">
        <v>0.55794196839867993</v>
      </c>
      <c r="K37" s="13">
        <v>17.890958605664441</v>
      </c>
      <c r="L37" s="13">
        <v>3.1591986327861821</v>
      </c>
      <c r="M37" s="13">
        <v>3.1318897838255921E-2</v>
      </c>
      <c r="N37" s="19">
        <f>(F37-Settings!$D$18)/Settings!$E$18</f>
        <v>0.1637665847272548</v>
      </c>
      <c r="O37" s="19">
        <f>(G37-Settings!$D$19)/Settings!$E$19</f>
        <v>-0.50465245052786822</v>
      </c>
      <c r="P37" s="19">
        <f>(H37-Settings!$D$20)/Settings!$E$20</f>
        <v>0.20899650794986405</v>
      </c>
      <c r="Q37" s="19">
        <f>(I37-Settings!$D$21)/Settings!$E$21</f>
        <v>3.6310342936370983E-2</v>
      </c>
      <c r="R37" s="19">
        <f>(J37-Settings!$D$22)/Settings!$E$22</f>
        <v>0.83428682731860682</v>
      </c>
      <c r="S37" s="19">
        <f>(K37-Settings!$D$23)/Settings!$E$23</f>
        <v>0.91533430795303539</v>
      </c>
      <c r="T37" s="19">
        <f>(L37-Settings!$D$24)/Settings!$E$24</f>
        <v>1.2796496460569058</v>
      </c>
      <c r="U37" s="19">
        <f>(M37-Settings!$D$25)/Settings!$E$25</f>
        <v>5.7092071531293545E-2</v>
      </c>
      <c r="V37" s="31">
        <f>Settings!$B$18*(N37-F$6)^2</f>
        <v>2.739052608399331E-3</v>
      </c>
      <c r="W37" s="31">
        <f>Settings!$B$19*(O37-G$6)^2</f>
        <v>0.20349360692256019</v>
      </c>
      <c r="X37" s="31">
        <f>Settings!$B$20*(P37-H$6)^2</f>
        <v>0.84258205483494963</v>
      </c>
      <c r="Y37" s="31">
        <f>Settings!$B$21*(Q37-I$6)^2</f>
        <v>0.16057888460139644</v>
      </c>
      <c r="Z37" s="31">
        <f>Settings!$B$22*(R37-J$6)^2</f>
        <v>9.2866674532700741E-2</v>
      </c>
      <c r="AA37" s="31">
        <f>Settings!$B$23*(S37-K$6)^2</f>
        <v>0.66016782323419998</v>
      </c>
      <c r="AB37" s="31">
        <f>Settings!$B$24*(T37-L$6)^2</f>
        <v>6.0794888446627095E-2</v>
      </c>
      <c r="AC37" s="31">
        <f>Settings!$B$25*(U37-M$6)^2</f>
        <v>5.7133891106602878E-2</v>
      </c>
      <c r="AD37" s="19">
        <f t="shared" si="0"/>
        <v>1.4423442294707032</v>
      </c>
      <c r="AE37" s="15">
        <f t="shared" si="1"/>
        <v>0.57090599513697249</v>
      </c>
      <c r="AF37" s="33">
        <f t="shared" si="2"/>
        <v>0.84961937182538017</v>
      </c>
      <c r="AG37" s="47">
        <f t="shared" si="3"/>
        <v>3.6681465707998112E-3</v>
      </c>
      <c r="AH37" s="48"/>
      <c r="AI37" s="48"/>
      <c r="AJ37" s="48"/>
      <c r="AK37" s="48"/>
      <c r="AL37" s="48"/>
      <c r="AM37" s="48"/>
      <c r="AN37" s="48"/>
      <c r="AO37" s="48"/>
      <c r="AP37" s="48"/>
      <c r="AQ37" s="48"/>
    </row>
    <row r="38" spans="1:43" ht="20" customHeight="1" x14ac:dyDescent="0.45">
      <c r="A38" s="26">
        <v>28</v>
      </c>
      <c r="B38" s="16" t="s">
        <v>250</v>
      </c>
      <c r="C38" s="16" t="s">
        <v>246</v>
      </c>
      <c r="D38" s="46">
        <v>26</v>
      </c>
      <c r="E38" s="46">
        <v>1</v>
      </c>
      <c r="F38" s="13">
        <v>0.23729538518211091</v>
      </c>
      <c r="G38" s="13">
        <v>-3.6762067698654748E-2</v>
      </c>
      <c r="H38" s="13">
        <v>6.4966971013995442E-2</v>
      </c>
      <c r="I38" s="13">
        <v>5.9321290583682269E-5</v>
      </c>
      <c r="J38" s="13">
        <v>0.66091625481465532</v>
      </c>
      <c r="K38" s="13">
        <v>18.492557651991639</v>
      </c>
      <c r="L38" s="13">
        <v>2.7144311533123688</v>
      </c>
      <c r="M38" s="13">
        <v>3.2690177482070933E-2</v>
      </c>
      <c r="N38" s="19">
        <f>(F38-Settings!$D$18)/Settings!$E$18</f>
        <v>0.16095532309535096</v>
      </c>
      <c r="O38" s="19">
        <f>(G38-Settings!$D$19)/Settings!$E$19</f>
        <v>-0.12548447278760991</v>
      </c>
      <c r="P38" s="19">
        <f>(H38-Settings!$D$20)/Settings!$E$20</f>
        <v>0.10727063964149983</v>
      </c>
      <c r="Q38" s="19">
        <f>(I38-Settings!$D$21)/Settings!$E$21</f>
        <v>3.6938616566934104E-2</v>
      </c>
      <c r="R38" s="19">
        <f>(J38-Settings!$D$22)/Settings!$E$22</f>
        <v>1.1113439930104199</v>
      </c>
      <c r="S38" s="19">
        <f>(K38-Settings!$D$23)/Settings!$E$23</f>
        <v>1.1242558192244967</v>
      </c>
      <c r="T38" s="19">
        <f>(L38-Settings!$D$24)/Settings!$E$24</f>
        <v>0.97215755943491455</v>
      </c>
      <c r="U38" s="19">
        <f>(M38-Settings!$D$25)/Settings!$E$25</f>
        <v>5.8016877795713157E-2</v>
      </c>
      <c r="V38" s="31">
        <f>Settings!$B$18*(N38-F$6)^2</f>
        <v>2.6090361083398353E-3</v>
      </c>
      <c r="W38" s="31">
        <f>Settings!$B$19*(O38-G$6)^2</f>
        <v>7.9261157862169959E-2</v>
      </c>
      <c r="X38" s="31">
        <f>Settings!$B$20*(P38-H$6)^2</f>
        <v>0.92817014990595803</v>
      </c>
      <c r="Y38" s="31">
        <f>Settings!$B$21*(Q38-I$6)^2</f>
        <v>0.16080414781388763</v>
      </c>
      <c r="Z38" s="31">
        <f>Settings!$B$22*(R38-J$6)^2</f>
        <v>0.18373573939019366</v>
      </c>
      <c r="AA38" s="31">
        <f>Settings!$B$23*(S38-K$6)^2</f>
        <v>0.36431558942912529</v>
      </c>
      <c r="AB38" s="31">
        <f>Settings!$B$24*(T38-L$6)^2</f>
        <v>0.30698057927627775</v>
      </c>
      <c r="AC38" s="31">
        <f>Settings!$B$25*(U38-M$6)^2</f>
        <v>5.7576853646716677E-2</v>
      </c>
      <c r="AD38" s="19">
        <f t="shared" si="0"/>
        <v>1.4434172139172612</v>
      </c>
      <c r="AE38" s="15">
        <f t="shared" si="1"/>
        <v>0.57133070183369039</v>
      </c>
      <c r="AF38" s="33">
        <f t="shared" si="2"/>
        <v>0.84941331502192219</v>
      </c>
      <c r="AG38" s="47">
        <f t="shared" si="3"/>
        <v>3.6672569411820562E-3</v>
      </c>
      <c r="AH38" s="18">
        <v>-7.0236538537562065E-2</v>
      </c>
      <c r="AI38" s="46">
        <v>1</v>
      </c>
      <c r="AJ38" s="48"/>
      <c r="AK38" s="48"/>
      <c r="AL38" s="48"/>
      <c r="AM38" s="48"/>
      <c r="AN38" s="48"/>
      <c r="AO38" s="48"/>
      <c r="AP38" s="48"/>
      <c r="AQ38" s="48"/>
    </row>
    <row r="39" spans="1:43" ht="20" customHeight="1" x14ac:dyDescent="0.45">
      <c r="A39" s="26">
        <v>29</v>
      </c>
      <c r="B39" s="16" t="s">
        <v>251</v>
      </c>
      <c r="C39" s="16" t="s">
        <v>229</v>
      </c>
      <c r="D39" s="46">
        <v>26</v>
      </c>
      <c r="E39" s="46">
        <v>1</v>
      </c>
      <c r="F39" s="13">
        <v>0.2014469093824498</v>
      </c>
      <c r="G39" s="13">
        <v>-0.22485850782789121</v>
      </c>
      <c r="H39" s="13">
        <v>0.16228326222808601</v>
      </c>
      <c r="I39" s="13">
        <v>1.927170431383885E-3</v>
      </c>
      <c r="J39" s="13">
        <v>0.40948415013018907</v>
      </c>
      <c r="K39" s="13">
        <v>20.40385416666663</v>
      </c>
      <c r="L39" s="13">
        <v>2.3541879695767478</v>
      </c>
      <c r="M39" s="13">
        <v>-1.4298045258854359</v>
      </c>
      <c r="N39" s="19">
        <f>(F39-Settings!$D$18)/Settings!$E$18</f>
        <v>3.2655862943120756E-2</v>
      </c>
      <c r="O39" s="19">
        <f>(G39-Settings!$D$19)/Settings!$E$19</f>
        <v>-0.9091182164405186</v>
      </c>
      <c r="P39" s="19">
        <f>(H39-Settings!$D$20)/Settings!$E$20</f>
        <v>0.98897495178588923</v>
      </c>
      <c r="Q39" s="19">
        <f>(I39-Settings!$D$21)/Settings!$E$21</f>
        <v>5.9908131899253585E-2</v>
      </c>
      <c r="R39" s="19">
        <f>(J39-Settings!$D$22)/Settings!$E$22</f>
        <v>0.43485407778631918</v>
      </c>
      <c r="S39" s="19">
        <f>(K39-Settings!$D$23)/Settings!$E$23</f>
        <v>1.7880051366005716</v>
      </c>
      <c r="T39" s="19">
        <f>(L39-Settings!$D$24)/Settings!$E$24</f>
        <v>0.72310174179899978</v>
      </c>
      <c r="U39" s="19">
        <f>(M39-Settings!$D$25)/Settings!$E$25</f>
        <v>-0.92830583869407957</v>
      </c>
      <c r="V39" s="31">
        <f>Settings!$B$18*(N39-F$6)^2</f>
        <v>3.9671584211973848E-5</v>
      </c>
      <c r="W39" s="31">
        <f>Settings!$B$19*(O39-G$6)^2</f>
        <v>0.39940535138366068</v>
      </c>
      <c r="X39" s="31">
        <f>Settings!$B$20*(P39-H$6)^2</f>
        <v>0.32388132085816501</v>
      </c>
      <c r="Y39" s="31">
        <f>Settings!$B$21*(Q39-I$6)^2</f>
        <v>0.1691481163668864</v>
      </c>
      <c r="Z39" s="31">
        <f>Settings!$B$22*(R39-J$6)^2</f>
        <v>1.5903374818355156E-2</v>
      </c>
      <c r="AA39" s="31">
        <f>Settings!$B$23*(S39-K$6)^2</f>
        <v>3.6196716024966156E-3</v>
      </c>
      <c r="AB39" s="31">
        <f>Settings!$B$24*(T39-L$6)^2</f>
        <v>0.64499225619834244</v>
      </c>
      <c r="AC39" s="31">
        <f>Settings!$B$25*(U39-M$6)^2</f>
        <v>0.55706958441218624</v>
      </c>
      <c r="AD39" s="19">
        <f t="shared" si="0"/>
        <v>1.4539805181722019</v>
      </c>
      <c r="AE39" s="15">
        <f t="shared" si="1"/>
        <v>0.57551184916619269</v>
      </c>
      <c r="AF39" s="33">
        <f t="shared" si="2"/>
        <v>0.84737923600911569</v>
      </c>
      <c r="AG39" s="47">
        <f t="shared" si="3"/>
        <v>3.6584750087038315E-3</v>
      </c>
      <c r="AH39" s="18">
        <v>0.11124258991095019</v>
      </c>
      <c r="AI39" s="46">
        <v>1</v>
      </c>
      <c r="AJ39" s="18">
        <v>1.0510691929867799</v>
      </c>
      <c r="AK39" s="46">
        <v>1</v>
      </c>
      <c r="AL39" s="18">
        <v>-0.1723128714312834</v>
      </c>
      <c r="AM39" s="46">
        <v>1</v>
      </c>
      <c r="AN39" s="48"/>
      <c r="AO39" s="48"/>
      <c r="AP39" s="48"/>
      <c r="AQ39" s="48"/>
    </row>
    <row r="40" spans="1:43" ht="20" customHeight="1" x14ac:dyDescent="0.45">
      <c r="A40" s="26">
        <v>30</v>
      </c>
      <c r="B40" s="16" t="s">
        <v>252</v>
      </c>
      <c r="C40" s="16" t="s">
        <v>227</v>
      </c>
      <c r="D40" s="46">
        <v>26</v>
      </c>
      <c r="E40" s="46">
        <v>0</v>
      </c>
      <c r="F40" s="13">
        <v>0.1859531257488799</v>
      </c>
      <c r="G40" s="13">
        <v>-5.9127968112209058E-2</v>
      </c>
      <c r="H40" s="13">
        <v>9.3192471121252521E-2</v>
      </c>
      <c r="I40" s="13">
        <v>-6.7544277909746582E-5</v>
      </c>
      <c r="J40" s="13">
        <v>0.66165889073974882</v>
      </c>
      <c r="K40" s="13">
        <v>19.407435897435921</v>
      </c>
      <c r="L40" s="13">
        <v>4.1487194372604073</v>
      </c>
      <c r="M40" s="13">
        <v>0.95461129734321304</v>
      </c>
      <c r="N40" s="19">
        <f>(F40-Settings!$D$18)/Settings!$E$18</f>
        <v>-2.2795422824551138E-2</v>
      </c>
      <c r="O40" s="19">
        <f>(G40-Settings!$D$19)/Settings!$E$19</f>
        <v>-0.21866366458517689</v>
      </c>
      <c r="P40" s="19">
        <f>(H40-Settings!$D$20)/Settings!$E$20</f>
        <v>0.36299909832527189</v>
      </c>
      <c r="Q40" s="19">
        <f>(I40-Settings!$D$21)/Settings!$E$21</f>
        <v>3.5378511654283157E-2</v>
      </c>
      <c r="R40" s="19">
        <f>(J40-Settings!$D$22)/Settings!$E$22</f>
        <v>1.1133420899306177</v>
      </c>
      <c r="S40" s="19">
        <f>(K40-Settings!$D$23)/Settings!$E$23</f>
        <v>1.4419719905424377</v>
      </c>
      <c r="T40" s="19">
        <f>(L40-Settings!$D$24)/Settings!$E$24</f>
        <v>1.9637595033774558</v>
      </c>
      <c r="U40" s="19">
        <f>(M40-Settings!$D$25)/Settings!$E$25</f>
        <v>0.67977074892905331</v>
      </c>
      <c r="V40" s="31">
        <f>Settings!$B$18*(N40-F$6)^2</f>
        <v>9.6703007267565002E-4</v>
      </c>
      <c r="W40" s="31">
        <f>Settings!$B$19*(O40-G$6)^2</f>
        <v>0.10446120280257183</v>
      </c>
      <c r="X40" s="31">
        <f>Settings!$B$20*(P40-H$6)^2</f>
        <v>0.72088697638680621</v>
      </c>
      <c r="Y40" s="31">
        <f>Settings!$B$21*(Q40-I$6)^2</f>
        <v>0.1602450736203693</v>
      </c>
      <c r="Z40" s="31">
        <f>Settings!$B$22*(R40-J$6)^2</f>
        <v>0.18450259006923453</v>
      </c>
      <c r="AA40" s="31">
        <f>Settings!$B$23*(S40-K$6)^2</f>
        <v>8.1721336365524172E-2</v>
      </c>
      <c r="AB40" s="31">
        <f>Settings!$B$24*(T40-L$6)^2</f>
        <v>0.19144445656136569</v>
      </c>
      <c r="AC40" s="31">
        <f>Settings!$B$25*(U40-M$6)^2</f>
        <v>0.74253661813991567</v>
      </c>
      <c r="AD40" s="19">
        <f t="shared" si="0"/>
        <v>1.4787715455804737</v>
      </c>
      <c r="AE40" s="15">
        <f t="shared" si="1"/>
        <v>0.58532458726559999</v>
      </c>
      <c r="AF40" s="33">
        <f t="shared" si="2"/>
        <v>0.84256671223494717</v>
      </c>
      <c r="AG40" s="47">
        <f t="shared" si="3"/>
        <v>3.6376974191566656E-3</v>
      </c>
      <c r="AH40" s="18">
        <v>0.86161162686810933</v>
      </c>
      <c r="AI40" s="46">
        <v>0</v>
      </c>
      <c r="AJ40" s="18">
        <v>-0.90135465671689641</v>
      </c>
      <c r="AK40" s="46">
        <v>0</v>
      </c>
      <c r="AL40" s="18">
        <v>-1.8174483718227199</v>
      </c>
      <c r="AM40" s="46">
        <v>0</v>
      </c>
      <c r="AN40" s="18">
        <v>4.1911658736447421E-2</v>
      </c>
      <c r="AO40" s="46">
        <v>1</v>
      </c>
      <c r="AP40" s="18">
        <v>0.12947769014150709</v>
      </c>
      <c r="AQ40" s="46">
        <v>1</v>
      </c>
    </row>
    <row r="41" spans="1:43" ht="20" customHeight="1" x14ac:dyDescent="0.45">
      <c r="A41" s="26">
        <v>31</v>
      </c>
      <c r="B41" s="16" t="s">
        <v>253</v>
      </c>
      <c r="C41" s="16" t="s">
        <v>229</v>
      </c>
      <c r="D41" s="46">
        <v>26</v>
      </c>
      <c r="E41" s="46">
        <v>1</v>
      </c>
      <c r="F41" s="13">
        <v>0.28947320876987359</v>
      </c>
      <c r="G41" s="13">
        <v>-4.4967058349460798E-2</v>
      </c>
      <c r="H41" s="13">
        <v>2.3572329470870731E-2</v>
      </c>
      <c r="I41" s="13">
        <v>-1.378432309906753E-2</v>
      </c>
      <c r="J41" s="13">
        <v>0.62820308031072736</v>
      </c>
      <c r="K41" s="13">
        <v>18.39986772486769</v>
      </c>
      <c r="L41" s="13">
        <v>2.936374174971951</v>
      </c>
      <c r="M41" s="13">
        <v>-0.48271460031188518</v>
      </c>
      <c r="N41" s="19">
        <f>(F41-Settings!$D$18)/Settings!$E$18</f>
        <v>0.34769650103663297</v>
      </c>
      <c r="O41" s="19">
        <f>(G41-Settings!$D$19)/Settings!$E$19</f>
        <v>-0.15966750961653961</v>
      </c>
      <c r="P41" s="19">
        <f>(H41-Settings!$D$20)/Settings!$E$20</f>
        <v>-0.26777277285303391</v>
      </c>
      <c r="Q41" s="19">
        <f>(I41-Settings!$D$21)/Settings!$E$21</f>
        <v>-0.13330093603796522</v>
      </c>
      <c r="R41" s="19">
        <f>(J41-Settings!$D$22)/Settings!$E$22</f>
        <v>1.0233276568522132</v>
      </c>
      <c r="S41" s="19">
        <f>(K41-Settings!$D$23)/Settings!$E$23</f>
        <v>1.0920667395166725</v>
      </c>
      <c r="T41" s="19">
        <f>(L41-Settings!$D$24)/Settings!$E$24</f>
        <v>1.1255989102324899</v>
      </c>
      <c r="U41" s="19">
        <f>(M41-Settings!$D$25)/Settings!$E$25</f>
        <v>-0.28957784467064868</v>
      </c>
      <c r="V41" s="31">
        <f>Settings!$B$18*(N41-F$6)^2</f>
        <v>1.8114984452954015E-2</v>
      </c>
      <c r="W41" s="31">
        <f>Settings!$B$19*(O41-G$6)^2</f>
        <v>8.8102528498727212E-2</v>
      </c>
      <c r="X41" s="31">
        <f>Settings!$B$20*(P41-H$6)^2</f>
        <v>1.2794785792980852</v>
      </c>
      <c r="Y41" s="31">
        <f>Settings!$B$21*(Q41-I$6)^2</f>
        <v>0.10554083041214249</v>
      </c>
      <c r="Z41" s="31">
        <f>Settings!$B$22*(R41-J$6)^2</f>
        <v>0.15154045107335037</v>
      </c>
      <c r="AA41" s="31">
        <f>Settings!$B$23*(S41-K$6)^2</f>
        <v>0.40420945694739979</v>
      </c>
      <c r="AB41" s="31">
        <f>Settings!$B$24*(T41-L$6)^2</f>
        <v>0.16049392514919467</v>
      </c>
      <c r="AC41" s="31">
        <f>Settings!$B$25*(U41-M$6)^2</f>
        <v>1.1587004443817349E-2</v>
      </c>
      <c r="AD41" s="19">
        <f t="shared" si="0"/>
        <v>1.4896535705578231</v>
      </c>
      <c r="AE41" s="15">
        <f t="shared" si="1"/>
        <v>0.5896318900383084</v>
      </c>
      <c r="AF41" s="33">
        <f t="shared" si="2"/>
        <v>0.84043733739466808</v>
      </c>
      <c r="AG41" s="47">
        <f t="shared" si="3"/>
        <v>3.6285040564847013E-3</v>
      </c>
      <c r="AH41" s="18">
        <v>-0.75062644394387412</v>
      </c>
      <c r="AI41" s="46">
        <v>1</v>
      </c>
      <c r="AJ41" s="18">
        <v>-0.41650221405772392</v>
      </c>
      <c r="AK41" s="46">
        <v>1</v>
      </c>
      <c r="AL41" s="18">
        <v>0.89900390944992692</v>
      </c>
      <c r="AM41" s="46">
        <v>1</v>
      </c>
      <c r="AN41" s="48"/>
      <c r="AO41" s="48"/>
      <c r="AP41" s="48"/>
      <c r="AQ41" s="48"/>
    </row>
    <row r="42" spans="1:43" ht="20" customHeight="1" x14ac:dyDescent="0.45">
      <c r="A42" s="26">
        <v>32</v>
      </c>
      <c r="B42" s="16" t="s">
        <v>254</v>
      </c>
      <c r="C42" s="16" t="s">
        <v>234</v>
      </c>
      <c r="D42" s="46">
        <v>26</v>
      </c>
      <c r="E42" s="46">
        <v>1</v>
      </c>
      <c r="F42" s="13">
        <v>0.27757789348157669</v>
      </c>
      <c r="G42" s="13">
        <v>-0.101047551470813</v>
      </c>
      <c r="H42" s="13">
        <v>6.2750279027262129E-2</v>
      </c>
      <c r="I42" s="13">
        <v>-2.579606472898346E-5</v>
      </c>
      <c r="J42" s="13">
        <v>0.55859847995561895</v>
      </c>
      <c r="K42" s="13">
        <v>18.709666666666671</v>
      </c>
      <c r="L42" s="13">
        <v>4.3323276891424349</v>
      </c>
      <c r="M42" s="13">
        <v>0.4443215881135707</v>
      </c>
      <c r="N42" s="19">
        <f>(F42-Settings!$D$18)/Settings!$E$18</f>
        <v>0.30512390915412141</v>
      </c>
      <c r="O42" s="19">
        <f>(G42-Settings!$D$19)/Settings!$E$19</f>
        <v>-0.39330599177171388</v>
      </c>
      <c r="P42" s="19">
        <f>(H42-Settings!$D$20)/Settings!$E$20</f>
        <v>8.718698397588312E-2</v>
      </c>
      <c r="Q42" s="19">
        <f>(I42-Settings!$D$21)/Settings!$E$21</f>
        <v>3.5891902271226489E-2</v>
      </c>
      <c r="R42" s="19">
        <f>(J42-Settings!$D$22)/Settings!$E$22</f>
        <v>0.8360532025714994</v>
      </c>
      <c r="S42" s="19">
        <f>(K42-Settings!$D$23)/Settings!$E$23</f>
        <v>1.1996527862467743</v>
      </c>
      <c r="T42" s="19">
        <f>(L42-Settings!$D$24)/Settings!$E$24</f>
        <v>2.090697930977905</v>
      </c>
      <c r="U42" s="19">
        <f>(M42-Settings!$D$25)/Settings!$E$25</f>
        <v>0.33562568567155476</v>
      </c>
      <c r="V42" s="31">
        <f>Settings!$B$18*(N42-F$6)^2</f>
        <v>1.3352467231585908E-2</v>
      </c>
      <c r="W42" s="31">
        <f>Settings!$B$19*(O42-G$6)^2</f>
        <v>0.16104731352911911</v>
      </c>
      <c r="X42" s="31">
        <f>Settings!$B$20*(P42-H$6)^2</f>
        <v>0.94555701419866678</v>
      </c>
      <c r="Y42" s="31">
        <f>Settings!$B$21*(Q42-I$6)^2</f>
        <v>0.16042894316084499</v>
      </c>
      <c r="Z42" s="31">
        <f>Settings!$B$22*(R42-J$6)^2</f>
        <v>9.3348755999951169E-2</v>
      </c>
      <c r="AA42" s="31">
        <f>Settings!$B$23*(S42-K$6)^2</f>
        <v>0.2789832432970149</v>
      </c>
      <c r="AB42" s="31">
        <f>Settings!$B$24*(T42-L$6)^2</f>
        <v>0.31864003000218072</v>
      </c>
      <c r="AC42" s="31">
        <f>Settings!$B$25*(U42-M$6)^2</f>
        <v>0.26786895548236395</v>
      </c>
      <c r="AD42" s="19">
        <f t="shared" si="0"/>
        <v>1.4964045986636527</v>
      </c>
      <c r="AE42" s="15">
        <f t="shared" si="1"/>
        <v>0.59230406935598112</v>
      </c>
      <c r="AF42" s="33">
        <f t="shared" si="2"/>
        <v>0.83911118932062723</v>
      </c>
      <c r="AG42" s="47">
        <f t="shared" si="3"/>
        <v>3.622778544953915E-3</v>
      </c>
      <c r="AH42" s="48"/>
      <c r="AI42" s="48"/>
      <c r="AJ42" s="48"/>
      <c r="AK42" s="48"/>
      <c r="AL42" s="18">
        <v>-1.016258773451103</v>
      </c>
      <c r="AM42" s="46">
        <v>1</v>
      </c>
      <c r="AN42" s="18">
        <v>0.21845156139832561</v>
      </c>
      <c r="AO42" s="46">
        <v>1</v>
      </c>
      <c r="AP42" s="18">
        <v>1.237864561640639</v>
      </c>
      <c r="AQ42" s="46">
        <v>1</v>
      </c>
    </row>
    <row r="43" spans="1:43" ht="20" customHeight="1" x14ac:dyDescent="0.45">
      <c r="A43" s="26">
        <v>33</v>
      </c>
      <c r="B43" s="16" t="s">
        <v>255</v>
      </c>
      <c r="C43" s="16" t="s">
        <v>236</v>
      </c>
      <c r="D43" s="46">
        <v>26</v>
      </c>
      <c r="E43" s="46">
        <v>0</v>
      </c>
      <c r="F43" s="13">
        <v>0.28499361026251918</v>
      </c>
      <c r="G43" s="13">
        <v>-6.0366493296754392E-2</v>
      </c>
      <c r="H43" s="13">
        <v>5.0236474787771157E-2</v>
      </c>
      <c r="I43" s="13">
        <v>1.7739236809302861E-3</v>
      </c>
      <c r="J43" s="13">
        <v>0.60262949797202503</v>
      </c>
      <c r="K43" s="13">
        <v>18.18600823045265</v>
      </c>
      <c r="L43" s="13">
        <v>4.2088043201526162</v>
      </c>
      <c r="M43" s="13">
        <v>-0.64607956218432694</v>
      </c>
      <c r="N43" s="19">
        <f>(F43-Settings!$D$18)/Settings!$E$18</f>
        <v>0.33166429722958185</v>
      </c>
      <c r="O43" s="19">
        <f>(G43-Settings!$D$19)/Settings!$E$19</f>
        <v>-0.22382351836181844</v>
      </c>
      <c r="P43" s="19">
        <f>(H43-Settings!$D$20)/Settings!$E$20</f>
        <v>-2.6190488815562296E-2</v>
      </c>
      <c r="Q43" s="19">
        <f>(I43-Settings!$D$21)/Settings!$E$21</f>
        <v>5.8023609478634497E-2</v>
      </c>
      <c r="R43" s="19">
        <f>(J43-Settings!$D$22)/Settings!$E$22</f>
        <v>0.95452072955072065</v>
      </c>
      <c r="S43" s="19">
        <f>(K43-Settings!$D$23)/Settings!$E$23</f>
        <v>1.0177982561377277</v>
      </c>
      <c r="T43" s="19">
        <f>(L43-Settings!$D$24)/Settings!$E$24</f>
        <v>2.0052994694667508</v>
      </c>
      <c r="U43" s="19">
        <f>(M43-Settings!$D$25)/Settings!$E$25</f>
        <v>-0.39975299443513168</v>
      </c>
      <c r="V43" s="31">
        <f>Settings!$B$18*(N43-F$6)^2</f>
        <v>1.6236391242749063E-2</v>
      </c>
      <c r="W43" s="31">
        <f>Settings!$B$19*(O43-G$6)^2</f>
        <v>0.10595815346366898</v>
      </c>
      <c r="X43" s="31">
        <f>Settings!$B$20*(P43-H$6)^2</f>
        <v>1.0467366936278972</v>
      </c>
      <c r="Y43" s="31">
        <f>Settings!$B$21*(Q43-I$6)^2</f>
        <v>0.16845559260332152</v>
      </c>
      <c r="Z43" s="31">
        <f>Settings!$B$22*(R43-J$6)^2</f>
        <v>0.1285298325599126</v>
      </c>
      <c r="AA43" s="31">
        <f>Settings!$B$23*(S43-K$6)^2</f>
        <v>0.50416130862358144</v>
      </c>
      <c r="AB43" s="31">
        <f>Settings!$B$24*(T43-L$6)^2</f>
        <v>0.22952112314664724</v>
      </c>
      <c r="AC43" s="31">
        <f>Settings!$B$25*(U43-M$6)^2</f>
        <v>4.7444724097573367E-2</v>
      </c>
      <c r="AD43" s="19">
        <f t="shared" si="0"/>
        <v>1.4990142825755035</v>
      </c>
      <c r="AE43" s="15">
        <f t="shared" si="1"/>
        <v>0.59333702956079637</v>
      </c>
      <c r="AF43" s="33">
        <f t="shared" si="2"/>
        <v>0.83859750845723768</v>
      </c>
      <c r="AG43" s="47">
        <f t="shared" si="3"/>
        <v>3.6205607792578719E-3</v>
      </c>
      <c r="AH43" s="18">
        <v>-0.3409022054417834</v>
      </c>
      <c r="AI43" s="46">
        <v>1</v>
      </c>
      <c r="AJ43" s="48"/>
      <c r="AK43" s="48"/>
      <c r="AL43" s="48"/>
      <c r="AM43" s="48"/>
      <c r="AN43" s="18">
        <v>0.61009028757341577</v>
      </c>
      <c r="AO43" s="46">
        <v>1</v>
      </c>
      <c r="AP43" s="18">
        <v>-3.1830951383946322E-2</v>
      </c>
      <c r="AQ43" s="46">
        <v>1</v>
      </c>
    </row>
    <row r="44" spans="1:43" ht="20" customHeight="1" x14ac:dyDescent="0.45">
      <c r="A44" s="26">
        <v>34</v>
      </c>
      <c r="B44" s="16" t="s">
        <v>256</v>
      </c>
      <c r="C44" s="16" t="s">
        <v>224</v>
      </c>
      <c r="D44" s="46">
        <v>26</v>
      </c>
      <c r="E44" s="46">
        <v>0</v>
      </c>
      <c r="F44" s="13">
        <v>6.0751455991198813E-2</v>
      </c>
      <c r="G44" s="13">
        <v>1.412239728589949E-2</v>
      </c>
      <c r="H44" s="13">
        <v>0.15091460103273299</v>
      </c>
      <c r="I44" s="13">
        <v>-1.39562555091804E-2</v>
      </c>
      <c r="J44" s="13">
        <v>0.76025529018098814</v>
      </c>
      <c r="K44" s="13">
        <v>17.00740740740741</v>
      </c>
      <c r="L44" s="13">
        <v>3.411305382170434</v>
      </c>
      <c r="M44" s="13">
        <v>-0.86923474410949231</v>
      </c>
      <c r="N44" s="19">
        <f>(F44-Settings!$D$18)/Settings!$E$18</f>
        <v>-0.47088439402204196</v>
      </c>
      <c r="O44" s="19">
        <f>(G44-Settings!$D$19)/Settings!$E$19</f>
        <v>8.650669388319257E-2</v>
      </c>
      <c r="P44" s="19">
        <f>(H44-Settings!$D$20)/Settings!$E$20</f>
        <v>0.88597269518324562</v>
      </c>
      <c r="Q44" s="19">
        <f>(I44-Settings!$D$21)/Settings!$E$21</f>
        <v>-0.13541524176209793</v>
      </c>
      <c r="R44" s="19">
        <f>(J44-Settings!$D$22)/Settings!$E$22</f>
        <v>1.3786203446034242</v>
      </c>
      <c r="S44" s="19">
        <f>(K44-Settings!$D$23)/Settings!$E$23</f>
        <v>0.60849729956261189</v>
      </c>
      <c r="T44" s="19">
        <f>(L44-Settings!$D$24)/Settings!$E$24</f>
        <v>1.4539448317376638</v>
      </c>
      <c r="U44" s="19">
        <f>(M44-Settings!$D$25)/Settings!$E$25</f>
        <v>-0.55025133451691033</v>
      </c>
      <c r="V44" s="31">
        <f>Settings!$B$18*(N44-F$6)^2</f>
        <v>5.3586965937325343E-2</v>
      </c>
      <c r="W44" s="31">
        <f>Settings!$B$19*(O44-G$6)^2</f>
        <v>3.4867439445322244E-2</v>
      </c>
      <c r="X44" s="31">
        <f>Settings!$B$20*(P44-H$6)^2</f>
        <v>0.37843379646502412</v>
      </c>
      <c r="Y44" s="31">
        <f>Settings!$B$21*(Q44-I$6)^2</f>
        <v>0.10492736432725316</v>
      </c>
      <c r="Z44" s="31">
        <f>Settings!$B$22*(R44-J$6)^2</f>
        <v>0.30049439324527433</v>
      </c>
      <c r="AA44" s="31">
        <f>Settings!$B$23*(S44-K$6)^2</f>
        <v>1.2529312821478487</v>
      </c>
      <c r="AB44" s="31">
        <f>Settings!$B$24*(T44-L$6)^2</f>
        <v>5.223098767460032E-3</v>
      </c>
      <c r="AC44" s="31">
        <f>Settings!$B$25*(U44-M$6)^2</f>
        <v>0.13565699903680034</v>
      </c>
      <c r="AD44" s="19">
        <f t="shared" si="0"/>
        <v>1.5053641882854489</v>
      </c>
      <c r="AE44" s="15">
        <f t="shared" si="1"/>
        <v>0.59585043736199284</v>
      </c>
      <c r="AF44" s="33">
        <f t="shared" si="2"/>
        <v>0.83734519693181442</v>
      </c>
      <c r="AG44" s="47">
        <f t="shared" si="3"/>
        <v>3.6151540496329516E-3</v>
      </c>
      <c r="AH44" s="18">
        <v>-0.3237058294365518</v>
      </c>
      <c r="AI44" s="46">
        <v>0</v>
      </c>
      <c r="AJ44" s="18">
        <v>0.20668167641052099</v>
      </c>
      <c r="AK44" s="46">
        <v>1</v>
      </c>
      <c r="AL44" s="18">
        <v>-5.9156485747454468E-2</v>
      </c>
      <c r="AM44" s="46">
        <v>1</v>
      </c>
      <c r="AN44" s="18">
        <v>-1.807267946897996</v>
      </c>
      <c r="AO44" s="46">
        <v>1</v>
      </c>
      <c r="AP44" s="18">
        <v>-1.247110193984146</v>
      </c>
      <c r="AQ44" s="46">
        <v>1</v>
      </c>
    </row>
    <row r="45" spans="1:43" ht="20" customHeight="1" x14ac:dyDescent="0.45">
      <c r="A45" s="26">
        <v>35</v>
      </c>
      <c r="B45" s="16" t="s">
        <v>257</v>
      </c>
      <c r="C45" s="16" t="s">
        <v>258</v>
      </c>
      <c r="D45" s="46">
        <v>26</v>
      </c>
      <c r="E45" s="46">
        <v>0</v>
      </c>
      <c r="F45" s="13">
        <v>8.3483844367338259E-2</v>
      </c>
      <c r="G45" s="13">
        <v>0.24781912773695949</v>
      </c>
      <c r="H45" s="13">
        <v>0.2425355457797915</v>
      </c>
      <c r="I45" s="13">
        <v>0.14561654559825449</v>
      </c>
      <c r="J45" s="13">
        <v>0.28054493651765627</v>
      </c>
      <c r="K45" s="13">
        <v>19.007575757575729</v>
      </c>
      <c r="L45" s="13">
        <v>2.5850722935343469</v>
      </c>
      <c r="M45" s="13">
        <v>6.864856227769911E-2</v>
      </c>
      <c r="N45" s="19">
        <f>(F45-Settings!$D$18)/Settings!$E$18</f>
        <v>-0.38952659312337456</v>
      </c>
      <c r="O45" s="19">
        <f>(G45-Settings!$D$19)/Settings!$E$19</f>
        <v>1.060117059060667</v>
      </c>
      <c r="P45" s="19">
        <f>(H45-Settings!$D$20)/Settings!$E$20</f>
        <v>1.7160760731316207</v>
      </c>
      <c r="Q45" s="19">
        <f>(I45-Settings!$D$21)/Settings!$E$21</f>
        <v>1.8269005692932547</v>
      </c>
      <c r="R45" s="19">
        <f>(J45-Settings!$D$22)/Settings!$E$22</f>
        <v>8.7937053028209769E-2</v>
      </c>
      <c r="S45" s="19">
        <f>(K45-Settings!$D$23)/Settings!$E$23</f>
        <v>1.3031097612439997</v>
      </c>
      <c r="T45" s="19">
        <f>(L45-Settings!$D$24)/Settings!$E$24</f>
        <v>0.88272470394996783</v>
      </c>
      <c r="U45" s="19">
        <f>(M45-Settings!$D$25)/Settings!$E$25</f>
        <v>8.2267612988493499E-2</v>
      </c>
      <c r="V45" s="31">
        <f>Settings!$B$18*(N45-F$6)^2</f>
        <v>3.8065677106565422E-2</v>
      </c>
      <c r="W45" s="31">
        <f>Settings!$B$19*(O45-G$6)^2</f>
        <v>6.1843503945587325E-2</v>
      </c>
      <c r="X45" s="31">
        <f>Settings!$B$20*(P45-H$6)^2</f>
        <v>5.9504876263224815E-2</v>
      </c>
      <c r="Y45" s="31">
        <f>Settings!$B$21*(Q45-I$6)^2</f>
        <v>1.4436004372317428</v>
      </c>
      <c r="Z45" s="31">
        <f>Settings!$B$22*(R45-J$6)^2</f>
        <v>8.4317213993896026E-4</v>
      </c>
      <c r="AA45" s="31">
        <f>Settings!$B$23*(S45-K$6)^2</f>
        <v>0.1803969903695877</v>
      </c>
      <c r="AB45" s="31">
        <f>Settings!$B$24*(T45-L$6)^2</f>
        <v>0.41408084335209938</v>
      </c>
      <c r="AC45" s="31">
        <f>Settings!$B$25*(U45-M$6)^2</f>
        <v>6.9802965644615772E-2</v>
      </c>
      <c r="AD45" s="19">
        <f t="shared" si="0"/>
        <v>1.5060340188897998</v>
      </c>
      <c r="AE45" s="15">
        <f t="shared" si="1"/>
        <v>0.59611556845895053</v>
      </c>
      <c r="AF45" s="33">
        <f t="shared" si="2"/>
        <v>0.83721289543291522</v>
      </c>
      <c r="AG45" s="47">
        <f t="shared" si="3"/>
        <v>3.6145828511579734E-3</v>
      </c>
      <c r="AH45" s="18">
        <v>-0.1099407808091479</v>
      </c>
      <c r="AI45" s="46">
        <v>0</v>
      </c>
      <c r="AJ45" s="18">
        <v>0.1589911630085821</v>
      </c>
      <c r="AK45" s="46">
        <v>0</v>
      </c>
      <c r="AL45" s="18">
        <v>0.1497167439404139</v>
      </c>
      <c r="AM45" s="46">
        <v>0</v>
      </c>
      <c r="AN45" s="18">
        <v>1.3086621442753119</v>
      </c>
      <c r="AO45" s="46">
        <v>0</v>
      </c>
      <c r="AP45" s="18">
        <v>-2.7335167995818921E-2</v>
      </c>
      <c r="AQ45" s="46">
        <v>0</v>
      </c>
    </row>
    <row r="46" spans="1:43" ht="20" customHeight="1" x14ac:dyDescent="0.45">
      <c r="A46" s="26">
        <v>36</v>
      </c>
      <c r="B46" s="16" t="s">
        <v>259</v>
      </c>
      <c r="C46" s="16" t="s">
        <v>260</v>
      </c>
      <c r="D46" s="46">
        <v>26</v>
      </c>
      <c r="E46" s="46">
        <v>1</v>
      </c>
      <c r="F46" s="13">
        <v>-1.6392350217723409E-2</v>
      </c>
      <c r="G46" s="13">
        <v>6.5167334428347046E-2</v>
      </c>
      <c r="H46" s="13">
        <v>4.5606034358165251E-2</v>
      </c>
      <c r="I46" s="13">
        <v>-7.4542143886332665E-2</v>
      </c>
      <c r="J46" s="13">
        <v>0.79829213710943181</v>
      </c>
      <c r="K46" s="13">
        <v>18.959523809523809</v>
      </c>
      <c r="L46" s="13">
        <v>2.4807765931793462</v>
      </c>
      <c r="M46" s="13">
        <v>-1.7927493524911849E-2</v>
      </c>
      <c r="N46" s="19">
        <f>(F46-Settings!$D$18)/Settings!$E$18</f>
        <v>-0.74697726742634296</v>
      </c>
      <c r="O46" s="19">
        <f>(G46-Settings!$D$19)/Settings!$E$19</f>
        <v>0.29916640801696459</v>
      </c>
      <c r="P46" s="19">
        <f>(H46-Settings!$D$20)/Settings!$E$20</f>
        <v>-6.8143169533013526E-2</v>
      </c>
      <c r="Q46" s="19">
        <f>(I46-Settings!$D$21)/Settings!$E$21</f>
        <v>-0.8804585440306153</v>
      </c>
      <c r="R46" s="19">
        <f>(J46-Settings!$D$22)/Settings!$E$22</f>
        <v>1.4809602720614019</v>
      </c>
      <c r="S46" s="19">
        <f>(K46-Settings!$D$23)/Settings!$E$23</f>
        <v>1.2864224249394722</v>
      </c>
      <c r="T46" s="19">
        <f>(L46-Settings!$D$24)/Settings!$E$24</f>
        <v>0.81061938148843815</v>
      </c>
      <c r="U46" s="19">
        <f>(M46-Settings!$D$25)/Settings!$E$25</f>
        <v>2.3879756714155126E-2</v>
      </c>
      <c r="V46" s="31">
        <f>Settings!$B$18*(N46-F$6)^2</f>
        <v>0.12599736381624457</v>
      </c>
      <c r="W46" s="31">
        <f>Settings!$B$19*(O46-G$6)^2</f>
        <v>8.3949454437509518E-3</v>
      </c>
      <c r="X46" s="31">
        <f>Settings!$B$20*(P46-H$6)^2</f>
        <v>1.0854791696132577</v>
      </c>
      <c r="Y46" s="31">
        <f>Settings!$B$21*(Q46-I$6)^2</f>
        <v>8.5906162885922334E-5</v>
      </c>
      <c r="Z46" s="31">
        <f>Settings!$B$22*(R46-J$6)^2</f>
        <v>0.35276650050553698</v>
      </c>
      <c r="AA46" s="31">
        <f>Settings!$B$23*(S46-K$6)^2</f>
        <v>0.19485073795102351</v>
      </c>
      <c r="AB46" s="31">
        <f>Settings!$B$24*(T46-L$6)^2</f>
        <v>0.51207829274333005</v>
      </c>
      <c r="AC46" s="31">
        <f>Settings!$B$25*(U46-M$6)^2</f>
        <v>4.2359671185223713E-2</v>
      </c>
      <c r="AD46" s="19">
        <f t="shared" si="0"/>
        <v>1.5238151421420032</v>
      </c>
      <c r="AE46" s="15">
        <f t="shared" si="1"/>
        <v>0.60315365940668331</v>
      </c>
      <c r="AF46" s="33">
        <f t="shared" si="2"/>
        <v>0.83368706535966763</v>
      </c>
      <c r="AG46" s="47">
        <f t="shared" si="3"/>
        <v>3.5993604328359674E-3</v>
      </c>
      <c r="AH46" s="18">
        <v>0.81149227243481414</v>
      </c>
      <c r="AI46" s="46">
        <v>1</v>
      </c>
      <c r="AJ46" s="18">
        <v>-0.81810385030903143</v>
      </c>
      <c r="AK46" s="46">
        <v>1</v>
      </c>
      <c r="AL46" s="18">
        <v>-2.7515087926862001</v>
      </c>
      <c r="AM46" s="46">
        <v>1</v>
      </c>
      <c r="AN46" s="18">
        <v>0.25346961469697621</v>
      </c>
      <c r="AO46" s="46">
        <v>1</v>
      </c>
      <c r="AP46" s="18">
        <v>0.21864086171705571</v>
      </c>
      <c r="AQ46" s="46">
        <v>1</v>
      </c>
    </row>
    <row r="47" spans="1:43" ht="20" customHeight="1" x14ac:dyDescent="0.45">
      <c r="A47" s="26">
        <v>37</v>
      </c>
      <c r="B47" s="16" t="s">
        <v>261</v>
      </c>
      <c r="C47" s="16" t="s">
        <v>234</v>
      </c>
      <c r="D47" s="46">
        <v>26</v>
      </c>
      <c r="E47" s="46">
        <v>1</v>
      </c>
      <c r="F47" s="13">
        <v>0.31634318325684307</v>
      </c>
      <c r="G47" s="13">
        <v>-3.9159318982586462E-2</v>
      </c>
      <c r="H47" s="13">
        <v>0.1026125980849924</v>
      </c>
      <c r="I47" s="13">
        <v>3.3236867738484707E-2</v>
      </c>
      <c r="J47" s="13">
        <v>0.5086480319370934</v>
      </c>
      <c r="K47" s="13">
        <v>17.9537333333333</v>
      </c>
      <c r="L47" s="13">
        <v>2.758209279015829</v>
      </c>
      <c r="M47" s="13">
        <v>-1.0704000377404279</v>
      </c>
      <c r="N47" s="19">
        <f>(F47-Settings!$D$18)/Settings!$E$18</f>
        <v>0.44386246469567853</v>
      </c>
      <c r="O47" s="19">
        <f>(G47-Settings!$D$19)/Settings!$E$19</f>
        <v>-0.13547172718122538</v>
      </c>
      <c r="P47" s="19">
        <f>(H47-Settings!$D$20)/Settings!$E$20</f>
        <v>0.4483472600899332</v>
      </c>
      <c r="Q47" s="19">
        <f>(I47-Settings!$D$21)/Settings!$E$21</f>
        <v>0.44493310882947634</v>
      </c>
      <c r="R47" s="19">
        <f>(J47-Settings!$D$22)/Settings!$E$22</f>
        <v>0.70165917048134896</v>
      </c>
      <c r="S47" s="19">
        <f>(K47-Settings!$D$23)/Settings!$E$23</f>
        <v>0.93713452697648703</v>
      </c>
      <c r="T47" s="19">
        <f>(L47-Settings!$D$24)/Settings!$E$24</f>
        <v>1.0024237723263842</v>
      </c>
      <c r="U47" s="19">
        <f>(M47-Settings!$D$25)/Settings!$E$25</f>
        <v>-0.68591944902061952</v>
      </c>
      <c r="V47" s="31">
        <f>Settings!$B$18*(N47-F$6)^2</f>
        <v>3.1541278564871371E-2</v>
      </c>
      <c r="W47" s="31">
        <f>Settings!$B$19*(O47-G$6)^2</f>
        <v>8.1796010334926755E-2</v>
      </c>
      <c r="X47" s="31">
        <f>Settings!$B$20*(P47-H$6)^2</f>
        <v>0.65752925158800579</v>
      </c>
      <c r="Y47" s="31">
        <f>Settings!$B$21*(Q47-I$6)^2</f>
        <v>0.34043094968091525</v>
      </c>
      <c r="Z47" s="31">
        <f>Settings!$B$22*(R47-J$6)^2</f>
        <v>6.0234632352666517E-2</v>
      </c>
      <c r="AA47" s="31">
        <f>Settings!$B$23*(S47-K$6)^2</f>
        <v>0.62521740635002654</v>
      </c>
      <c r="AB47" s="31">
        <f>Settings!$B$24*(T47-L$6)^2</f>
        <v>0.27435813111597451</v>
      </c>
      <c r="AC47" s="31">
        <f>Settings!$B$25*(U47-M$6)^2</f>
        <v>0.25400042989551391</v>
      </c>
      <c r="AD47" s="19">
        <f t="shared" si="0"/>
        <v>1.5248305118546455</v>
      </c>
      <c r="AE47" s="15">
        <f t="shared" si="1"/>
        <v>0.60355556114718578</v>
      </c>
      <c r="AF47" s="33">
        <f t="shared" si="2"/>
        <v>0.83348492970229304</v>
      </c>
      <c r="AG47" s="47">
        <f t="shared" si="3"/>
        <v>3.5984877323738274E-3</v>
      </c>
      <c r="AH47" s="18">
        <v>8.2722106672476592E-2</v>
      </c>
      <c r="AI47" s="46">
        <v>1</v>
      </c>
      <c r="AJ47" s="18">
        <v>7.9120699842372133E-3</v>
      </c>
      <c r="AK47" s="46">
        <v>1</v>
      </c>
      <c r="AL47" s="18">
        <v>-1.8664488369230621</v>
      </c>
      <c r="AM47" s="46">
        <v>1</v>
      </c>
      <c r="AN47" s="18">
        <v>-7.0114668733373131E-2</v>
      </c>
      <c r="AO47" s="46">
        <v>1</v>
      </c>
      <c r="AP47" s="18">
        <v>1.408386131052193</v>
      </c>
      <c r="AQ47" s="46">
        <v>1</v>
      </c>
    </row>
    <row r="48" spans="1:43" ht="20" customHeight="1" x14ac:dyDescent="0.45">
      <c r="A48" s="26">
        <v>38</v>
      </c>
      <c r="B48" s="16" t="s">
        <v>262</v>
      </c>
      <c r="C48" s="16" t="s">
        <v>218</v>
      </c>
      <c r="D48" s="46">
        <v>26</v>
      </c>
      <c r="E48" s="46">
        <v>0</v>
      </c>
      <c r="F48" s="13">
        <v>0.2306751388324644</v>
      </c>
      <c r="G48" s="13">
        <v>-2.962754744915674E-2</v>
      </c>
      <c r="H48" s="13">
        <v>0.14822067079330281</v>
      </c>
      <c r="I48" s="13">
        <v>2.6655346200955119E-5</v>
      </c>
      <c r="J48" s="13">
        <v>0.59144998757887501</v>
      </c>
      <c r="K48" s="13">
        <v>17.762289562289599</v>
      </c>
      <c r="L48" s="13">
        <v>4.8821970578008882</v>
      </c>
      <c r="M48" s="13">
        <v>-0.27546793661650781</v>
      </c>
      <c r="N48" s="19">
        <f>(F48-Settings!$D$18)/Settings!$E$18</f>
        <v>0.13726187410518642</v>
      </c>
      <c r="O48" s="19">
        <f>(G48-Settings!$D$19)/Settings!$E$19</f>
        <v>-9.5761152088715912E-2</v>
      </c>
      <c r="P48" s="19">
        <f>(H48-Settings!$D$20)/Settings!$E$20</f>
        <v>0.86156516917615256</v>
      </c>
      <c r="Q48" s="19">
        <f>(I48-Settings!$D$21)/Settings!$E$21</f>
        <v>3.6536913402607722E-2</v>
      </c>
      <c r="R48" s="19">
        <f>(J48-Settings!$D$22)/Settings!$E$22</f>
        <v>0.92444173050006262</v>
      </c>
      <c r="S48" s="19">
        <f>(K48-Settings!$D$23)/Settings!$E$23</f>
        <v>0.87065050873520111</v>
      </c>
      <c r="T48" s="19">
        <f>(L48-Settings!$D$24)/Settings!$E$24</f>
        <v>2.4708527024965807</v>
      </c>
      <c r="U48" s="19">
        <f>(M48-Settings!$D$25)/Settings!$E$25</f>
        <v>-0.14980838646420427</v>
      </c>
      <c r="V48" s="31">
        <f>Settings!$B$18*(N48-F$6)^2</f>
        <v>1.6388483598862584E-3</v>
      </c>
      <c r="W48" s="31">
        <f>Settings!$B$19*(O48-G$6)^2</f>
        <v>7.1953185261983729E-2</v>
      </c>
      <c r="X48" s="31">
        <f>Settings!$B$20*(P48-H$6)^2</f>
        <v>0.39198256153925465</v>
      </c>
      <c r="Y48" s="31">
        <f>Settings!$B$21*(Q48-I$6)^2</f>
        <v>0.16066010168938072</v>
      </c>
      <c r="Z48" s="31">
        <f>Settings!$B$22*(R48-J$6)^2</f>
        <v>0.11906560163146661</v>
      </c>
      <c r="AA48" s="31">
        <f>Settings!$B$23*(S48-K$6)^2</f>
        <v>0.73477627534809797</v>
      </c>
      <c r="AB48" s="31">
        <f>Settings!$B$24*(T48-L$6)^2</f>
        <v>0.89233880025935974</v>
      </c>
      <c r="AC48" s="31">
        <f>Settings!$B$25*(U48-M$6)^2</f>
        <v>1.032112601431966E-3</v>
      </c>
      <c r="AD48" s="19">
        <f t="shared" si="0"/>
        <v>1.5405997165684739</v>
      </c>
      <c r="AE48" s="15">
        <f t="shared" si="1"/>
        <v>0.60979729826216733</v>
      </c>
      <c r="AF48" s="33">
        <f t="shared" si="2"/>
        <v>0.83033472821491494</v>
      </c>
      <c r="AG48" s="47">
        <f t="shared" si="3"/>
        <v>3.5848870528619797E-3</v>
      </c>
      <c r="AH48" s="18">
        <v>-1.3018516909371349</v>
      </c>
      <c r="AI48" s="46">
        <v>0</v>
      </c>
      <c r="AJ48" s="18">
        <v>-0.92261877043727747</v>
      </c>
      <c r="AK48" s="46">
        <v>0</v>
      </c>
      <c r="AL48" s="18">
        <v>-0.25398291936985368</v>
      </c>
      <c r="AM48" s="46">
        <v>0</v>
      </c>
      <c r="AN48" s="18">
        <v>-0.1364523942390079</v>
      </c>
      <c r="AO48" s="46">
        <v>0</v>
      </c>
      <c r="AP48" s="18">
        <v>-1.6321074739042261</v>
      </c>
      <c r="AQ48" s="46">
        <v>1</v>
      </c>
    </row>
    <row r="49" spans="1:43" ht="20" customHeight="1" x14ac:dyDescent="0.45">
      <c r="A49" s="26">
        <v>39</v>
      </c>
      <c r="B49" s="16" t="s">
        <v>263</v>
      </c>
      <c r="C49" s="16" t="s">
        <v>246</v>
      </c>
      <c r="D49" s="46">
        <v>26</v>
      </c>
      <c r="E49" s="46">
        <v>1</v>
      </c>
      <c r="F49" s="13">
        <v>0.59581786488602873</v>
      </c>
      <c r="G49" s="13">
        <v>5.0105605904548914E-3</v>
      </c>
      <c r="H49" s="13">
        <v>0.23816929444136489</v>
      </c>
      <c r="I49" s="13">
        <v>-1.3819153085170521E-2</v>
      </c>
      <c r="J49" s="13">
        <v>0.147183126996981</v>
      </c>
      <c r="K49" s="13">
        <v>18.29754601226994</v>
      </c>
      <c r="L49" s="13">
        <v>3.016154004709874</v>
      </c>
      <c r="M49" s="13">
        <v>-1.92433852590423</v>
      </c>
      <c r="N49" s="19">
        <f>(F49-Settings!$D$18)/Settings!$E$18</f>
        <v>1.4440849282565951</v>
      </c>
      <c r="O49" s="19">
        <f>(G49-Settings!$D$19)/Settings!$E$19</f>
        <v>4.8545620849065794E-2</v>
      </c>
      <c r="P49" s="19">
        <f>(H49-Settings!$D$20)/Settings!$E$20</f>
        <v>1.6765169963833326</v>
      </c>
      <c r="Q49" s="19">
        <f>(I49-Settings!$D$21)/Settings!$E$21</f>
        <v>-0.13372925108886619</v>
      </c>
      <c r="R49" s="19">
        <f>(J49-Settings!$D$22)/Settings!$E$22</f>
        <v>-0.27087917423915897</v>
      </c>
      <c r="S49" s="19">
        <f>(K49-Settings!$D$23)/Settings!$E$23</f>
        <v>1.0565327622567098</v>
      </c>
      <c r="T49" s="19">
        <f>(L49-Settings!$D$24)/Settings!$E$24</f>
        <v>1.1807550703579639</v>
      </c>
      <c r="U49" s="19">
        <f>(M49-Settings!$D$25)/Settings!$E$25</f>
        <v>-1.2618250761805279</v>
      </c>
      <c r="V49" s="31">
        <f>Settings!$B$18*(N49-F$6)^2</f>
        <v>0.39051466883184938</v>
      </c>
      <c r="W49" s="31">
        <f>Settings!$B$19*(O49-G$6)^2</f>
        <v>4.1495710003843639E-2</v>
      </c>
      <c r="X49" s="31">
        <f>Settings!$B$20*(P49-H$6)^2</f>
        <v>6.8448985625115519E-2</v>
      </c>
      <c r="Y49" s="31">
        <f>Settings!$B$21*(Q49-I$6)^2</f>
        <v>0.10541641031656115</v>
      </c>
      <c r="Z49" s="31">
        <f>Settings!$B$22*(R49-J$6)^2</f>
        <v>3.5912115332522962E-2</v>
      </c>
      <c r="AA49" s="31">
        <f>Settings!$B$23*(S49-K$6)^2</f>
        <v>0.45065532726925323</v>
      </c>
      <c r="AB49" s="31">
        <f>Settings!$B$24*(T49-L$6)^2</f>
        <v>0.11934314399361932</v>
      </c>
      <c r="AC49" s="31">
        <f>Settings!$B$25*(U49-M$6)^2</f>
        <v>1.166162801704844</v>
      </c>
      <c r="AD49" s="19">
        <f t="shared" si="0"/>
        <v>1.5420600387396106</v>
      </c>
      <c r="AE49" s="15">
        <f t="shared" si="1"/>
        <v>0.61037532025254848</v>
      </c>
      <c r="AF49" s="33">
        <f t="shared" si="2"/>
        <v>0.83004196785696704</v>
      </c>
      <c r="AG49" s="47">
        <f t="shared" si="3"/>
        <v>3.5836230893287972E-3</v>
      </c>
      <c r="AH49" s="18">
        <v>-0.27830677023485961</v>
      </c>
      <c r="AI49" s="46">
        <v>1</v>
      </c>
      <c r="AJ49" s="48"/>
      <c r="AK49" s="48"/>
      <c r="AL49" s="48"/>
      <c r="AM49" s="48"/>
      <c r="AN49" s="48"/>
      <c r="AO49" s="48"/>
      <c r="AP49" s="48"/>
      <c r="AQ49" s="48"/>
    </row>
    <row r="50" spans="1:43" ht="20" customHeight="1" x14ac:dyDescent="0.45">
      <c r="A50" s="26">
        <v>40</v>
      </c>
      <c r="B50" s="16" t="s">
        <v>264</v>
      </c>
      <c r="C50" s="16" t="s">
        <v>232</v>
      </c>
      <c r="D50" s="46">
        <v>26</v>
      </c>
      <c r="E50" s="46">
        <v>0</v>
      </c>
      <c r="F50" s="13">
        <v>0.60470030842346123</v>
      </c>
      <c r="G50" s="13">
        <v>9.6105743267760335E-3</v>
      </c>
      <c r="H50" s="13">
        <v>0.36062167489262209</v>
      </c>
      <c r="I50" s="13">
        <v>-1.596311682701997E-4</v>
      </c>
      <c r="J50" s="13">
        <v>-2.4907811188870529E-2</v>
      </c>
      <c r="K50" s="13">
        <v>18.068494623655941</v>
      </c>
      <c r="L50" s="13">
        <v>2.723213000024014</v>
      </c>
      <c r="M50" s="13">
        <v>-1.563798084498373</v>
      </c>
      <c r="N50" s="19">
        <f>(F50-Settings!$D$18)/Settings!$E$18</f>
        <v>1.4758746399602103</v>
      </c>
      <c r="O50" s="19">
        <f>(G50-Settings!$D$19)/Settings!$E$19</f>
        <v>6.7709864375266618E-2</v>
      </c>
      <c r="P50" s="19">
        <f>(H50-Settings!$D$20)/Settings!$E$20</f>
        <v>2.7859591106404173</v>
      </c>
      <c r="Q50" s="19">
        <f>(I50-Settings!$D$21)/Settings!$E$21</f>
        <v>3.4246090842646362E-2</v>
      </c>
      <c r="R50" s="19">
        <f>(J50-Settings!$D$22)/Settings!$E$22</f>
        <v>-0.73389794557021359</v>
      </c>
      <c r="S50" s="19">
        <f>(K50-Settings!$D$23)/Settings!$E$23</f>
        <v>0.97698848345471712</v>
      </c>
      <c r="T50" s="19">
        <f>(L50-Settings!$D$24)/Settings!$E$24</f>
        <v>0.978228930419486</v>
      </c>
      <c r="U50" s="19">
        <f>(M50-Settings!$D$25)/Settings!$E$25</f>
        <v>-1.0186725869762687</v>
      </c>
      <c r="V50" s="31">
        <f>Settings!$B$18*(N50-F$6)^2</f>
        <v>0.40848526520894995</v>
      </c>
      <c r="W50" s="31">
        <f>Settings!$B$19*(O50-G$6)^2</f>
        <v>3.8077452784037791E-2</v>
      </c>
      <c r="X50" s="31">
        <f>Settings!$B$20*(P50-H$6)^2</f>
        <v>5.5004333309164682E-2</v>
      </c>
      <c r="Y50" s="31">
        <f>Settings!$B$21*(Q50-I$6)^2</f>
        <v>0.15983987274421663</v>
      </c>
      <c r="Z50" s="31">
        <f>Settings!$B$22*(R50-J$6)^2</f>
        <v>0.15727031181666865</v>
      </c>
      <c r="AA50" s="31">
        <f>Settings!$B$23*(S50-K$6)^2</f>
        <v>0.56378014720373126</v>
      </c>
      <c r="AB50" s="31">
        <f>Settings!$B$24*(T50-L$6)^2</f>
        <v>0.30028965407403491</v>
      </c>
      <c r="AC50" s="31">
        <f>Settings!$B$25*(U50-M$6)^2</f>
        <v>0.70012996385246928</v>
      </c>
      <c r="AD50" s="19">
        <f t="shared" si="0"/>
        <v>1.5436570218132242</v>
      </c>
      <c r="AE50" s="15">
        <f t="shared" si="1"/>
        <v>0.61100743510573641</v>
      </c>
      <c r="AF50" s="33">
        <f t="shared" si="2"/>
        <v>0.82972161100827446</v>
      </c>
      <c r="AG50" s="47">
        <f t="shared" si="3"/>
        <v>3.5822399807098879E-3</v>
      </c>
      <c r="AH50" s="18">
        <v>-1.106993756379985</v>
      </c>
      <c r="AI50" s="46">
        <v>0</v>
      </c>
      <c r="AJ50" s="18">
        <v>-0.58208481566347836</v>
      </c>
      <c r="AK50" s="46">
        <v>0</v>
      </c>
      <c r="AL50" s="18">
        <v>-8.2805697222176455E-2</v>
      </c>
      <c r="AM50" s="46">
        <v>1</v>
      </c>
      <c r="AN50" s="18">
        <v>5.6177373492665827E-2</v>
      </c>
      <c r="AO50" s="46">
        <v>1</v>
      </c>
      <c r="AP50" s="18">
        <v>-0.29674904685726278</v>
      </c>
      <c r="AQ50" s="46">
        <v>1</v>
      </c>
    </row>
    <row r="51" spans="1:43" ht="20" customHeight="1" x14ac:dyDescent="0.45">
      <c r="A51" s="26">
        <v>41</v>
      </c>
      <c r="B51" s="16" t="s">
        <v>265</v>
      </c>
      <c r="C51" s="16" t="s">
        <v>210</v>
      </c>
      <c r="D51" s="46">
        <v>26</v>
      </c>
      <c r="E51" s="46">
        <v>0</v>
      </c>
      <c r="F51" s="13">
        <v>0.36517859836957661</v>
      </c>
      <c r="G51" s="13">
        <v>-9.7181346626149634E-2</v>
      </c>
      <c r="H51" s="13">
        <v>0.1294285891397787</v>
      </c>
      <c r="I51" s="13">
        <v>0.10428824999737681</v>
      </c>
      <c r="J51" s="13">
        <v>0.30392321586711818</v>
      </c>
      <c r="K51" s="13">
        <v>18.925357873210611</v>
      </c>
      <c r="L51" s="13">
        <v>3.1820473603764992</v>
      </c>
      <c r="M51" s="13">
        <v>0.70888193472258187</v>
      </c>
      <c r="N51" s="19">
        <f>(F51-Settings!$D$18)/Settings!$E$18</f>
        <v>0.61864137106505357</v>
      </c>
      <c r="O51" s="19">
        <f>(G51-Settings!$D$19)/Settings!$E$19</f>
        <v>-0.3771988896167186</v>
      </c>
      <c r="P51" s="19">
        <f>(H51-Settings!$D$20)/Settings!$E$20</f>
        <v>0.69130529571230837</v>
      </c>
      <c r="Q51" s="19">
        <f>(I51-Settings!$D$21)/Settings!$E$21</f>
        <v>1.3186738079733831</v>
      </c>
      <c r="R51" s="19">
        <f>(J51-Settings!$D$22)/Settings!$E$22</f>
        <v>0.15083741428100211</v>
      </c>
      <c r="S51" s="19">
        <f>(K51-Settings!$D$23)/Settings!$E$23</f>
        <v>1.2745573811164548</v>
      </c>
      <c r="T51" s="19">
        <f>(L51-Settings!$D$24)/Settings!$E$24</f>
        <v>1.2954462212285349</v>
      </c>
      <c r="U51" s="19">
        <f>(M51-Settings!$D$25)/Settings!$E$25</f>
        <v>0.5140481299662536</v>
      </c>
      <c r="V51" s="31">
        <f>Settings!$B$18*(N51-F$6)^2</f>
        <v>6.541427621562397E-2</v>
      </c>
      <c r="W51" s="31">
        <f>Settings!$B$19*(O51-G$6)^2</f>
        <v>0.15531771966246544</v>
      </c>
      <c r="X51" s="31">
        <f>Settings!$B$20*(P51-H$6)^2</f>
        <v>0.49312365479343434</v>
      </c>
      <c r="Y51" s="31">
        <f>Settings!$B$21*(Q51-I$6)^2</f>
        <v>0.94909160916102753</v>
      </c>
      <c r="Z51" s="31">
        <f>Settings!$B$22*(R51-J$6)^2</f>
        <v>8.2361038091722795E-7</v>
      </c>
      <c r="AA51" s="31">
        <f>Settings!$B$23*(S51-K$6)^2</f>
        <v>0.20546642889257155</v>
      </c>
      <c r="AB51" s="31">
        <f>Settings!$B$24*(T51-L$6)^2</f>
        <v>5.3254617370074198E-2</v>
      </c>
      <c r="AC51" s="31">
        <f>Settings!$B$25*(U51-M$6)^2</f>
        <v>0.48439237214021302</v>
      </c>
      <c r="AD51" s="19">
        <f t="shared" si="0"/>
        <v>1.5511484461023681</v>
      </c>
      <c r="AE51" s="15">
        <f t="shared" si="1"/>
        <v>0.61397267665584576</v>
      </c>
      <c r="AF51" s="33">
        <f t="shared" si="2"/>
        <v>0.82821605400981957</v>
      </c>
      <c r="AG51" s="47">
        <f t="shared" si="3"/>
        <v>3.5757398891110336E-3</v>
      </c>
      <c r="AH51" s="18">
        <v>0.28280114096330072</v>
      </c>
      <c r="AI51" s="46">
        <v>0</v>
      </c>
      <c r="AJ51" s="18">
        <v>-3.5361212443868688E-2</v>
      </c>
      <c r="AK51" s="46">
        <v>0</v>
      </c>
      <c r="AL51" s="18">
        <v>-1.2431779443085409</v>
      </c>
      <c r="AM51" s="46">
        <v>0</v>
      </c>
      <c r="AN51" s="18">
        <v>-1.2895048841767269</v>
      </c>
      <c r="AO51" s="46">
        <v>0</v>
      </c>
      <c r="AP51" s="18">
        <v>-0.33012989672646192</v>
      </c>
      <c r="AQ51" s="46">
        <v>0</v>
      </c>
    </row>
    <row r="52" spans="1:43" ht="20" customHeight="1" x14ac:dyDescent="0.45">
      <c r="A52" s="26">
        <v>42</v>
      </c>
      <c r="B52" s="16" t="s">
        <v>266</v>
      </c>
      <c r="C52" s="16" t="s">
        <v>216</v>
      </c>
      <c r="D52" s="46">
        <v>26</v>
      </c>
      <c r="E52" s="46">
        <v>1</v>
      </c>
      <c r="F52" s="13">
        <v>0.42225119658318389</v>
      </c>
      <c r="G52" s="13">
        <v>-0.1462644543652368</v>
      </c>
      <c r="H52" s="13">
        <v>0.32999800389856432</v>
      </c>
      <c r="I52" s="13">
        <v>-3.5384472838085451E-4</v>
      </c>
      <c r="J52" s="13">
        <v>0.1011325004246342</v>
      </c>
      <c r="K52" s="13">
        <v>18.185502283104999</v>
      </c>
      <c r="L52" s="13">
        <v>1.8934028161539589</v>
      </c>
      <c r="M52" s="13">
        <v>4.2678108950667593E-2</v>
      </c>
      <c r="N52" s="19">
        <f>(F52-Settings!$D$18)/Settings!$E$18</f>
        <v>0.82290064226006976</v>
      </c>
      <c r="O52" s="19">
        <f>(G52-Settings!$D$19)/Settings!$E$19</f>
        <v>-0.58168537240859297</v>
      </c>
      <c r="P52" s="19">
        <f>(H52-Settings!$D$20)/Settings!$E$20</f>
        <v>2.5085027625583574</v>
      </c>
      <c r="Q52" s="19">
        <f>(I52-Settings!$D$21)/Settings!$E$21</f>
        <v>3.1857786964531822E-2</v>
      </c>
      <c r="R52" s="19">
        <f>(J52-Settings!$D$22)/Settings!$E$22</f>
        <v>-0.39478055312249083</v>
      </c>
      <c r="S52" s="19">
        <f>(K52-Settings!$D$23)/Settings!$E$23</f>
        <v>1.0176225522612996</v>
      </c>
      <c r="T52" s="19">
        <f>(L52-Settings!$D$24)/Settings!$E$24</f>
        <v>0.40453576103522421</v>
      </c>
      <c r="U52" s="19">
        <f>(M52-Settings!$D$25)/Settings!$E$25</f>
        <v>6.4752850018748712E-2</v>
      </c>
      <c r="V52" s="31">
        <f>Settings!$B$18*(N52-F$6)^2</f>
        <v>0.1204851235791707</v>
      </c>
      <c r="W52" s="31">
        <f>Settings!$B$19*(O52-G$6)^2</f>
        <v>0.23576154752735989</v>
      </c>
      <c r="X52" s="31">
        <f>Settings!$B$20*(P52-H$6)^2</f>
        <v>1.219871109861119E-2</v>
      </c>
      <c r="Y52" s="31">
        <f>Settings!$B$21*(Q52-I$6)^2</f>
        <v>0.15898697565133352</v>
      </c>
      <c r="Z52" s="31">
        <f>Settings!$B$22*(R52-J$6)^2</f>
        <v>5.9983505543461282E-2</v>
      </c>
      <c r="AA52" s="31">
        <f>Settings!$B$23*(S52-K$6)^2</f>
        <v>0.50441085417156051</v>
      </c>
      <c r="AB52" s="31">
        <f>Settings!$B$24*(T52-L$6)^2</f>
        <v>1.2581662015983148</v>
      </c>
      <c r="AC52" s="31">
        <f>Settings!$B$25*(U52-M$6)^2</f>
        <v>6.085484393198317E-2</v>
      </c>
      <c r="AD52" s="19">
        <f t="shared" si="0"/>
        <v>1.5526904917277606</v>
      </c>
      <c r="AE52" s="15">
        <f t="shared" si="1"/>
        <v>0.61458304627103422</v>
      </c>
      <c r="AF52" s="33">
        <f t="shared" si="2"/>
        <v>0.82790558375352552</v>
      </c>
      <c r="AG52" s="47">
        <f t="shared" si="3"/>
        <v>3.5743994648649224E-3</v>
      </c>
      <c r="AH52" s="18">
        <v>0.54434218894877695</v>
      </c>
      <c r="AI52" s="46">
        <v>1</v>
      </c>
      <c r="AJ52" s="18">
        <v>0.18183426942472719</v>
      </c>
      <c r="AK52" s="46">
        <v>1</v>
      </c>
      <c r="AL52" s="48"/>
      <c r="AM52" s="48"/>
      <c r="AN52" s="48"/>
      <c r="AO52" s="48"/>
      <c r="AP52" s="48"/>
      <c r="AQ52" s="48"/>
    </row>
    <row r="53" spans="1:43" ht="20" customHeight="1" x14ac:dyDescent="0.45">
      <c r="A53" s="26">
        <v>43</v>
      </c>
      <c r="B53" s="16" t="s">
        <v>267</v>
      </c>
      <c r="C53" s="16" t="s">
        <v>216</v>
      </c>
      <c r="D53" s="46">
        <v>26</v>
      </c>
      <c r="E53" s="46">
        <v>1</v>
      </c>
      <c r="F53" s="13">
        <v>0.35704222773407951</v>
      </c>
      <c r="G53" s="13">
        <v>4.3597225212780193E-2</v>
      </c>
      <c r="H53" s="13">
        <v>0.1240342755878571</v>
      </c>
      <c r="I53" s="13">
        <v>7.3989811516105439E-2</v>
      </c>
      <c r="J53" s="13">
        <v>0.40133645994917783</v>
      </c>
      <c r="K53" s="13">
        <v>18.919934640522879</v>
      </c>
      <c r="L53" s="13">
        <v>4.4293812068215193</v>
      </c>
      <c r="M53" s="13">
        <v>-1.4640480752655809</v>
      </c>
      <c r="N53" s="19">
        <f>(F53-Settings!$D$18)/Settings!$E$18</f>
        <v>0.58952180776851293</v>
      </c>
      <c r="O53" s="19">
        <f>(G53-Settings!$D$19)/Settings!$E$19</f>
        <v>0.20930258377880739</v>
      </c>
      <c r="P53" s="19">
        <f>(H53-Settings!$D$20)/Settings!$E$20</f>
        <v>0.64243177761527326</v>
      </c>
      <c r="Q53" s="19">
        <f>(I53-Settings!$D$21)/Settings!$E$21</f>
        <v>0.94608459183210825</v>
      </c>
      <c r="R53" s="19">
        <f>(J53-Settings!$D$22)/Settings!$E$22</f>
        <v>0.41293233375628935</v>
      </c>
      <c r="S53" s="19">
        <f>(K53-Settings!$D$23)/Settings!$E$23</f>
        <v>1.272674017145027</v>
      </c>
      <c r="T53" s="19">
        <f>(L53-Settings!$D$24)/Settings!$E$24</f>
        <v>2.1577963364198949</v>
      </c>
      <c r="U53" s="19">
        <f>(M53-Settings!$D$25)/Settings!$E$25</f>
        <v>-0.95140006978367386</v>
      </c>
      <c r="V53" s="31">
        <f>Settings!$B$18*(N53-F$6)^2</f>
        <v>5.8922456673569934E-2</v>
      </c>
      <c r="W53" s="31">
        <f>Settings!$B$19*(O53-G$6)^2</f>
        <v>1.7374471577233264E-2</v>
      </c>
      <c r="X53" s="31">
        <f>Settings!$B$20*(P53-H$6)^2</f>
        <v>0.52429841990735127</v>
      </c>
      <c r="Y53" s="31">
        <f>Settings!$B$21*(Q53-I$6)^2</f>
        <v>0.65219573752897209</v>
      </c>
      <c r="Z53" s="31">
        <f>Settings!$B$22*(R53-J$6)^2</f>
        <v>1.3526825455404233E-2</v>
      </c>
      <c r="AA53" s="31">
        <f>Settings!$B$23*(S53-K$6)^2</f>
        <v>0.20717737364506966</v>
      </c>
      <c r="AB53" s="31">
        <f>Settings!$B$24*(T53-L$6)^2</f>
        <v>0.39889392230265064</v>
      </c>
      <c r="AC53" s="31">
        <f>Settings!$B$25*(U53-M$6)^2</f>
        <v>0.5920766539897967</v>
      </c>
      <c r="AD53" s="19">
        <f t="shared" si="0"/>
        <v>1.5698617331090174</v>
      </c>
      <c r="AE53" s="15">
        <f t="shared" si="1"/>
        <v>0.62137973491733678</v>
      </c>
      <c r="AF53" s="33">
        <f t="shared" si="2"/>
        <v>0.82443548498654795</v>
      </c>
      <c r="AG53" s="47">
        <f t="shared" si="3"/>
        <v>3.5594176608777111E-3</v>
      </c>
      <c r="AH53" s="18">
        <v>-0.79984653649430903</v>
      </c>
      <c r="AI53" s="46">
        <v>1</v>
      </c>
      <c r="AJ53" s="18">
        <v>-0.43638203689595428</v>
      </c>
      <c r="AK53" s="46">
        <v>1</v>
      </c>
      <c r="AL53" s="48"/>
      <c r="AM53" s="48"/>
      <c r="AN53" s="48"/>
      <c r="AO53" s="48"/>
      <c r="AP53" s="48"/>
      <c r="AQ53" s="48"/>
    </row>
    <row r="54" spans="1:43" ht="20" customHeight="1" x14ac:dyDescent="0.45">
      <c r="A54" s="26">
        <v>44</v>
      </c>
      <c r="B54" s="16" t="s">
        <v>268</v>
      </c>
      <c r="C54" s="16" t="s">
        <v>220</v>
      </c>
      <c r="D54" s="46">
        <v>26</v>
      </c>
      <c r="E54" s="46">
        <v>1</v>
      </c>
      <c r="F54" s="13">
        <v>0.14458868161391011</v>
      </c>
      <c r="G54" s="13">
        <v>-7.274759162493688E-2</v>
      </c>
      <c r="H54" s="13">
        <v>7.8499966381589001E-2</v>
      </c>
      <c r="I54" s="13">
        <v>-1.2183265734091109E-2</v>
      </c>
      <c r="J54" s="13">
        <v>0.69198049464547295</v>
      </c>
      <c r="K54" s="13">
        <v>18.76957671957674</v>
      </c>
      <c r="L54" s="13">
        <v>2.2202994527245892</v>
      </c>
      <c r="M54" s="13">
        <v>0.28120437422685057</v>
      </c>
      <c r="N54" s="19">
        <f>(F54-Settings!$D$18)/Settings!$E$18</f>
        <v>-0.1708361897924979</v>
      </c>
      <c r="O54" s="19">
        <f>(G54-Settings!$D$19)/Settings!$E$19</f>
        <v>-0.27540475204589154</v>
      </c>
      <c r="P54" s="19">
        <f>(H54-Settings!$D$20)/Settings!$E$20</f>
        <v>0.22988218004214367</v>
      </c>
      <c r="Q54" s="19">
        <f>(I54-Settings!$D$21)/Settings!$E$21</f>
        <v>-0.11361224122346111</v>
      </c>
      <c r="R54" s="19">
        <f>(J54-Settings!$D$22)/Settings!$E$22</f>
        <v>1.1949237927978147</v>
      </c>
      <c r="S54" s="19">
        <f>(K54-Settings!$D$23)/Settings!$E$23</f>
        <v>1.2204581696175409</v>
      </c>
      <c r="T54" s="19">
        <f>(L54-Settings!$D$24)/Settings!$E$24</f>
        <v>0.63053728661378683</v>
      </c>
      <c r="U54" s="19">
        <f>(M54-Settings!$D$25)/Settings!$E$25</f>
        <v>0.22561761990793633</v>
      </c>
      <c r="V54" s="31">
        <f>Settings!$B$18*(N54-F$6)^2</f>
        <v>9.4678642381833406E-3</v>
      </c>
      <c r="W54" s="31">
        <f>Settings!$B$19*(O54-G$6)^2</f>
        <v>0.12150799496021547</v>
      </c>
      <c r="X54" s="31">
        <f>Settings!$B$20*(P54-H$6)^2</f>
        <v>0.82552184684832497</v>
      </c>
      <c r="Y54" s="31">
        <f>Settings!$B$21*(Q54-I$6)^2</f>
        <v>0.11133936233568498</v>
      </c>
      <c r="Z54" s="31">
        <f>Settings!$B$22*(R54-J$6)^2</f>
        <v>0.21717659165372863</v>
      </c>
      <c r="AA54" s="31">
        <f>Settings!$B$23*(S54-K$6)^2</f>
        <v>0.25743777282713481</v>
      </c>
      <c r="AB54" s="31">
        <f>Settings!$B$24*(T54-L$6)^2</f>
        <v>0.80224007263448427</v>
      </c>
      <c r="AC54" s="31">
        <f>Settings!$B$25*(U54-M$6)^2</f>
        <v>0.16609905305135542</v>
      </c>
      <c r="AD54" s="19">
        <f t="shared" si="0"/>
        <v>1.5845474301986393</v>
      </c>
      <c r="AE54" s="15">
        <f t="shared" si="1"/>
        <v>0.62719260007110622</v>
      </c>
      <c r="AF54" s="33">
        <f t="shared" si="2"/>
        <v>0.82144912009429349</v>
      </c>
      <c r="AG54" s="47">
        <f t="shared" si="3"/>
        <v>3.5465243294613797E-3</v>
      </c>
      <c r="AH54" s="18">
        <v>0.57381555777694748</v>
      </c>
      <c r="AI54" s="46">
        <v>1</v>
      </c>
      <c r="AJ54" s="18">
        <v>0.5383493865128961</v>
      </c>
      <c r="AK54" s="46">
        <v>1</v>
      </c>
      <c r="AL54" s="18">
        <v>-0.60539134473152334</v>
      </c>
      <c r="AM54" s="46">
        <v>1</v>
      </c>
      <c r="AN54" s="18">
        <v>-8.168805090495912E-2</v>
      </c>
      <c r="AO54" s="46">
        <v>1</v>
      </c>
      <c r="AP54" s="48"/>
      <c r="AQ54" s="48"/>
    </row>
    <row r="55" spans="1:43" ht="20" customHeight="1" x14ac:dyDescent="0.45">
      <c r="A55" s="26">
        <v>45</v>
      </c>
      <c r="B55" s="16" t="s">
        <v>269</v>
      </c>
      <c r="C55" s="16" t="s">
        <v>212</v>
      </c>
      <c r="D55" s="46">
        <v>26</v>
      </c>
      <c r="E55" s="46">
        <v>0</v>
      </c>
      <c r="F55" s="13">
        <v>0.27312479643244247</v>
      </c>
      <c r="G55" s="13">
        <v>-6.235271084747708E-2</v>
      </c>
      <c r="H55" s="13">
        <v>0.2201708596136327</v>
      </c>
      <c r="I55" s="13">
        <v>-2.3775535110972951E-4</v>
      </c>
      <c r="J55" s="13">
        <v>0.444113877755338</v>
      </c>
      <c r="K55" s="13">
        <v>20.069639065817391</v>
      </c>
      <c r="L55" s="13">
        <v>4.4621034592555509</v>
      </c>
      <c r="M55" s="13">
        <v>1.628952176839759</v>
      </c>
      <c r="N55" s="19">
        <f>(F55-Settings!$D$18)/Settings!$E$18</f>
        <v>0.28918655241398328</v>
      </c>
      <c r="O55" s="19">
        <f>(G55-Settings!$D$19)/Settings!$E$19</f>
        <v>-0.23209835383405023</v>
      </c>
      <c r="P55" s="19">
        <f>(H55-Settings!$D$20)/Settings!$E$20</f>
        <v>1.5134477157779953</v>
      </c>
      <c r="Q55" s="19">
        <f>(I55-Settings!$D$21)/Settings!$E$21</f>
        <v>3.3285373739557013E-2</v>
      </c>
      <c r="R55" s="19">
        <f>(J55-Settings!$D$22)/Settings!$E$22</f>
        <v>0.52802699034961298</v>
      </c>
      <c r="S55" s="19">
        <f>(K55-Settings!$D$23)/Settings!$E$23</f>
        <v>1.671939919434003</v>
      </c>
      <c r="T55" s="19">
        <f>(L55-Settings!$D$24)/Settings!$E$24</f>
        <v>2.1804190193818229</v>
      </c>
      <c r="U55" s="19">
        <f>(M55-Settings!$D$25)/Settings!$E$25</f>
        <v>1.134553748534908</v>
      </c>
      <c r="V55" s="31">
        <f>Settings!$B$18*(N55-F$6)^2</f>
        <v>1.1756083354529932E-2</v>
      </c>
      <c r="W55" s="31">
        <f>Settings!$B$19*(O55-G$6)^2</f>
        <v>0.1083810408164526</v>
      </c>
      <c r="X55" s="31">
        <f>Settings!$B$20*(P55-H$6)^2</f>
        <v>0.11192662632263572</v>
      </c>
      <c r="Y55" s="31">
        <f>Settings!$B$21*(Q55-I$6)^2</f>
        <v>0.15949651277778407</v>
      </c>
      <c r="Z55" s="31">
        <f>Settings!$B$22*(R55-J$6)^2</f>
        <v>2.8149046791466781E-2</v>
      </c>
      <c r="AA55" s="31">
        <f>Settings!$B$23*(S55-K$6)^2</f>
        <v>3.1249788737326267E-3</v>
      </c>
      <c r="AB55" s="31">
        <f>Settings!$B$24*(T55-L$6)^2</f>
        <v>0.42798179871655168</v>
      </c>
      <c r="AC55" s="31">
        <f>Settings!$B$25*(U55-M$6)^2</f>
        <v>1.7331423506352672</v>
      </c>
      <c r="AD55" s="19">
        <f t="shared" si="0"/>
        <v>1.6074695761626161</v>
      </c>
      <c r="AE55" s="15">
        <f t="shared" si="1"/>
        <v>0.63626560101280338</v>
      </c>
      <c r="AF55" s="33">
        <f t="shared" si="2"/>
        <v>0.81675430508823499</v>
      </c>
      <c r="AG55" s="47">
        <f t="shared" si="3"/>
        <v>3.5262549357350883E-3</v>
      </c>
      <c r="AH55" s="18">
        <v>1.2832466376586329</v>
      </c>
      <c r="AI55" s="46">
        <v>0</v>
      </c>
      <c r="AJ55" s="18">
        <v>-0.21291730649808291</v>
      </c>
      <c r="AK55" s="46">
        <v>0</v>
      </c>
      <c r="AL55" s="18">
        <v>-0.51162166563461486</v>
      </c>
      <c r="AM55" s="46">
        <v>0</v>
      </c>
      <c r="AN55" s="18">
        <v>0.86130728363010167</v>
      </c>
      <c r="AO55" s="46">
        <v>0</v>
      </c>
      <c r="AP55" s="18">
        <v>-1.480052043940753</v>
      </c>
      <c r="AQ55" s="46">
        <v>0</v>
      </c>
    </row>
    <row r="56" spans="1:43" ht="20" customHeight="1" x14ac:dyDescent="0.45">
      <c r="A56" s="26">
        <v>46</v>
      </c>
      <c r="B56" s="16" t="s">
        <v>270</v>
      </c>
      <c r="C56" s="16" t="s">
        <v>271</v>
      </c>
      <c r="D56" s="46">
        <v>26</v>
      </c>
      <c r="E56" s="46">
        <v>1</v>
      </c>
      <c r="F56" s="13">
        <v>0.22001623642452339</v>
      </c>
      <c r="G56" s="13">
        <v>0.1171024311565607</v>
      </c>
      <c r="H56" s="13">
        <v>6.8700959754595378E-2</v>
      </c>
      <c r="I56" s="13">
        <v>-8.2817254410865473E-2</v>
      </c>
      <c r="J56" s="13">
        <v>0.51136311825345504</v>
      </c>
      <c r="K56" s="13">
        <v>17.329705215419519</v>
      </c>
      <c r="L56" s="13">
        <v>2.3983797878135138</v>
      </c>
      <c r="M56" s="13">
        <v>-0.1045320731504851</v>
      </c>
      <c r="N56" s="19">
        <f>(F56-Settings!$D$18)/Settings!$E$18</f>
        <v>9.91143268455323E-2</v>
      </c>
      <c r="O56" s="19">
        <f>(G56-Settings!$D$19)/Settings!$E$19</f>
        <v>0.5155346404414769</v>
      </c>
      <c r="P56" s="19">
        <f>(H56-Settings!$D$20)/Settings!$E$20</f>
        <v>0.14110129567053753</v>
      </c>
      <c r="Q56" s="19">
        <f>(I56-Settings!$D$21)/Settings!$E$21</f>
        <v>-0.98222012312070439</v>
      </c>
      <c r="R56" s="19">
        <f>(J56-Settings!$D$22)/Settings!$E$22</f>
        <v>0.70896423804337172</v>
      </c>
      <c r="S56" s="19">
        <f>(K56-Settings!$D$23)/Settings!$E$23</f>
        <v>0.72042391503923775</v>
      </c>
      <c r="T56" s="19">
        <f>(L56-Settings!$D$24)/Settings!$E$24</f>
        <v>0.75365396296705622</v>
      </c>
      <c r="U56" s="19">
        <f>(M56-Settings!$D$25)/Settings!$E$25</f>
        <v>-3.4527336344073171E-2</v>
      </c>
      <c r="V56" s="31">
        <f>Settings!$B$18*(N56-F$6)^2</f>
        <v>5.4861773791963083E-4</v>
      </c>
      <c r="W56" s="31">
        <f>Settings!$B$19*(O56-G$6)^2</f>
        <v>2.6408090633541296E-5</v>
      </c>
      <c r="X56" s="31">
        <f>Settings!$B$20*(P56-H$6)^2</f>
        <v>0.89924699507866512</v>
      </c>
      <c r="Y56" s="31">
        <f>Settings!$B$21*(Q56-I$6)^2</f>
        <v>3.0005985454205379E-3</v>
      </c>
      <c r="Z56" s="31">
        <f>Settings!$B$22*(R56-J$6)^2</f>
        <v>6.1848891547853682E-2</v>
      </c>
      <c r="AA56" s="31">
        <f>Settings!$B$23*(S56-K$6)^2</f>
        <v>1.0148900492726107</v>
      </c>
      <c r="AB56" s="31">
        <f>Settings!$B$24*(T56-L$6)^2</f>
        <v>0.59685185525791284</v>
      </c>
      <c r="AC56" s="31">
        <f>Settings!$B$25*(U56-M$6)^2</f>
        <v>2.1728988581673804E-2</v>
      </c>
      <c r="AD56" s="19">
        <f t="shared" si="0"/>
        <v>1.6118754307057013</v>
      </c>
      <c r="AE56" s="15">
        <f t="shared" si="1"/>
        <v>0.63800951811730189</v>
      </c>
      <c r="AF56" s="33">
        <f t="shared" si="2"/>
        <v>0.81584730104288028</v>
      </c>
      <c r="AG56" s="47">
        <f t="shared" si="3"/>
        <v>3.5223390365818927E-3</v>
      </c>
      <c r="AH56" s="18">
        <v>-0.63297626739851265</v>
      </c>
      <c r="AI56" s="46">
        <v>1</v>
      </c>
      <c r="AJ56" s="18">
        <v>-1.0129572500863191</v>
      </c>
      <c r="AK56" s="46">
        <v>1</v>
      </c>
      <c r="AL56" s="18">
        <v>-0.39758434796554942</v>
      </c>
      <c r="AM56" s="46">
        <v>1</v>
      </c>
      <c r="AN56" s="18">
        <v>0.1495650316741011</v>
      </c>
      <c r="AO56" s="46">
        <v>1</v>
      </c>
      <c r="AP56" s="18">
        <v>0.53371929446397037</v>
      </c>
      <c r="AQ56" s="46">
        <v>1</v>
      </c>
    </row>
    <row r="57" spans="1:43" ht="20" customHeight="1" x14ac:dyDescent="0.45">
      <c r="A57" s="26">
        <v>47</v>
      </c>
      <c r="B57" s="16" t="s">
        <v>272</v>
      </c>
      <c r="C57" s="16" t="s">
        <v>212</v>
      </c>
      <c r="D57" s="46">
        <v>26</v>
      </c>
      <c r="E57" s="46">
        <v>0</v>
      </c>
      <c r="F57" s="13">
        <v>0.40971493452309532</v>
      </c>
      <c r="G57" s="13">
        <v>-0.100679860089835</v>
      </c>
      <c r="H57" s="13">
        <v>3.5772803860406918E-2</v>
      </c>
      <c r="I57" s="13">
        <v>1.580082857463953E-2</v>
      </c>
      <c r="J57" s="13">
        <v>0.43803157295202322</v>
      </c>
      <c r="K57" s="13">
        <v>19.328732106339451</v>
      </c>
      <c r="L57" s="13">
        <v>2.24178960772598</v>
      </c>
      <c r="M57" s="13">
        <v>-0.68298916476832017</v>
      </c>
      <c r="N57" s="19">
        <f>(F57-Settings!$D$18)/Settings!$E$18</f>
        <v>0.77803414183687869</v>
      </c>
      <c r="O57" s="19">
        <f>(G57-Settings!$D$19)/Settings!$E$19</f>
        <v>-0.39177414261398008</v>
      </c>
      <c r="P57" s="19">
        <f>(H57-Settings!$D$20)/Settings!$E$20</f>
        <v>-0.15723412875493567</v>
      </c>
      <c r="Q57" s="19">
        <f>(I57-Settings!$D$21)/Settings!$E$21</f>
        <v>0.23051677286281025</v>
      </c>
      <c r="R57" s="19">
        <f>(J57-Settings!$D$22)/Settings!$E$22</f>
        <v>0.51166226291782702</v>
      </c>
      <c r="S57" s="19">
        <f>(K57-Settings!$D$23)/Settings!$E$23</f>
        <v>1.4146399741786273</v>
      </c>
      <c r="T57" s="19">
        <f>(L57-Settings!$D$24)/Settings!$E$24</f>
        <v>0.64539460624296796</v>
      </c>
      <c r="U57" s="19">
        <f>(M57-Settings!$D$25)/Settings!$E$25</f>
        <v>-0.42464524149857608</v>
      </c>
      <c r="V57" s="31">
        <f>Settings!$B$18*(N57-F$6)^2</f>
        <v>0.10695827625463794</v>
      </c>
      <c r="W57" s="31">
        <f>Settings!$B$19*(O57-G$6)^2</f>
        <v>0.16049794106010526</v>
      </c>
      <c r="X57" s="31">
        <f>Settings!$B$20*(P57-H$6)^2</f>
        <v>1.1700878799242422</v>
      </c>
      <c r="Y57" s="31">
        <f>Settings!$B$21*(Q57-I$6)^2</f>
        <v>0.23772909609883658</v>
      </c>
      <c r="Z57" s="31">
        <f>Settings!$B$22*(R57-J$6)^2</f>
        <v>2.5746849377190302E-2</v>
      </c>
      <c r="AA57" s="31">
        <f>Settings!$B$23*(S57-K$6)^2</f>
        <v>9.8095151873565545E-2</v>
      </c>
      <c r="AB57" s="31">
        <f>Settings!$B$24*(T57-L$6)^2</f>
        <v>0.77584604744854635</v>
      </c>
      <c r="AC57" s="31">
        <f>Settings!$B$25*(U57-M$6)^2</f>
        <v>5.890831191419163E-2</v>
      </c>
      <c r="AD57" s="19">
        <f t="shared" si="0"/>
        <v>1.6229200701055231</v>
      </c>
      <c r="AE57" s="15">
        <f t="shared" si="1"/>
        <v>0.64238118662655797</v>
      </c>
      <c r="AF57" s="33">
        <f t="shared" si="2"/>
        <v>0.81356716358921244</v>
      </c>
      <c r="AG57" s="47">
        <f t="shared" si="3"/>
        <v>3.512494771421537E-3</v>
      </c>
      <c r="AH57" s="18">
        <v>0.14176864701256081</v>
      </c>
      <c r="AI57" s="46">
        <v>0</v>
      </c>
      <c r="AJ57" s="18">
        <v>0.35878645333598458</v>
      </c>
      <c r="AK57" s="46">
        <v>0</v>
      </c>
      <c r="AL57" s="18">
        <v>-0.78970541913688619</v>
      </c>
      <c r="AM57" s="46">
        <v>0</v>
      </c>
      <c r="AN57" s="18">
        <v>-0.58398628665907371</v>
      </c>
      <c r="AO57" s="46">
        <v>0</v>
      </c>
      <c r="AP57" s="18">
        <v>0.1547231728191347</v>
      </c>
      <c r="AQ57" s="46">
        <v>0</v>
      </c>
    </row>
    <row r="58" spans="1:43" ht="20" customHeight="1" x14ac:dyDescent="0.45">
      <c r="A58" s="26">
        <v>48</v>
      </c>
      <c r="B58" s="16" t="s">
        <v>273</v>
      </c>
      <c r="C58" s="16" t="s">
        <v>229</v>
      </c>
      <c r="D58" s="46">
        <v>26</v>
      </c>
      <c r="E58" s="46">
        <v>1</v>
      </c>
      <c r="F58" s="13">
        <v>0.48489915323032828</v>
      </c>
      <c r="G58" s="13">
        <v>6.8335101406217083E-2</v>
      </c>
      <c r="H58" s="13">
        <v>4.3609660851425182E-2</v>
      </c>
      <c r="I58" s="13">
        <v>1.3231344171394509E-3</v>
      </c>
      <c r="J58" s="13">
        <v>0.40183295009489017</v>
      </c>
      <c r="K58" s="13">
        <v>18.533978494623678</v>
      </c>
      <c r="L58" s="13">
        <v>4.5484656989592196</v>
      </c>
      <c r="M58" s="13">
        <v>0.48741045396317428</v>
      </c>
      <c r="N58" s="19">
        <f>(F58-Settings!$D$18)/Settings!$E$18</f>
        <v>1.0471137737300815</v>
      </c>
      <c r="O58" s="19">
        <f>(G58-Settings!$D$19)/Settings!$E$19</f>
        <v>0.31236372899859921</v>
      </c>
      <c r="P58" s="19">
        <f>(H58-Settings!$D$20)/Settings!$E$20</f>
        <v>-8.6230697403050893E-2</v>
      </c>
      <c r="Q58" s="19">
        <f>(I58-Settings!$D$21)/Settings!$E$21</f>
        <v>5.2480115263757662E-2</v>
      </c>
      <c r="R58" s="19">
        <f>(J58-Settings!$D$22)/Settings!$E$22</f>
        <v>0.41426816386837484</v>
      </c>
      <c r="S58" s="19">
        <f>(K58-Settings!$D$23)/Settings!$E$23</f>
        <v>1.1386403251402797</v>
      </c>
      <c r="T58" s="19">
        <f>(L58-Settings!$D$24)/Settings!$E$24</f>
        <v>2.2401259595637955</v>
      </c>
      <c r="U58" s="19">
        <f>(M58-Settings!$D$25)/Settings!$E$25</f>
        <v>0.3646852967028883</v>
      </c>
      <c r="V58" s="31">
        <f>Settings!$B$18*(N58-F$6)^2</f>
        <v>0.20014960839941934</v>
      </c>
      <c r="W58" s="31">
        <f>Settings!$B$19*(O58-G$6)^2</f>
        <v>7.348246457103462E-3</v>
      </c>
      <c r="X58" s="31">
        <f>Settings!$B$20*(P58-H$6)^2</f>
        <v>1.102399841846794</v>
      </c>
      <c r="Y58" s="31">
        <f>Settings!$B$21*(Q58-I$6)^2</f>
        <v>0.16642670635809886</v>
      </c>
      <c r="Z58" s="31">
        <f>Settings!$B$22*(R58-J$6)^2</f>
        <v>1.3666143738934204E-2</v>
      </c>
      <c r="AA58" s="31">
        <f>Settings!$B$23*(S58-K$6)^2</f>
        <v>0.34715794186433185</v>
      </c>
      <c r="AB58" s="31">
        <f>Settings!$B$24*(T58-L$6)^2</f>
        <v>0.50966765750963694</v>
      </c>
      <c r="AC58" s="31">
        <f>Settings!$B$25*(U58-M$6)^2</f>
        <v>0.29879363484047783</v>
      </c>
      <c r="AD58" s="19">
        <f t="shared" si="0"/>
        <v>1.6265330556170066</v>
      </c>
      <c r="AE58" s="15">
        <f t="shared" si="1"/>
        <v>0.64381127179395659</v>
      </c>
      <c r="AF58" s="33">
        <f t="shared" si="2"/>
        <v>0.81281928416352756</v>
      </c>
      <c r="AG58" s="47">
        <f t="shared" si="3"/>
        <v>3.5092658768816165E-3</v>
      </c>
      <c r="AH58" s="18">
        <v>-0.9959244065370827</v>
      </c>
      <c r="AI58" s="46">
        <v>1</v>
      </c>
      <c r="AJ58" s="18">
        <v>-1.702001024170557</v>
      </c>
      <c r="AK58" s="46">
        <v>1</v>
      </c>
      <c r="AL58" s="18">
        <v>-0.9231450502624341</v>
      </c>
      <c r="AM58" s="46">
        <v>1</v>
      </c>
      <c r="AN58" s="48"/>
      <c r="AO58" s="48"/>
      <c r="AP58" s="48"/>
      <c r="AQ58" s="48"/>
    </row>
    <row r="59" spans="1:43" ht="20" customHeight="1" x14ac:dyDescent="0.45">
      <c r="A59" s="26">
        <v>49</v>
      </c>
      <c r="B59" s="16" t="s">
        <v>274</v>
      </c>
      <c r="C59" s="16" t="s">
        <v>214</v>
      </c>
      <c r="D59" s="46">
        <v>26</v>
      </c>
      <c r="E59" s="46">
        <v>1</v>
      </c>
      <c r="F59" s="13">
        <v>0.70294674067434337</v>
      </c>
      <c r="G59" s="13">
        <v>9.7598777993632591E-2</v>
      </c>
      <c r="H59" s="13">
        <v>0.16901355025265449</v>
      </c>
      <c r="I59" s="13">
        <v>2.04536214959509E-4</v>
      </c>
      <c r="J59" s="13">
        <v>3.0236394864409911E-2</v>
      </c>
      <c r="K59" s="13">
        <v>16.83396464646464</v>
      </c>
      <c r="L59" s="13">
        <v>3.20482744058326</v>
      </c>
      <c r="M59" s="13">
        <v>-0.51953529928100162</v>
      </c>
      <c r="N59" s="19">
        <f>(F59-Settings!$D$18)/Settings!$E$18</f>
        <v>1.8274924964658417</v>
      </c>
      <c r="O59" s="19">
        <f>(G59-Settings!$D$19)/Settings!$E$19</f>
        <v>0.43427993550143557</v>
      </c>
      <c r="P59" s="19">
        <f>(H59-Settings!$D$20)/Settings!$E$20</f>
        <v>1.0499526555105516</v>
      </c>
      <c r="Q59" s="19">
        <f>(I59-Settings!$D$21)/Settings!$E$21</f>
        <v>3.8724369152125862E-2</v>
      </c>
      <c r="R59" s="19">
        <f>(J59-Settings!$D$22)/Settings!$E$22</f>
        <v>-0.58552986296238929</v>
      </c>
      <c r="S59" s="19">
        <f>(K59-Settings!$D$23)/Settings!$E$23</f>
        <v>0.54826461808400762</v>
      </c>
      <c r="T59" s="19">
        <f>(L59-Settings!$D$24)/Settings!$E$24</f>
        <v>1.3111953367090106</v>
      </c>
      <c r="U59" s="19">
        <f>(M59-Settings!$D$25)/Settings!$E$25</f>
        <v>-0.31441013414605595</v>
      </c>
      <c r="V59" s="31">
        <f>Settings!$B$18*(N59-F$6)^2</f>
        <v>0.6342160170595722</v>
      </c>
      <c r="W59" s="31">
        <f>Settings!$B$19*(O59-G$6)^2</f>
        <v>9.7339809620902739E-4</v>
      </c>
      <c r="X59" s="31">
        <f>Settings!$B$20*(P59-H$6)^2</f>
        <v>0.29358588478227143</v>
      </c>
      <c r="Y59" s="31">
        <f>Settings!$B$21*(Q59-I$6)^2</f>
        <v>0.16144527935846106</v>
      </c>
      <c r="Z59" s="31">
        <f>Settings!$B$22*(R59-J$6)^2</f>
        <v>0.10904590057770719</v>
      </c>
      <c r="AA59" s="31">
        <f>Settings!$B$23*(S59-K$6)^2</f>
        <v>1.3914014550025235</v>
      </c>
      <c r="AB59" s="31">
        <f>Settings!$B$24*(T59-L$6)^2</f>
        <v>4.623381722884741E-2</v>
      </c>
      <c r="AC59" s="31">
        <f>Settings!$B$25*(U59-M$6)^2</f>
        <v>1.754968877761125E-2</v>
      </c>
      <c r="AD59" s="19">
        <f t="shared" si="0"/>
        <v>1.6292487351178773</v>
      </c>
      <c r="AE59" s="15">
        <f t="shared" si="1"/>
        <v>0.64488618697456268</v>
      </c>
      <c r="AF59" s="33">
        <f t="shared" si="2"/>
        <v>0.81225650400227656</v>
      </c>
      <c r="AG59" s="47">
        <f t="shared" si="3"/>
        <v>3.5068361298830615E-3</v>
      </c>
      <c r="AH59" s="48"/>
      <c r="AI59" s="48"/>
      <c r="AJ59" s="48"/>
      <c r="AK59" s="48"/>
      <c r="AL59" s="48"/>
      <c r="AM59" s="48"/>
      <c r="AN59" s="48"/>
      <c r="AO59" s="48"/>
      <c r="AP59" s="48"/>
      <c r="AQ59" s="48"/>
    </row>
    <row r="60" spans="1:43" ht="20" customHeight="1" x14ac:dyDescent="0.45">
      <c r="A60" s="26">
        <v>50</v>
      </c>
      <c r="B60" s="16" t="s">
        <v>275</v>
      </c>
      <c r="C60" s="16" t="s">
        <v>236</v>
      </c>
      <c r="D60" s="46">
        <v>26</v>
      </c>
      <c r="E60" s="46">
        <v>0</v>
      </c>
      <c r="F60" s="13">
        <v>0.26285906463016562</v>
      </c>
      <c r="G60" s="13">
        <v>-0.17727654641110999</v>
      </c>
      <c r="H60" s="13">
        <v>0.20807190273228829</v>
      </c>
      <c r="I60" s="13">
        <v>-3.5765174972044881E-3</v>
      </c>
      <c r="J60" s="13">
        <v>0.34821596872923172</v>
      </c>
      <c r="K60" s="13">
        <v>18.939126016260179</v>
      </c>
      <c r="L60" s="13">
        <v>2.2009095867605648</v>
      </c>
      <c r="M60" s="13">
        <v>1.1926799180318299</v>
      </c>
      <c r="N60" s="19">
        <f>(F60-Settings!$D$18)/Settings!$E$18</f>
        <v>0.25244613824239515</v>
      </c>
      <c r="O60" s="19">
        <f>(G60-Settings!$D$19)/Settings!$E$19</f>
        <v>-0.71088570055791256</v>
      </c>
      <c r="P60" s="19">
        <f>(H60-Settings!$D$20)/Settings!$E$20</f>
        <v>1.4038288398257459</v>
      </c>
      <c r="Q60" s="19">
        <f>(I60-Settings!$D$21)/Settings!$E$21</f>
        <v>-7.7724111909952057E-3</v>
      </c>
      <c r="R60" s="19">
        <f>(J60-Settings!$D$22)/Settings!$E$22</f>
        <v>0.27000915118522895</v>
      </c>
      <c r="S60" s="19">
        <f>(K60-Settings!$D$23)/Settings!$E$23</f>
        <v>1.2793387405133458</v>
      </c>
      <c r="T60" s="19">
        <f>(L60-Settings!$D$24)/Settings!$E$24</f>
        <v>0.61713201167855047</v>
      </c>
      <c r="U60" s="19">
        <f>(M60-Settings!$D$25)/Settings!$E$25</f>
        <v>0.84032687821136853</v>
      </c>
      <c r="V60" s="31">
        <f>Settings!$B$18*(N60-F$6)^2</f>
        <v>8.4630176548177501E-3</v>
      </c>
      <c r="W60" s="31">
        <f>Settings!$B$19*(O60-G$6)^2</f>
        <v>0.2952107162920185</v>
      </c>
      <c r="X60" s="31">
        <f>Settings!$B$20*(P60-H$6)^2</f>
        <v>0.14713163821168782</v>
      </c>
      <c r="Y60" s="31">
        <f>Settings!$B$21*(Q60-I$6)^2</f>
        <v>0.14516751170869976</v>
      </c>
      <c r="Z60" s="31">
        <f>Settings!$B$22*(R60-J$6)^2</f>
        <v>2.7444701808014976E-3</v>
      </c>
      <c r="AA60" s="31">
        <f>Settings!$B$23*(S60-K$6)^2</f>
        <v>0.20115466239791405</v>
      </c>
      <c r="AB60" s="31">
        <f>Settings!$B$24*(T60-L$6)^2</f>
        <v>0.82643340857856984</v>
      </c>
      <c r="AC60" s="31">
        <f>Settings!$B$25*(U60-M$6)^2</f>
        <v>1.0450191345835191</v>
      </c>
      <c r="AD60" s="19">
        <f t="shared" si="0"/>
        <v>1.6344187222398148</v>
      </c>
      <c r="AE60" s="15">
        <f t="shared" si="1"/>
        <v>0.64693256160718293</v>
      </c>
      <c r="AF60" s="33">
        <f t="shared" si="2"/>
        <v>0.81118359487193481</v>
      </c>
      <c r="AG60" s="47">
        <f t="shared" si="3"/>
        <v>3.5022039521364697E-3</v>
      </c>
      <c r="AH60" s="18">
        <v>0.61151414558698036</v>
      </c>
      <c r="AI60" s="46">
        <v>1</v>
      </c>
      <c r="AJ60" s="18">
        <v>-1.170345605722882</v>
      </c>
      <c r="AK60" s="46">
        <v>1</v>
      </c>
      <c r="AL60" s="48"/>
      <c r="AM60" s="48"/>
      <c r="AN60" s="48"/>
      <c r="AO60" s="48"/>
      <c r="AP60" s="18">
        <v>0.30651661345844861</v>
      </c>
      <c r="AQ60" s="46">
        <v>1</v>
      </c>
    </row>
    <row r="61" spans="1:43" ht="20" customHeight="1" x14ac:dyDescent="0.45">
      <c r="A61" s="26">
        <v>51</v>
      </c>
      <c r="B61" s="16" t="s">
        <v>276</v>
      </c>
      <c r="C61" s="16" t="s">
        <v>260</v>
      </c>
      <c r="D61" s="46">
        <v>26</v>
      </c>
      <c r="E61" s="46">
        <v>1</v>
      </c>
      <c r="F61" s="13">
        <v>0.30850757774967441</v>
      </c>
      <c r="G61" s="13">
        <v>-1.261190027904802E-2</v>
      </c>
      <c r="H61" s="13">
        <v>0.27071776063386532</v>
      </c>
      <c r="I61" s="13">
        <v>4.1966410097767403E-3</v>
      </c>
      <c r="J61" s="13">
        <v>0.40396612032763551</v>
      </c>
      <c r="K61" s="13">
        <v>17.093137254901929</v>
      </c>
      <c r="L61" s="13">
        <v>2.2632659612452222</v>
      </c>
      <c r="M61" s="13">
        <v>0.71959549400065681</v>
      </c>
      <c r="N61" s="19">
        <f>(F61-Settings!$D$18)/Settings!$E$18</f>
        <v>0.41581932104422414</v>
      </c>
      <c r="O61" s="19">
        <f>(G61-Settings!$D$19)/Settings!$E$19</f>
        <v>-2.4871797226774722E-2</v>
      </c>
      <c r="P61" s="19">
        <f>(H61-Settings!$D$20)/Settings!$E$20</f>
        <v>1.9714123590978772</v>
      </c>
      <c r="Q61" s="19">
        <f>(I61-Settings!$D$21)/Settings!$E$21</f>
        <v>8.7816509566365553E-2</v>
      </c>
      <c r="R61" s="19">
        <f>(J61-Settings!$D$22)/Settings!$E$22</f>
        <v>0.42000755881047835</v>
      </c>
      <c r="S61" s="19">
        <f>(K61-Settings!$D$23)/Settings!$E$23</f>
        <v>0.6382693037055267</v>
      </c>
      <c r="T61" s="19">
        <f>(L61-Settings!$D$24)/Settings!$E$24</f>
        <v>0.66024238415262093</v>
      </c>
      <c r="U61" s="19">
        <f>(M61-Settings!$D$25)/Settings!$E$25</f>
        <v>0.521273473665683</v>
      </c>
      <c r="V61" s="31">
        <f>Settings!$B$18*(N61-F$6)^2</f>
        <v>2.7243935226803653E-2</v>
      </c>
      <c r="W61" s="31">
        <f>Settings!$B$19*(O61-G$6)^2</f>
        <v>5.5950332232007266E-2</v>
      </c>
      <c r="X61" s="31">
        <f>Settings!$B$20*(P61-H$6)^2</f>
        <v>1.6834116637021983E-2</v>
      </c>
      <c r="Y61" s="31">
        <f>Settings!$B$21*(Q61-I$6)^2</f>
        <v>0.17957017336217743</v>
      </c>
      <c r="Z61" s="31">
        <f>Settings!$B$22*(R61-J$6)^2</f>
        <v>1.4272846336567667E-2</v>
      </c>
      <c r="AA61" s="31">
        <f>Settings!$B$23*(S61-K$6)^2</f>
        <v>1.1871674182063097</v>
      </c>
      <c r="AB61" s="31">
        <f>Settings!$B$24*(T61-L$6)^2</f>
        <v>0.74991002781637783</v>
      </c>
      <c r="AC61" s="31">
        <f>Settings!$B$25*(U61-M$6)^2</f>
        <v>0.49450201087189705</v>
      </c>
      <c r="AD61" s="19">
        <f t="shared" si="0"/>
        <v>1.6508939580388446</v>
      </c>
      <c r="AE61" s="15">
        <f t="shared" si="1"/>
        <v>0.65345375862574284</v>
      </c>
      <c r="AF61" s="33">
        <f t="shared" si="2"/>
        <v>0.80775142725227544</v>
      </c>
      <c r="AG61" s="47">
        <f t="shared" si="3"/>
        <v>3.487385912079997E-3</v>
      </c>
      <c r="AH61" s="18">
        <v>2.3699799938634252</v>
      </c>
      <c r="AI61" s="46">
        <v>1</v>
      </c>
      <c r="AJ61" s="18">
        <v>0.24861291475358541</v>
      </c>
      <c r="AK61" s="46">
        <v>1</v>
      </c>
      <c r="AL61" s="18">
        <v>-0.49204348764882599</v>
      </c>
      <c r="AM61" s="46">
        <v>1</v>
      </c>
      <c r="AN61" s="18">
        <v>-0.17475394325310131</v>
      </c>
      <c r="AO61" s="46">
        <v>1</v>
      </c>
      <c r="AP61" s="18">
        <v>-0.91180163483720467</v>
      </c>
      <c r="AQ61" s="46">
        <v>1</v>
      </c>
    </row>
    <row r="62" spans="1:43" ht="20" customHeight="1" x14ac:dyDescent="0.45">
      <c r="A62" s="26">
        <v>52</v>
      </c>
      <c r="B62" s="16" t="s">
        <v>277</v>
      </c>
      <c r="C62" s="16" t="s">
        <v>234</v>
      </c>
      <c r="D62" s="46">
        <v>26</v>
      </c>
      <c r="E62" s="46">
        <v>1</v>
      </c>
      <c r="F62" s="13">
        <v>0.115927330216266</v>
      </c>
      <c r="G62" s="13">
        <v>-0.1595370361977913</v>
      </c>
      <c r="H62" s="13">
        <v>0.17685501108807611</v>
      </c>
      <c r="I62" s="13">
        <v>-1.5967349741426551E-2</v>
      </c>
      <c r="J62" s="13">
        <v>0.53171327275643998</v>
      </c>
      <c r="K62" s="13">
        <v>19.60861678004537</v>
      </c>
      <c r="L62" s="13">
        <v>1.852171857403329</v>
      </c>
      <c r="M62" s="13">
        <v>0.8836731208127373</v>
      </c>
      <c r="N62" s="19">
        <f>(F62-Settings!$D$18)/Settings!$E$18</f>
        <v>-0.27341337974337082</v>
      </c>
      <c r="O62" s="19">
        <f>(G62-Settings!$D$19)/Settings!$E$19</f>
        <v>-0.63698063999706034</v>
      </c>
      <c r="P62" s="19">
        <f>(H62-Settings!$D$20)/Settings!$E$20</f>
        <v>1.1209977985780415</v>
      </c>
      <c r="Q62" s="19">
        <f>(I62-Settings!$D$21)/Settings!$E$21</f>
        <v>-0.16014628603825795</v>
      </c>
      <c r="R62" s="19">
        <f>(J62-Settings!$D$22)/Settings!$E$22</f>
        <v>0.76371728683082896</v>
      </c>
      <c r="S62" s="19">
        <f>(K62-Settings!$D$23)/Settings!$E$23</f>
        <v>1.5118374836649662</v>
      </c>
      <c r="T62" s="19">
        <f>(L62-Settings!$D$24)/Settings!$E$24</f>
        <v>0.37603054398415858</v>
      </c>
      <c r="U62" s="19">
        <f>(M62-Settings!$D$25)/Settings!$E$25</f>
        <v>0.631929252602766</v>
      </c>
      <c r="V62" s="31">
        <f>Settings!$B$18*(N62-F$6)^2</f>
        <v>2.0499614600704673E-2</v>
      </c>
      <c r="W62" s="31">
        <f>Settings!$B$19*(O62-G$6)^2</f>
        <v>0.26038733389760343</v>
      </c>
      <c r="X62" s="31">
        <f>Settings!$B$20*(P62-H$6)^2</f>
        <v>0.26016457845390079</v>
      </c>
      <c r="Y62" s="31">
        <f>Settings!$B$21*(Q62-I$6)^2</f>
        <v>9.7884431274577355E-2</v>
      </c>
      <c r="Z62" s="31">
        <f>Settings!$B$22*(R62-J$6)^2</f>
        <v>7.4627684793352633E-2</v>
      </c>
      <c r="AA62" s="31">
        <f>Settings!$B$23*(S62-K$6)^2</f>
        <v>4.6657704794334051E-2</v>
      </c>
      <c r="AB62" s="31">
        <f>Settings!$B$24*(T62-L$6)^2</f>
        <v>1.3229262172750824</v>
      </c>
      <c r="AC62" s="31">
        <f>Settings!$B$25*(U62-M$6)^2</f>
        <v>0.66237485203836077</v>
      </c>
      <c r="AD62" s="19">
        <f t="shared" si="0"/>
        <v>1.6569618031589974</v>
      </c>
      <c r="AE62" s="15">
        <f t="shared" si="1"/>
        <v>0.65585552173185591</v>
      </c>
      <c r="AF62" s="33">
        <f t="shared" si="2"/>
        <v>0.80648237713827919</v>
      </c>
      <c r="AG62" s="47">
        <f t="shared" si="3"/>
        <v>3.4819069152748424E-3</v>
      </c>
      <c r="AH62" s="18">
        <v>0.20241588471572891</v>
      </c>
      <c r="AI62" s="46">
        <v>1</v>
      </c>
      <c r="AJ62" s="18">
        <v>-1.1433682687808711</v>
      </c>
      <c r="AK62" s="46">
        <v>1</v>
      </c>
      <c r="AL62" s="18">
        <v>0.79885108010168104</v>
      </c>
      <c r="AM62" s="46">
        <v>1</v>
      </c>
      <c r="AN62" s="18">
        <v>0.132967874002931</v>
      </c>
      <c r="AO62" s="46">
        <v>1</v>
      </c>
      <c r="AP62" s="18">
        <v>-1.270553344737158</v>
      </c>
      <c r="AQ62" s="46">
        <v>1</v>
      </c>
    </row>
    <row r="63" spans="1:43" ht="20" customHeight="1" x14ac:dyDescent="0.45">
      <c r="A63" s="26">
        <v>53</v>
      </c>
      <c r="B63" s="16" t="s">
        <v>278</v>
      </c>
      <c r="C63" s="16" t="s">
        <v>236</v>
      </c>
      <c r="D63" s="46">
        <v>26</v>
      </c>
      <c r="E63" s="46">
        <v>0</v>
      </c>
      <c r="F63" s="13">
        <v>0.33709108358146689</v>
      </c>
      <c r="G63" s="13">
        <v>-0.1327983008116517</v>
      </c>
      <c r="H63" s="13">
        <v>0.2374184394297168</v>
      </c>
      <c r="I63" s="13">
        <v>-4.2808443475492019E-3</v>
      </c>
      <c r="J63" s="13">
        <v>0.28841133182961531</v>
      </c>
      <c r="K63" s="13">
        <v>18.251759834368571</v>
      </c>
      <c r="L63" s="13">
        <v>1.5919776403401309</v>
      </c>
      <c r="M63" s="13">
        <v>-3.024500639006078E-2</v>
      </c>
      <c r="N63" s="19">
        <f>(F63-Settings!$D$18)/Settings!$E$18</f>
        <v>0.51811790656767798</v>
      </c>
      <c r="O63" s="19">
        <f>(G63-Settings!$D$19)/Settings!$E$19</f>
        <v>-0.52558366035837856</v>
      </c>
      <c r="P63" s="19">
        <f>(H63-Settings!$D$20)/Settings!$E$20</f>
        <v>1.6697141055897557</v>
      </c>
      <c r="Q63" s="19">
        <f>(I63-Settings!$D$21)/Settings!$E$21</f>
        <v>-1.6433735081974099E-2</v>
      </c>
      <c r="R63" s="19">
        <f>(J63-Settings!$D$22)/Settings!$E$22</f>
        <v>0.10910195996952769</v>
      </c>
      <c r="S63" s="19">
        <f>(K63-Settings!$D$23)/Settings!$E$23</f>
        <v>1.0406322758099684</v>
      </c>
      <c r="T63" s="19">
        <f>(L63-Settings!$D$24)/Settings!$E$24</f>
        <v>0.19614404952554393</v>
      </c>
      <c r="U63" s="19">
        <f>(M63-Settings!$D$25)/Settings!$E$25</f>
        <v>1.5572688851565571E-2</v>
      </c>
      <c r="V63" s="31">
        <f>Settings!$B$18*(N63-F$6)^2</f>
        <v>4.4439459599346864E-2</v>
      </c>
      <c r="W63" s="31">
        <f>Settings!$B$19*(O63-G$6)^2</f>
        <v>0.21202652280301218</v>
      </c>
      <c r="X63" s="31">
        <f>Settings!$B$20*(P63-H$6)^2</f>
        <v>7.0050164283096572E-2</v>
      </c>
      <c r="Y63" s="31">
        <f>Settings!$B$21*(Q63-I$6)^2</f>
        <v>0.14223087132313755</v>
      </c>
      <c r="Z63" s="31">
        <f>Settings!$B$22*(R63-J$6)^2</f>
        <v>3.830707155839609E-4</v>
      </c>
      <c r="AA63" s="31">
        <f>Settings!$B$23*(S63-K$6)^2</f>
        <v>0.47225642148176522</v>
      </c>
      <c r="AB63" s="31">
        <f>Settings!$B$24*(T63-L$6)^2</f>
        <v>1.7690909702490256</v>
      </c>
      <c r="AC63" s="31">
        <f>Settings!$B$25*(U63-M$6)^2</f>
        <v>3.9009245990770137E-2</v>
      </c>
      <c r="AD63" s="19">
        <f t="shared" si="0"/>
        <v>1.6581576301563548</v>
      </c>
      <c r="AE63" s="15">
        <f t="shared" si="1"/>
        <v>0.65632885173726552</v>
      </c>
      <c r="AF63" s="33">
        <f t="shared" si="2"/>
        <v>0.80623196443822864</v>
      </c>
      <c r="AG63" s="47">
        <f t="shared" si="3"/>
        <v>3.4808257835146263E-3</v>
      </c>
      <c r="AH63" s="18">
        <v>-0.21095827737139011</v>
      </c>
      <c r="AI63" s="46">
        <v>1</v>
      </c>
      <c r="AJ63" s="18">
        <v>0.42122262242173919</v>
      </c>
      <c r="AK63" s="46">
        <v>1</v>
      </c>
      <c r="AL63" s="18">
        <v>-0.181680654441529</v>
      </c>
      <c r="AM63" s="46">
        <v>1</v>
      </c>
      <c r="AN63" s="18">
        <v>-0.3392588273133943</v>
      </c>
      <c r="AO63" s="46">
        <v>1</v>
      </c>
      <c r="AP63" s="18">
        <v>-0.33259059250881262</v>
      </c>
      <c r="AQ63" s="46">
        <v>1</v>
      </c>
    </row>
    <row r="64" spans="1:43" ht="20" customHeight="1" x14ac:dyDescent="0.45">
      <c r="A64" s="26">
        <v>54</v>
      </c>
      <c r="B64" s="16" t="s">
        <v>279</v>
      </c>
      <c r="C64" s="16" t="s">
        <v>236</v>
      </c>
      <c r="D64" s="46">
        <v>26</v>
      </c>
      <c r="E64" s="46">
        <v>0</v>
      </c>
      <c r="F64" s="13">
        <v>0.53219828996835494</v>
      </c>
      <c r="G64" s="13">
        <v>-6.7241297477278514E-2</v>
      </c>
      <c r="H64" s="13">
        <v>0.20705083109110151</v>
      </c>
      <c r="I64" s="13">
        <v>2.3585346599763361E-2</v>
      </c>
      <c r="J64" s="13">
        <v>0.16992423486350169</v>
      </c>
      <c r="K64" s="13">
        <v>17.71704834605595</v>
      </c>
      <c r="L64" s="13">
        <v>1.9658693804860401</v>
      </c>
      <c r="M64" s="13">
        <v>-0.44878058968259432</v>
      </c>
      <c r="N64" s="19">
        <f>(F64-Settings!$D$18)/Settings!$E$18</f>
        <v>1.2163944355654364</v>
      </c>
      <c r="O64" s="19">
        <f>(G64-Settings!$D$19)/Settings!$E$19</f>
        <v>-0.25246482881492049</v>
      </c>
      <c r="P64" s="19">
        <f>(H64-Settings!$D$20)/Settings!$E$20</f>
        <v>1.3945777344063852</v>
      </c>
      <c r="Q64" s="19">
        <f>(I64-Settings!$D$21)/Settings!$E$21</f>
        <v>0.32624538510833506</v>
      </c>
      <c r="R64" s="19">
        <f>(J64-Settings!$D$22)/Settings!$E$22</f>
        <v>-0.20969315285962603</v>
      </c>
      <c r="S64" s="19">
        <f>(K64-Settings!$D$23)/Settings!$E$23</f>
        <v>0.85493927494087063</v>
      </c>
      <c r="T64" s="19">
        <f>(L64-Settings!$D$24)/Settings!$E$24</f>
        <v>0.45463586076185086</v>
      </c>
      <c r="U64" s="19">
        <f>(M64-Settings!$D$25)/Settings!$E$25</f>
        <v>-0.26669236996211909</v>
      </c>
      <c r="V64" s="31">
        <f>Settings!$B$18*(N64-F$6)^2</f>
        <v>0.27361838270229272</v>
      </c>
      <c r="W64" s="31">
        <f>Settings!$B$19*(O64-G$6)^2</f>
        <v>0.11446104741210478</v>
      </c>
      <c r="X64" s="31">
        <f>Settings!$B$20*(P64-H$6)^2</f>
        <v>0.15032264325046621</v>
      </c>
      <c r="Y64" s="31">
        <f>Settings!$B$21*(Q64-I$6)^2</f>
        <v>0.2813091446799354</v>
      </c>
      <c r="Z64" s="31">
        <f>Settings!$B$22*(R64-J$6)^2</f>
        <v>2.6289931216892555E-2</v>
      </c>
      <c r="AA64" s="31">
        <f>Settings!$B$23*(S64-K$6)^2</f>
        <v>0.76195817215341355</v>
      </c>
      <c r="AB64" s="31">
        <f>Settings!$B$24*(T64-L$6)^2</f>
        <v>1.1482836538642736</v>
      </c>
      <c r="AC64" s="31">
        <f>Settings!$B$25*(U64-M$6)^2</f>
        <v>7.183829428112555E-3</v>
      </c>
      <c r="AD64" s="19">
        <f t="shared" si="0"/>
        <v>1.6623557996733105</v>
      </c>
      <c r="AE64" s="15">
        <f t="shared" si="1"/>
        <v>0.65799056334317729</v>
      </c>
      <c r="AF64" s="33">
        <f t="shared" si="2"/>
        <v>0.80535203167601099</v>
      </c>
      <c r="AG64" s="47">
        <f t="shared" si="3"/>
        <v>3.4770267619158978E-3</v>
      </c>
      <c r="AH64" s="18">
        <v>-1.154519063467786</v>
      </c>
      <c r="AI64" s="46">
        <v>1</v>
      </c>
      <c r="AJ64" s="18">
        <v>-7.5010748187175902E-2</v>
      </c>
      <c r="AK64" s="46">
        <v>1</v>
      </c>
      <c r="AL64" s="18">
        <v>0.88267564796523312</v>
      </c>
      <c r="AM64" s="46">
        <v>1</v>
      </c>
      <c r="AN64" s="18">
        <v>-2.2226394487782301E-2</v>
      </c>
      <c r="AO64" s="46">
        <v>1</v>
      </c>
      <c r="AP64" s="18">
        <v>-0.2786327930632968</v>
      </c>
      <c r="AQ64" s="46">
        <v>1</v>
      </c>
    </row>
    <row r="65" spans="1:43" ht="20" customHeight="1" x14ac:dyDescent="0.45">
      <c r="A65" s="26">
        <v>55</v>
      </c>
      <c r="B65" s="16" t="s">
        <v>280</v>
      </c>
      <c r="C65" s="16" t="s">
        <v>229</v>
      </c>
      <c r="D65" s="46">
        <v>26</v>
      </c>
      <c r="E65" s="46">
        <v>1</v>
      </c>
      <c r="F65" s="13">
        <v>0.1800740316220486</v>
      </c>
      <c r="G65" s="13">
        <v>6.5446738398128521E-2</v>
      </c>
      <c r="H65" s="13">
        <v>-4.736056531117909E-3</v>
      </c>
      <c r="I65" s="13">
        <v>-9.1096942571397849E-3</v>
      </c>
      <c r="J65" s="13">
        <v>0.74063347919156519</v>
      </c>
      <c r="K65" s="13">
        <v>18.213531353135341</v>
      </c>
      <c r="L65" s="13">
        <v>3.0949212985782029</v>
      </c>
      <c r="M65" s="13">
        <v>0.41226514827724792</v>
      </c>
      <c r="N65" s="19">
        <f>(F65-Settings!$D$18)/Settings!$E$18</f>
        <v>-4.3836334211465204E-2</v>
      </c>
      <c r="O65" s="19">
        <f>(G65-Settings!$D$19)/Settings!$E$19</f>
        <v>0.30033044056686775</v>
      </c>
      <c r="P65" s="19">
        <f>(H65-Settings!$D$20)/Settings!$E$20</f>
        <v>-0.52425219368187981</v>
      </c>
      <c r="Q65" s="19">
        <f>(I65-Settings!$D$21)/Settings!$E$21</f>
        <v>-7.5815587509463475E-2</v>
      </c>
      <c r="R65" s="19">
        <f>(J65-Settings!$D$22)/Settings!$E$22</f>
        <v>1.3258269383300441</v>
      </c>
      <c r="S65" s="19">
        <f>(K65-Settings!$D$23)/Settings!$E$23</f>
        <v>1.0273564035797538</v>
      </c>
      <c r="T65" s="19">
        <f>(L65-Settings!$D$24)/Settings!$E$24</f>
        <v>1.2352112090527132</v>
      </c>
      <c r="U65" s="19">
        <f>(M65-Settings!$D$25)/Settings!$E$25</f>
        <v>0.31400646561725265</v>
      </c>
      <c r="V65" s="31">
        <f>Settings!$B$18*(N65-F$6)^2</f>
        <v>1.6408080384034025E-3</v>
      </c>
      <c r="W65" s="31">
        <f>Settings!$B$19*(O65-G$6)^2</f>
        <v>8.2998228779560309E-3</v>
      </c>
      <c r="X65" s="31">
        <f>Settings!$B$20*(P65-H$6)^2</f>
        <v>1.5521209753863288</v>
      </c>
      <c r="Y65" s="31">
        <f>Settings!$B$21*(Q65-I$6)^2</f>
        <v>0.12290543325360521</v>
      </c>
      <c r="Z65" s="31">
        <f>Settings!$B$22*(R65-J$6)^2</f>
        <v>0.275167138201526</v>
      </c>
      <c r="AA65" s="31">
        <f>Settings!$B$23*(S65-K$6)^2</f>
        <v>0.49067927211582574</v>
      </c>
      <c r="AB65" s="31">
        <f>Settings!$B$24*(T65-L$6)^2</f>
        <v>8.4683695765101374E-2</v>
      </c>
      <c r="AC65" s="31">
        <f>Settings!$B$25*(U65-M$6)^2</f>
        <v>0.24595783395403964</v>
      </c>
      <c r="AD65" s="19">
        <f t="shared" si="0"/>
        <v>1.6677694623636645</v>
      </c>
      <c r="AE65" s="15">
        <f t="shared" si="1"/>
        <v>0.6601333891835155</v>
      </c>
      <c r="AF65" s="33">
        <f t="shared" si="2"/>
        <v>0.80421547196083343</v>
      </c>
      <c r="AG65" s="47">
        <f t="shared" si="3"/>
        <v>3.4721197791422109E-3</v>
      </c>
      <c r="AH65" s="18">
        <v>0.72165715277688047</v>
      </c>
      <c r="AI65" s="46">
        <v>1</v>
      </c>
      <c r="AJ65" s="18">
        <v>-0.1241344216469544</v>
      </c>
      <c r="AK65" s="46">
        <v>1</v>
      </c>
      <c r="AL65" s="18">
        <v>-0.32615523409328961</v>
      </c>
      <c r="AM65" s="46">
        <v>1</v>
      </c>
      <c r="AN65" s="48"/>
      <c r="AO65" s="48"/>
      <c r="AP65" s="48"/>
      <c r="AQ65" s="48"/>
    </row>
    <row r="66" spans="1:43" ht="20" customHeight="1" x14ac:dyDescent="0.45">
      <c r="A66" s="26">
        <v>56</v>
      </c>
      <c r="B66" s="16" t="s">
        <v>281</v>
      </c>
      <c r="C66" s="16" t="s">
        <v>218</v>
      </c>
      <c r="D66" s="46">
        <v>26</v>
      </c>
      <c r="E66" s="46">
        <v>0</v>
      </c>
      <c r="F66" s="13">
        <v>0.29179317878059552</v>
      </c>
      <c r="G66" s="13">
        <v>0.13590000937423691</v>
      </c>
      <c r="H66" s="13">
        <v>0.100469815356115</v>
      </c>
      <c r="I66" s="13">
        <v>-5.3719403096101563E-2</v>
      </c>
      <c r="J66" s="13">
        <v>0.41811759339295118</v>
      </c>
      <c r="K66" s="13">
        <v>20.299483204134361</v>
      </c>
      <c r="L66" s="13">
        <v>4.1290744429351989</v>
      </c>
      <c r="M66" s="13">
        <v>1.723100212813244</v>
      </c>
      <c r="N66" s="19">
        <f>(F66-Settings!$D$18)/Settings!$E$18</f>
        <v>0.35599952908190902</v>
      </c>
      <c r="O66" s="19">
        <f>(G66-Settings!$D$19)/Settings!$E$19</f>
        <v>0.59384774716590538</v>
      </c>
      <c r="P66" s="19">
        <f>(H66-Settings!$D$20)/Settings!$E$20</f>
        <v>0.42893323651310611</v>
      </c>
      <c r="Q66" s="19">
        <f>(I66-Settings!$D$21)/Settings!$E$21</f>
        <v>-0.62439489660070302</v>
      </c>
      <c r="R66" s="19">
        <f>(J66-Settings!$D$22)/Settings!$E$22</f>
        <v>0.45808276335233888</v>
      </c>
      <c r="S66" s="19">
        <f>(K66-Settings!$D$23)/Settings!$E$23</f>
        <v>1.7517595019736192</v>
      </c>
      <c r="T66" s="19">
        <f>(L66-Settings!$D$24)/Settings!$E$24</f>
        <v>1.9501778442510243</v>
      </c>
      <c r="U66" s="19">
        <f>(M66-Settings!$D$25)/Settings!$E$25</f>
        <v>1.1980482325694335</v>
      </c>
      <c r="V66" s="31">
        <f>Settings!$B$18*(N66-F$6)^2</f>
        <v>1.9128313204316967E-2</v>
      </c>
      <c r="W66" s="31">
        <f>Settings!$B$19*(O66-G$6)^2</f>
        <v>1.6129514095060034E-3</v>
      </c>
      <c r="X66" s="31">
        <f>Settings!$B$20*(P66-H$6)^2</f>
        <v>0.6716851327204546</v>
      </c>
      <c r="Y66" s="31">
        <f>Settings!$B$21*(Q66-I$6)^2</f>
        <v>1.1076844009358079E-2</v>
      </c>
      <c r="Z66" s="31">
        <f>Settings!$B$22*(R66-J$6)^2</f>
        <v>1.8631367520238716E-2</v>
      </c>
      <c r="AA66" s="31">
        <f>Settings!$B$23*(S66-K$6)^2</f>
        <v>5.7207417114009396E-4</v>
      </c>
      <c r="AB66" s="31">
        <f>Settings!$B$24*(T66-L$6)^2</f>
        <v>0.17974378027299179</v>
      </c>
      <c r="AC66" s="31">
        <f>Settings!$B$25*(U66-M$6)^2</f>
        <v>1.9043534345554654</v>
      </c>
      <c r="AD66" s="19">
        <f t="shared" si="0"/>
        <v>1.6753518728504384</v>
      </c>
      <c r="AE66" s="15">
        <f t="shared" si="1"/>
        <v>0.66313464472018946</v>
      </c>
      <c r="AF66" s="33">
        <f t="shared" si="2"/>
        <v>0.80262009947071022</v>
      </c>
      <c r="AG66" s="47">
        <f t="shared" si="3"/>
        <v>3.4652319181507404E-3</v>
      </c>
      <c r="AH66" s="18">
        <v>-0.1803964172823784</v>
      </c>
      <c r="AI66" s="46">
        <v>0</v>
      </c>
      <c r="AJ66" s="18">
        <v>-0.4171231037272638</v>
      </c>
      <c r="AK66" s="46">
        <v>0</v>
      </c>
      <c r="AL66" s="18">
        <v>-0.5796605854644663</v>
      </c>
      <c r="AM66" s="46">
        <v>0</v>
      </c>
      <c r="AN66" s="18">
        <v>-0.15221199124225129</v>
      </c>
      <c r="AO66" s="46">
        <v>0</v>
      </c>
      <c r="AP66" s="18">
        <v>0.1102642292448905</v>
      </c>
      <c r="AQ66" s="46">
        <v>1</v>
      </c>
    </row>
    <row r="67" spans="1:43" ht="20" customHeight="1" x14ac:dyDescent="0.45">
      <c r="A67" s="26">
        <v>57</v>
      </c>
      <c r="B67" s="16" t="s">
        <v>282</v>
      </c>
      <c r="C67" s="16" t="s">
        <v>283</v>
      </c>
      <c r="D67" s="46">
        <v>26</v>
      </c>
      <c r="E67" s="46">
        <v>0</v>
      </c>
      <c r="F67" s="13">
        <v>0.12284154517987191</v>
      </c>
      <c r="G67" s="13">
        <v>-0.14779181660223081</v>
      </c>
      <c r="H67" s="13">
        <v>0.2233411165803536</v>
      </c>
      <c r="I67" s="13">
        <v>3.5244305501199821E-2</v>
      </c>
      <c r="J67" s="13">
        <v>0.47078121613634399</v>
      </c>
      <c r="K67" s="13">
        <v>19.229629629629631</v>
      </c>
      <c r="L67" s="13">
        <v>2.3869952522176159</v>
      </c>
      <c r="M67" s="13">
        <v>-2.042061378530394</v>
      </c>
      <c r="N67" s="19">
        <f>(F67-Settings!$D$18)/Settings!$E$18</f>
        <v>-0.2486678354093633</v>
      </c>
      <c r="O67" s="19">
        <f>(G67-Settings!$D$19)/Settings!$E$19</f>
        <v>-0.58804855815983492</v>
      </c>
      <c r="P67" s="19">
        <f>(H67-Settings!$D$20)/Settings!$E$20</f>
        <v>1.5421708535311003</v>
      </c>
      <c r="Q67" s="19">
        <f>(I67-Settings!$D$21)/Settings!$E$21</f>
        <v>0.46961918837528382</v>
      </c>
      <c r="R67" s="19">
        <f>(J67-Settings!$D$22)/Settings!$E$22</f>
        <v>0.5997767197775975</v>
      </c>
      <c r="S67" s="19">
        <f>(K67-Settings!$D$23)/Settings!$E$23</f>
        <v>1.3802239634961575</v>
      </c>
      <c r="T67" s="19">
        <f>(L67-Settings!$D$24)/Settings!$E$24</f>
        <v>0.74578321079392873</v>
      </c>
      <c r="U67" s="19">
        <f>(M67-Settings!$D$25)/Settings!$E$25</f>
        <v>-1.3412186791302048</v>
      </c>
      <c r="V67" s="31">
        <f>Settings!$B$18*(N67-F$6)^2</f>
        <v>1.7453136888169823E-2</v>
      </c>
      <c r="W67" s="31">
        <f>Settings!$B$19*(O67-G$6)^2</f>
        <v>0.23853312399868778</v>
      </c>
      <c r="X67" s="31">
        <f>Settings!$B$20*(P67-H$6)^2</f>
        <v>0.10349667556395879</v>
      </c>
      <c r="Y67" s="31">
        <f>Settings!$B$21*(Q67-I$6)^2</f>
        <v>0.35343567085864158</v>
      </c>
      <c r="Z67" s="31">
        <f>Settings!$B$22*(R67-J$6)^2</f>
        <v>3.9945710892652864E-2</v>
      </c>
      <c r="AA67" s="31">
        <f>Settings!$B$23*(S67-K$6)^2</f>
        <v>0.1208379029574379</v>
      </c>
      <c r="AB67" s="31">
        <f>Settings!$B$24*(T67-L$6)^2</f>
        <v>0.60907509015714656</v>
      </c>
      <c r="AC67" s="31">
        <f>Settings!$B$25*(U67-M$6)^2</f>
        <v>1.3439388903166065</v>
      </c>
      <c r="AD67" s="19">
        <f t="shared" si="0"/>
        <v>1.6812840930768667</v>
      </c>
      <c r="AE67" s="15">
        <f t="shared" si="1"/>
        <v>0.66548272503454231</v>
      </c>
      <c r="AF67" s="33">
        <f t="shared" si="2"/>
        <v>0.80136910832469088</v>
      </c>
      <c r="AG67" s="47">
        <f t="shared" si="3"/>
        <v>3.459830889131695E-3</v>
      </c>
      <c r="AH67" s="18">
        <v>-0.37650967139170582</v>
      </c>
      <c r="AI67" s="46">
        <v>0</v>
      </c>
      <c r="AJ67" s="18">
        <v>1.2047467778925069</v>
      </c>
      <c r="AK67" s="46">
        <v>0</v>
      </c>
      <c r="AL67" s="18">
        <v>1.02958646256354</v>
      </c>
      <c r="AM67" s="46">
        <v>0</v>
      </c>
      <c r="AN67" s="18">
        <v>-0.30515589550256678</v>
      </c>
      <c r="AO67" s="46">
        <v>0</v>
      </c>
      <c r="AP67" s="18">
        <v>-0.13619613641001971</v>
      </c>
      <c r="AQ67" s="46">
        <v>0</v>
      </c>
    </row>
    <row r="68" spans="1:43" ht="20" customHeight="1" x14ac:dyDescent="0.45">
      <c r="A68" s="26">
        <v>58</v>
      </c>
      <c r="B68" s="16" t="s">
        <v>284</v>
      </c>
      <c r="C68" s="16" t="s">
        <v>214</v>
      </c>
      <c r="D68" s="46">
        <v>26</v>
      </c>
      <c r="E68" s="46">
        <v>1</v>
      </c>
      <c r="F68" s="13">
        <v>0.30764911555793828</v>
      </c>
      <c r="G68" s="13">
        <v>3.043999402434611E-2</v>
      </c>
      <c r="H68" s="13">
        <v>0.1895210027659599</v>
      </c>
      <c r="I68" s="13">
        <v>-3.263477572666165E-5</v>
      </c>
      <c r="J68" s="13">
        <v>0.47235725287602909</v>
      </c>
      <c r="K68" s="13">
        <v>18.262398373983778</v>
      </c>
      <c r="L68" s="13">
        <v>5.2458556914589547</v>
      </c>
      <c r="M68" s="13">
        <v>0.71396111596656997</v>
      </c>
      <c r="N68" s="19">
        <f>(F68-Settings!$D$18)/Settings!$E$18</f>
        <v>0.41274693837511534</v>
      </c>
      <c r="O68" s="19">
        <f>(G68-Settings!$D$19)/Settings!$E$19</f>
        <v>0.15448788167591085</v>
      </c>
      <c r="P68" s="19">
        <f>(H68-Settings!$D$20)/Settings!$E$20</f>
        <v>1.2357541188266918</v>
      </c>
      <c r="Q68" s="19">
        <f>(I68-Settings!$D$21)/Settings!$E$21</f>
        <v>3.5807804538875797E-2</v>
      </c>
      <c r="R68" s="19">
        <f>(J68-Settings!$D$22)/Settings!$E$22</f>
        <v>0.60401712082645176</v>
      </c>
      <c r="S68" s="19">
        <f>(K68-Settings!$D$23)/Settings!$E$23</f>
        <v>1.0443267959188347</v>
      </c>
      <c r="T68" s="19">
        <f>(L68-Settings!$D$24)/Settings!$E$24</f>
        <v>2.7222698074834684</v>
      </c>
      <c r="U68" s="19">
        <f>(M68-Settings!$D$25)/Settings!$E$25</f>
        <v>0.51747358636659413</v>
      </c>
      <c r="V68" s="31">
        <f>Settings!$B$18*(N68-F$6)^2</f>
        <v>2.6792241752102347E-2</v>
      </c>
      <c r="W68" s="31">
        <f>Settings!$B$19*(O68-G$6)^2</f>
        <v>2.4437861685026856E-2</v>
      </c>
      <c r="X68" s="31">
        <f>Settings!$B$20*(P68-H$6)^2</f>
        <v>0.21044488470869749</v>
      </c>
      <c r="Y68" s="31">
        <f>Settings!$B$21*(Q68-I$6)^2</f>
        <v>0.1603988165519144</v>
      </c>
      <c r="Z68" s="31">
        <f>Settings!$B$22*(R68-J$6)^2</f>
        <v>4.0707338158036545E-2</v>
      </c>
      <c r="AA68" s="31">
        <f>Settings!$B$23*(S68-K$6)^2</f>
        <v>0.46719225488294541</v>
      </c>
      <c r="AB68" s="31">
        <f>Settings!$B$24*(T68-L$6)^2</f>
        <v>1.4305450909450041</v>
      </c>
      <c r="AC68" s="31">
        <f>Settings!$B$25*(U68-M$6)^2</f>
        <v>0.48917222491197104</v>
      </c>
      <c r="AD68" s="19">
        <f t="shared" si="0"/>
        <v>1.6881026964008139</v>
      </c>
      <c r="AE68" s="15">
        <f t="shared" si="1"/>
        <v>0.66818165184865719</v>
      </c>
      <c r="AF68" s="33">
        <f t="shared" si="2"/>
        <v>0.79992815633062642</v>
      </c>
      <c r="AG68" s="47">
        <f t="shared" si="3"/>
        <v>3.4536097231708026E-3</v>
      </c>
      <c r="AH68" s="48"/>
      <c r="AI68" s="48"/>
      <c r="AJ68" s="48"/>
      <c r="AK68" s="48"/>
      <c r="AL68" s="48"/>
      <c r="AM68" s="48"/>
      <c r="AN68" s="48"/>
      <c r="AO68" s="48"/>
      <c r="AP68" s="48"/>
      <c r="AQ68" s="48"/>
    </row>
    <row r="69" spans="1:43" ht="20" customHeight="1" x14ac:dyDescent="0.45">
      <c r="A69" s="26">
        <v>59</v>
      </c>
      <c r="B69" s="16" t="s">
        <v>285</v>
      </c>
      <c r="C69" s="16" t="s">
        <v>229</v>
      </c>
      <c r="D69" s="46">
        <v>26</v>
      </c>
      <c r="E69" s="46">
        <v>1</v>
      </c>
      <c r="F69" s="13">
        <v>0.41108854272351569</v>
      </c>
      <c r="G69" s="13">
        <v>-0.2003611870123844</v>
      </c>
      <c r="H69" s="13">
        <v>0.11593633523744661</v>
      </c>
      <c r="I69" s="13">
        <v>2.672696462978188E-5</v>
      </c>
      <c r="J69" s="13">
        <v>0.27258720806202352</v>
      </c>
      <c r="K69" s="13">
        <v>16.502830188679219</v>
      </c>
      <c r="L69" s="13">
        <v>3.2397374742985359</v>
      </c>
      <c r="M69" s="13">
        <v>-0.29864059546093008</v>
      </c>
      <c r="N69" s="19">
        <f>(F69-Settings!$D$18)/Settings!$E$18</f>
        <v>0.78295019995771731</v>
      </c>
      <c r="O69" s="19">
        <f>(G69-Settings!$D$19)/Settings!$E$19</f>
        <v>-0.80705925558547964</v>
      </c>
      <c r="P69" s="19">
        <f>(H69-Settings!$D$20)/Settings!$E$20</f>
        <v>0.56906288082144263</v>
      </c>
      <c r="Q69" s="19">
        <f>(I69-Settings!$D$21)/Settings!$E$21</f>
        <v>3.6537794116452908E-2</v>
      </c>
      <c r="R69" s="19">
        <f>(J69-Settings!$D$22)/Settings!$E$22</f>
        <v>6.6526409963819907E-2</v>
      </c>
      <c r="S69" s="19">
        <f>(K69-Settings!$D$23)/Settings!$E$23</f>
        <v>0.43326923739492379</v>
      </c>
      <c r="T69" s="19">
        <f>(L69-Settings!$D$24)/Settings!$E$24</f>
        <v>1.3353305525387604</v>
      </c>
      <c r="U69" s="19">
        <f>(M69-Settings!$D$25)/Settings!$E$25</f>
        <v>-0.16543628567443372</v>
      </c>
      <c r="V69" s="31">
        <f>Settings!$B$18*(N69-F$6)^2</f>
        <v>0.10840114393074973</v>
      </c>
      <c r="W69" s="31">
        <f>Settings!$B$19*(O69-G$6)^2</f>
        <v>0.34379822076056438</v>
      </c>
      <c r="X69" s="31">
        <f>Settings!$B$20*(P69-H$6)^2</f>
        <v>0.57289171729472421</v>
      </c>
      <c r="Y69" s="31">
        <f>Settings!$B$21*(Q69-I$6)^2</f>
        <v>0.16066041743261211</v>
      </c>
      <c r="Z69" s="31">
        <f>Settings!$B$22*(R69-J$6)^2</f>
        <v>1.4909295738789934E-3</v>
      </c>
      <c r="AA69" s="31">
        <f>Settings!$B$23*(S69-K$6)^2</f>
        <v>1.675917161638725</v>
      </c>
      <c r="AB69" s="31">
        <f>Settings!$B$24*(T69-L$6)^2</f>
        <v>3.6437193318346529E-2</v>
      </c>
      <c r="AC69" s="31">
        <f>Settings!$B$25*(U69-M$6)^2</f>
        <v>2.7220413573084324E-4</v>
      </c>
      <c r="AD69" s="19">
        <f t="shared" si="0"/>
        <v>1.7029001697355404</v>
      </c>
      <c r="AE69" s="15">
        <f t="shared" si="1"/>
        <v>0.67403876006669683</v>
      </c>
      <c r="AF69" s="33">
        <f t="shared" si="2"/>
        <v>0.79678999837070874</v>
      </c>
      <c r="AG69" s="47">
        <f t="shared" si="3"/>
        <v>3.4400610403829226E-3</v>
      </c>
      <c r="AH69" s="18">
        <v>-0.1058958530127754</v>
      </c>
      <c r="AI69" s="46">
        <v>1</v>
      </c>
      <c r="AJ69" s="18">
        <v>0.33312730168247118</v>
      </c>
      <c r="AK69" s="46">
        <v>1</v>
      </c>
      <c r="AL69" s="18">
        <v>0.20093341443224499</v>
      </c>
      <c r="AM69" s="46">
        <v>1</v>
      </c>
      <c r="AN69" s="48"/>
      <c r="AO69" s="48"/>
      <c r="AP69" s="48"/>
      <c r="AQ69" s="48"/>
    </row>
    <row r="70" spans="1:43" ht="20" customHeight="1" x14ac:dyDescent="0.45">
      <c r="A70" s="26">
        <v>60</v>
      </c>
      <c r="B70" s="16" t="s">
        <v>286</v>
      </c>
      <c r="C70" s="16" t="s">
        <v>242</v>
      </c>
      <c r="D70" s="46">
        <v>26</v>
      </c>
      <c r="E70" s="46">
        <v>0</v>
      </c>
      <c r="F70" s="13">
        <v>0.46242153954781962</v>
      </c>
      <c r="G70" s="13">
        <v>0.2343681786480496</v>
      </c>
      <c r="H70" s="13">
        <v>7.887949115362472E-2</v>
      </c>
      <c r="I70" s="13">
        <v>-4.5297205793521384E-3</v>
      </c>
      <c r="J70" s="13">
        <v>0.2198010700711541</v>
      </c>
      <c r="K70" s="13">
        <v>20.656012658227851</v>
      </c>
      <c r="L70" s="13">
        <v>1.6350265738810379</v>
      </c>
      <c r="M70" s="13">
        <v>-0.28051719587520457</v>
      </c>
      <c r="N70" s="19">
        <f>(F70-Settings!$D$18)/Settings!$E$18</f>
        <v>0.96666779557768512</v>
      </c>
      <c r="O70" s="19">
        <f>(G70-Settings!$D$19)/Settings!$E$19</f>
        <v>1.0040786907481942</v>
      </c>
      <c r="P70" s="19">
        <f>(H70-Settings!$D$20)/Settings!$E$20</f>
        <v>0.23332074745870648</v>
      </c>
      <c r="Q70" s="19">
        <f>(I70-Settings!$D$21)/Settings!$E$21</f>
        <v>-1.9494242645126884E-2</v>
      </c>
      <c r="R70" s="19">
        <f>(J70-Settings!$D$22)/Settings!$E$22</f>
        <v>-7.5497179502864067E-2</v>
      </c>
      <c r="S70" s="19">
        <f>(K70-Settings!$D$23)/Settings!$E$23</f>
        <v>1.875573980764347</v>
      </c>
      <c r="T70" s="19">
        <f>(L70-Settings!$D$24)/Settings!$E$24</f>
        <v>0.2259061319894087</v>
      </c>
      <c r="U70" s="19">
        <f>(M70-Settings!$D$25)/Settings!$E$25</f>
        <v>-0.15321366314440812</v>
      </c>
      <c r="V70" s="31">
        <f>Settings!$B$18*(N70-F$6)^2</f>
        <v>0.16925349507451243</v>
      </c>
      <c r="W70" s="31">
        <f>Settings!$B$19*(O70-G$6)^2</f>
        <v>5.0006987436721217E-2</v>
      </c>
      <c r="X70" s="31">
        <f>Settings!$B$20*(P70-H$6)^2</f>
        <v>0.82272982285803364</v>
      </c>
      <c r="Y70" s="31">
        <f>Settings!$B$21*(Q70-I$6)^2</f>
        <v>0.14120037464039581</v>
      </c>
      <c r="Z70" s="31">
        <f>Settings!$B$22*(R70-J$6)^2</f>
        <v>1.0430013448610009E-2</v>
      </c>
      <c r="AA70" s="31">
        <f>Settings!$B$23*(S70-K$6)^2</f>
        <v>2.1824906581312177E-2</v>
      </c>
      <c r="AB70" s="31">
        <f>Settings!$B$24*(T70-L$6)^2</f>
        <v>1.6908053391252458</v>
      </c>
      <c r="AC70" s="31">
        <f>Settings!$B$25*(U70-M$6)^2</f>
        <v>8.249092046567569E-4</v>
      </c>
      <c r="AD70" s="19">
        <f t="shared" si="0"/>
        <v>1.7050149114800983</v>
      </c>
      <c r="AE70" s="15">
        <f t="shared" si="1"/>
        <v>0.67487581318859802</v>
      </c>
      <c r="AF70" s="33">
        <f t="shared" si="2"/>
        <v>0.79634029229056047</v>
      </c>
      <c r="AG70" s="47">
        <f t="shared" si="3"/>
        <v>3.4381194794081303E-3</v>
      </c>
      <c r="AH70" s="18">
        <v>-0.26488652092009829</v>
      </c>
      <c r="AI70" s="46">
        <v>0</v>
      </c>
      <c r="AJ70" s="18">
        <v>-0.4938671364614251</v>
      </c>
      <c r="AK70" s="46">
        <v>0</v>
      </c>
      <c r="AL70" s="18">
        <v>0.5770410697435242</v>
      </c>
      <c r="AM70" s="46">
        <v>0</v>
      </c>
      <c r="AN70" s="18">
        <v>0.76918756323727999</v>
      </c>
      <c r="AO70" s="46">
        <v>0</v>
      </c>
      <c r="AP70" s="18">
        <v>-0.68753342687467445</v>
      </c>
      <c r="AQ70" s="46">
        <v>0</v>
      </c>
    </row>
    <row r="71" spans="1:43" ht="20" customHeight="1" x14ac:dyDescent="0.45">
      <c r="A71" s="26">
        <v>61</v>
      </c>
      <c r="B71" s="16" t="s">
        <v>287</v>
      </c>
      <c r="C71" s="16" t="s">
        <v>218</v>
      </c>
      <c r="D71" s="46">
        <v>26</v>
      </c>
      <c r="E71" s="46">
        <v>0</v>
      </c>
      <c r="F71" s="13">
        <v>0.1138356125196659</v>
      </c>
      <c r="G71" s="13">
        <v>0.11179281338904271</v>
      </c>
      <c r="H71" s="13">
        <v>0.49515103794041487</v>
      </c>
      <c r="I71" s="13">
        <v>-2.722460255103246E-2</v>
      </c>
      <c r="J71" s="13">
        <v>0.25199593359984401</v>
      </c>
      <c r="K71" s="13">
        <v>19.55397435897433</v>
      </c>
      <c r="L71" s="13">
        <v>1.6529230440741229</v>
      </c>
      <c r="M71" s="13">
        <v>0.73199540947475406</v>
      </c>
      <c r="N71" s="19">
        <f>(F71-Settings!$D$18)/Settings!$E$18</f>
        <v>-0.28089950698527705</v>
      </c>
      <c r="O71" s="19">
        <f>(G71-Settings!$D$19)/Settings!$E$19</f>
        <v>0.49341409607781245</v>
      </c>
      <c r="P71" s="19">
        <f>(H71-Settings!$D$20)/Settings!$E$20</f>
        <v>4.0048210096037691</v>
      </c>
      <c r="Q71" s="19">
        <f>(I71-Settings!$D$21)/Settings!$E$21</f>
        <v>-0.29858018595121577</v>
      </c>
      <c r="R71" s="19">
        <f>(J71-Settings!$D$22)/Settings!$E$22</f>
        <v>1.1124616574080981E-2</v>
      </c>
      <c r="S71" s="19">
        <f>(K71-Settings!$D$23)/Settings!$E$23</f>
        <v>1.4928614276698835</v>
      </c>
      <c r="T71" s="19">
        <f>(L71-Settings!$D$24)/Settings!$E$24</f>
        <v>0.23827894074186157</v>
      </c>
      <c r="U71" s="19">
        <f>(M71-Settings!$D$25)/Settings!$E$25</f>
        <v>0.52963611476550654</v>
      </c>
      <c r="V71" s="31">
        <f>Settings!$B$18*(N71-F$6)^2</f>
        <v>2.1469506064932992E-2</v>
      </c>
      <c r="W71" s="31">
        <f>Settings!$B$19*(O71-G$6)^2</f>
        <v>2.2597928846723867E-5</v>
      </c>
      <c r="X71" s="31">
        <f>Settings!$B$20*(P71-H$6)^2</f>
        <v>0.60780989954282993</v>
      </c>
      <c r="Y71" s="31">
        <f>Settings!$B$21*(Q71-I$6)^2</f>
        <v>6.2978590154882982E-2</v>
      </c>
      <c r="Z71" s="31">
        <f>Settings!$B$22*(R71-J$6)^2</f>
        <v>4.0181643604763331E-3</v>
      </c>
      <c r="AA71" s="31">
        <f>Settings!$B$23*(S71-K$6)^2</f>
        <v>5.5215601453751387E-2</v>
      </c>
      <c r="AB71" s="31">
        <f>Settings!$B$24*(T71-L$6)^2</f>
        <v>1.6587814588266914</v>
      </c>
      <c r="AC71" s="31">
        <f>Settings!$B$25*(U71-M$6)^2</f>
        <v>0.50633330306235425</v>
      </c>
      <c r="AD71" s="19">
        <f t="shared" si="0"/>
        <v>1.7078141354944822</v>
      </c>
      <c r="AE71" s="15">
        <f t="shared" si="1"/>
        <v>0.6759837968022806</v>
      </c>
      <c r="AF71" s="33">
        <f t="shared" si="2"/>
        <v>0.79574456190312515</v>
      </c>
      <c r="AG71" s="47">
        <f t="shared" si="3"/>
        <v>3.4355474731071235E-3</v>
      </c>
      <c r="AH71" s="18">
        <v>0.60856877049856672</v>
      </c>
      <c r="AI71" s="46">
        <v>0</v>
      </c>
      <c r="AJ71" s="18">
        <v>-2.4646262312681081E-2</v>
      </c>
      <c r="AK71" s="46">
        <v>0</v>
      </c>
      <c r="AL71" s="18">
        <v>-4.4545825700105013E-2</v>
      </c>
      <c r="AM71" s="46">
        <v>0</v>
      </c>
      <c r="AN71" s="18">
        <v>-0.28057055641071171</v>
      </c>
      <c r="AO71" s="46">
        <v>0</v>
      </c>
      <c r="AP71" s="18">
        <v>-0.28685099790861163</v>
      </c>
      <c r="AQ71" s="46">
        <v>1</v>
      </c>
    </row>
    <row r="72" spans="1:43" ht="20" customHeight="1" x14ac:dyDescent="0.45">
      <c r="A72" s="26">
        <v>62</v>
      </c>
      <c r="B72" s="16" t="s">
        <v>288</v>
      </c>
      <c r="C72" s="16" t="s">
        <v>271</v>
      </c>
      <c r="D72" s="46">
        <v>26</v>
      </c>
      <c r="E72" s="46">
        <v>1</v>
      </c>
      <c r="F72" s="13">
        <v>0.60129789403027434</v>
      </c>
      <c r="G72" s="13">
        <v>6.4767587849267838E-2</v>
      </c>
      <c r="H72" s="13">
        <v>0.28618932657483859</v>
      </c>
      <c r="I72" s="13">
        <v>-2.9753996022064359E-2</v>
      </c>
      <c r="J72" s="13">
        <v>1.7991195523554739E-2</v>
      </c>
      <c r="K72" s="13">
        <v>17.874893162393199</v>
      </c>
      <c r="L72" s="13">
        <v>1.797632977618242</v>
      </c>
      <c r="M72" s="13">
        <v>-1.0637896713219099</v>
      </c>
      <c r="N72" s="19">
        <f>(F72-Settings!$D$18)/Settings!$E$18</f>
        <v>1.4636976109478868</v>
      </c>
      <c r="O72" s="19">
        <f>(G72-Settings!$D$19)/Settings!$E$19</f>
        <v>0.29750101281830449</v>
      </c>
      <c r="P72" s="19">
        <f>(H72-Settings!$D$20)/Settings!$E$20</f>
        <v>2.1115877216769152</v>
      </c>
      <c r="Q72" s="19">
        <f>(I72-Settings!$D$21)/Settings!$E$21</f>
        <v>-0.32968491536712885</v>
      </c>
      <c r="R72" s="19">
        <f>(J72-Settings!$D$22)/Settings!$E$22</f>
        <v>-0.61847614830010689</v>
      </c>
      <c r="S72" s="19">
        <f>(K72-Settings!$D$23)/Settings!$E$23</f>
        <v>0.90975514902988752</v>
      </c>
      <c r="T72" s="19">
        <f>(L72-Settings!$D$24)/Settings!$E$24</f>
        <v>0.33832483320021689</v>
      </c>
      <c r="U72" s="19">
        <f>(M72-Settings!$D$25)/Settings!$E$25</f>
        <v>-0.68146134428499694</v>
      </c>
      <c r="V72" s="31">
        <f>Settings!$B$18*(N72-F$6)^2</f>
        <v>0.40155387476290616</v>
      </c>
      <c r="W72" s="31">
        <f>Settings!$B$19*(O72-G$6)^2</f>
        <v>8.5319808518332513E-3</v>
      </c>
      <c r="X72" s="31">
        <f>Settings!$B$20*(P72-H$6)^2</f>
        <v>4.4967789992526172E-3</v>
      </c>
      <c r="Y72" s="31">
        <f>Settings!$B$21*(Q72-I$6)^2</f>
        <v>5.6190283205421146E-2</v>
      </c>
      <c r="Z72" s="31">
        <f>Settings!$B$22*(R72-J$6)^2</f>
        <v>0.11899396183033673</v>
      </c>
      <c r="AA72" s="31">
        <f>Settings!$B$23*(S72-K$6)^2</f>
        <v>0.6692651629676879</v>
      </c>
      <c r="AB72" s="31">
        <f>Settings!$B$24*(T72-L$6)^2</f>
        <v>1.4110850462088114</v>
      </c>
      <c r="AC72" s="31">
        <f>Settings!$B$25*(U72-M$6)^2</f>
        <v>0.24952667274646756</v>
      </c>
      <c r="AD72" s="19">
        <f t="shared" si="0"/>
        <v>1.7086965094986051</v>
      </c>
      <c r="AE72" s="15">
        <f t="shared" si="1"/>
        <v>0.67633305643019315</v>
      </c>
      <c r="AF72" s="33">
        <f t="shared" si="2"/>
        <v>0.79555666516027401</v>
      </c>
      <c r="AG72" s="47">
        <f t="shared" si="3"/>
        <v>3.4347362477327855E-3</v>
      </c>
      <c r="AH72" s="18">
        <v>-0.22137606004798499</v>
      </c>
      <c r="AI72" s="46">
        <v>1</v>
      </c>
      <c r="AJ72" s="18">
        <v>0.13809472832564079</v>
      </c>
      <c r="AK72" s="46">
        <v>1</v>
      </c>
      <c r="AL72" s="18">
        <v>-1.1305076931371929</v>
      </c>
      <c r="AM72" s="46">
        <v>1</v>
      </c>
      <c r="AN72" s="18">
        <v>-1.8975338673841791</v>
      </c>
      <c r="AO72" s="46">
        <v>1</v>
      </c>
      <c r="AP72" s="18">
        <v>0.53691938112593696</v>
      </c>
      <c r="AQ72" s="46">
        <v>1</v>
      </c>
    </row>
    <row r="73" spans="1:43" ht="20" customHeight="1" x14ac:dyDescent="0.45">
      <c r="A73" s="26">
        <v>63</v>
      </c>
      <c r="B73" s="16" t="s">
        <v>289</v>
      </c>
      <c r="C73" s="16" t="s">
        <v>229</v>
      </c>
      <c r="D73" s="46">
        <v>26</v>
      </c>
      <c r="E73" s="46">
        <v>1</v>
      </c>
      <c r="F73" s="13">
        <v>0.26859103497899939</v>
      </c>
      <c r="G73" s="13">
        <v>0.25045436559586032</v>
      </c>
      <c r="H73" s="13">
        <v>0.38310373569113793</v>
      </c>
      <c r="I73" s="13">
        <v>-2.7025443846871399E-2</v>
      </c>
      <c r="J73" s="13">
        <v>7.0825419887130814E-2</v>
      </c>
      <c r="K73" s="13">
        <v>17.97408602150535</v>
      </c>
      <c r="L73" s="13">
        <v>2.214567786751604</v>
      </c>
      <c r="M73" s="13">
        <v>-1.9481494450651431</v>
      </c>
      <c r="N73" s="19">
        <f>(F73-Settings!$D$18)/Settings!$E$18</f>
        <v>0.27296050279930933</v>
      </c>
      <c r="O73" s="19">
        <f>(G73-Settings!$D$19)/Settings!$E$19</f>
        <v>1.0710957958584897</v>
      </c>
      <c r="P73" s="19">
        <f>(H73-Settings!$D$20)/Settings!$E$20</f>
        <v>2.9896509047341238</v>
      </c>
      <c r="Q73" s="19">
        <f>(I73-Settings!$D$21)/Settings!$E$21</f>
        <v>-0.29613107011585849</v>
      </c>
      <c r="R73" s="19">
        <f>(J73-Settings!$D$22)/Settings!$E$22</f>
        <v>-0.47632318018372116</v>
      </c>
      <c r="S73" s="19">
        <f>(K73-Settings!$D$23)/Settings!$E$23</f>
        <v>0.94420254744178012</v>
      </c>
      <c r="T73" s="19">
        <f>(L73-Settings!$D$24)/Settings!$E$24</f>
        <v>0.62657467241380416</v>
      </c>
      <c r="U73" s="19">
        <f>(M73-Settings!$D$25)/Settings!$E$25</f>
        <v>-1.2778834252568245</v>
      </c>
      <c r="V73" s="31">
        <f>Settings!$B$18*(N73-F$6)^2</f>
        <v>1.0235159225331202E-2</v>
      </c>
      <c r="W73" s="31">
        <f>Settings!$B$19*(O73-G$6)^2</f>
        <v>6.4309603457097256E-2</v>
      </c>
      <c r="X73" s="31">
        <f>Settings!$B$20*(P73-H$6)^2</f>
        <v>0.10603083702692101</v>
      </c>
      <c r="Y73" s="31">
        <f>Settings!$B$21*(Q73-I$6)^2</f>
        <v>6.3529521496043712E-2</v>
      </c>
      <c r="Z73" s="31">
        <f>Settings!$B$22*(R73-J$6)^2</f>
        <v>7.9175984250940731E-2</v>
      </c>
      <c r="AA73" s="31">
        <f>Settings!$B$23*(S73-K$6)^2</f>
        <v>0.61408989811932957</v>
      </c>
      <c r="AB73" s="31">
        <f>Settings!$B$24*(T73-L$6)^2</f>
        <v>0.80935423206156731</v>
      </c>
      <c r="AC73" s="31">
        <f>Settings!$B$25*(U73-M$6)^2</f>
        <v>1.2011031792414666</v>
      </c>
      <c r="AD73" s="19">
        <f t="shared" si="0"/>
        <v>1.7169241144787666</v>
      </c>
      <c r="AE73" s="15">
        <f t="shared" si="1"/>
        <v>0.67958969164446281</v>
      </c>
      <c r="AF73" s="33">
        <f t="shared" si="2"/>
        <v>0.79380211479592977</v>
      </c>
      <c r="AG73" s="47">
        <f t="shared" si="3"/>
        <v>3.4271611522068476E-3</v>
      </c>
      <c r="AH73" s="18">
        <v>-0.3759061372873933</v>
      </c>
      <c r="AI73" s="46">
        <v>1</v>
      </c>
      <c r="AJ73" s="18">
        <v>0.62836020882971666</v>
      </c>
      <c r="AK73" s="46">
        <v>1</v>
      </c>
      <c r="AL73" s="18">
        <v>-0.68269047615248191</v>
      </c>
      <c r="AM73" s="46">
        <v>1</v>
      </c>
      <c r="AN73" s="48"/>
      <c r="AO73" s="48"/>
      <c r="AP73" s="48"/>
      <c r="AQ73" s="48"/>
    </row>
    <row r="74" spans="1:43" ht="20" customHeight="1" x14ac:dyDescent="0.45">
      <c r="A74" s="26">
        <v>64</v>
      </c>
      <c r="B74" s="16" t="s">
        <v>290</v>
      </c>
      <c r="C74" s="16" t="s">
        <v>224</v>
      </c>
      <c r="D74" s="46">
        <v>26</v>
      </c>
      <c r="E74" s="46">
        <v>0</v>
      </c>
      <c r="F74" s="13">
        <v>0.25255746192654899</v>
      </c>
      <c r="G74" s="13">
        <v>0.14770370923714679</v>
      </c>
      <c r="H74" s="13">
        <v>0.1212178620025869</v>
      </c>
      <c r="I74" s="13">
        <v>5.1913966601276701E-2</v>
      </c>
      <c r="J74" s="13">
        <v>0.42660700023244058</v>
      </c>
      <c r="K74" s="13">
        <v>17.747167755991239</v>
      </c>
      <c r="L74" s="13">
        <v>1.9502646612145009</v>
      </c>
      <c r="M74" s="13">
        <v>-7.9569588732412377E-2</v>
      </c>
      <c r="N74" s="19">
        <f>(F74-Settings!$D$18)/Settings!$E$18</f>
        <v>0.21557734435104473</v>
      </c>
      <c r="O74" s="19">
        <f>(G74-Settings!$D$19)/Settings!$E$19</f>
        <v>0.64302346525058629</v>
      </c>
      <c r="P74" s="19">
        <f>(H74-Settings!$D$20)/Settings!$E$20</f>
        <v>0.6169145289415463</v>
      </c>
      <c r="Q74" s="19">
        <f>(I74-Settings!$D$21)/Settings!$E$21</f>
        <v>0.67461113759595293</v>
      </c>
      <c r="R74" s="19">
        <f>(J74-Settings!$D$22)/Settings!$E$22</f>
        <v>0.48092391214022434</v>
      </c>
      <c r="S74" s="19">
        <f>(K74-Settings!$D$23)/Settings!$E$23</f>
        <v>0.86539905322792376</v>
      </c>
      <c r="T74" s="19">
        <f>(L74-Settings!$D$24)/Settings!$E$24</f>
        <v>0.44384746477653136</v>
      </c>
      <c r="U74" s="19">
        <f>(M74-Settings!$D$25)/Settings!$E$25</f>
        <v>-1.7692358832786661E-2</v>
      </c>
      <c r="V74" s="31">
        <f>Settings!$B$18*(N74-F$6)^2</f>
        <v>5.7012217467465442E-3</v>
      </c>
      <c r="W74" s="31">
        <f>Settings!$B$19*(O74-G$6)^2</f>
        <v>3.8630719842135432E-3</v>
      </c>
      <c r="X74" s="31">
        <f>Settings!$B$20*(P74-H$6)^2</f>
        <v>0.54095465981119251</v>
      </c>
      <c r="Y74" s="31">
        <f>Settings!$B$21*(Q74-I$6)^2</f>
        <v>0.47084264356903499</v>
      </c>
      <c r="Z74" s="31">
        <f>Settings!$B$22*(R74-J$6)^2</f>
        <v>2.1524305226369028E-2</v>
      </c>
      <c r="AA74" s="31">
        <f>Settings!$B$23*(S74-K$6)^2</f>
        <v>0.74380685310064798</v>
      </c>
      <c r="AB74" s="31">
        <f>Settings!$B$24*(T74-L$6)^2</f>
        <v>1.1715213016638679</v>
      </c>
      <c r="AC74" s="31">
        <f>Settings!$B$25*(U74-M$6)^2</f>
        <v>2.6975610945996022E-2</v>
      </c>
      <c r="AD74" s="19">
        <f t="shared" si="0"/>
        <v>1.727770143291077</v>
      </c>
      <c r="AE74" s="15">
        <f t="shared" si="1"/>
        <v>0.68388274648245295</v>
      </c>
      <c r="AF74" s="33">
        <f t="shared" si="2"/>
        <v>0.79148226600233651</v>
      </c>
      <c r="AG74" s="47">
        <f t="shared" si="3"/>
        <v>3.417145437312411E-3</v>
      </c>
      <c r="AH74" s="18">
        <v>-0.80533639990606298</v>
      </c>
      <c r="AI74" s="46">
        <v>0</v>
      </c>
      <c r="AJ74" s="18">
        <v>-0.62640102368337336</v>
      </c>
      <c r="AK74" s="46">
        <v>1</v>
      </c>
      <c r="AL74" s="18">
        <v>-0.1198382497205379</v>
      </c>
      <c r="AM74" s="46">
        <v>1</v>
      </c>
      <c r="AN74" s="18">
        <v>-1.1131041213318631</v>
      </c>
      <c r="AO74" s="46">
        <v>1</v>
      </c>
      <c r="AP74" s="18">
        <v>0.30105620642468411</v>
      </c>
      <c r="AQ74" s="46">
        <v>1</v>
      </c>
    </row>
    <row r="75" spans="1:43" ht="20" customHeight="1" x14ac:dyDescent="0.45">
      <c r="A75" s="26">
        <v>65</v>
      </c>
      <c r="B75" s="16" t="s">
        <v>291</v>
      </c>
      <c r="C75" s="16" t="s">
        <v>210</v>
      </c>
      <c r="D75" s="46">
        <v>26</v>
      </c>
      <c r="E75" s="46">
        <v>0</v>
      </c>
      <c r="F75" s="13">
        <v>0.43397451271189158</v>
      </c>
      <c r="G75" s="13">
        <v>-6.8211763511403553E-2</v>
      </c>
      <c r="H75" s="13">
        <v>0.30097890646692022</v>
      </c>
      <c r="I75" s="13">
        <v>3.8978149061135711E-2</v>
      </c>
      <c r="J75" s="13">
        <v>0.15785666824864891</v>
      </c>
      <c r="K75" s="13">
        <v>18.239610389610391</v>
      </c>
      <c r="L75" s="13">
        <v>2.5715955859234279</v>
      </c>
      <c r="M75" s="13">
        <v>1.495227930520842</v>
      </c>
      <c r="N75" s="19">
        <f>(F75-Settings!$D$18)/Settings!$E$18</f>
        <v>0.86485765987255492</v>
      </c>
      <c r="O75" s="19">
        <f>(G75-Settings!$D$19)/Settings!$E$19</f>
        <v>-0.25650791400508616</v>
      </c>
      <c r="P75" s="19">
        <f>(H75-Settings!$D$20)/Settings!$E$20</f>
        <v>2.2455841595083257</v>
      </c>
      <c r="Q75" s="19">
        <f>(I75-Settings!$D$21)/Settings!$E$21</f>
        <v>0.51553541095720368</v>
      </c>
      <c r="R75" s="19">
        <f>(J75-Settings!$D$22)/Settings!$E$22</f>
        <v>-0.24216150898498165</v>
      </c>
      <c r="S75" s="19">
        <f>(K75-Settings!$D$23)/Settings!$E$23</f>
        <v>1.0364130530976248</v>
      </c>
      <c r="T75" s="19">
        <f>(L75-Settings!$D$24)/Settings!$E$24</f>
        <v>0.87340751882443091</v>
      </c>
      <c r="U75" s="19">
        <f>(M75-Settings!$D$25)/Settings!$E$25</f>
        <v>1.0443686274632722</v>
      </c>
      <c r="V75" s="31">
        <f>Settings!$B$18*(N75-F$6)^2</f>
        <v>0.13386335911593705</v>
      </c>
      <c r="W75" s="31">
        <f>Settings!$B$19*(O75-G$6)^2</f>
        <v>0.11568776817991036</v>
      </c>
      <c r="X75" s="31">
        <f>Settings!$B$20*(P75-H$6)^2</f>
        <v>5.0879665582498545E-5</v>
      </c>
      <c r="Y75" s="31">
        <f>Settings!$B$21*(Q75-I$6)^2</f>
        <v>0.37827287083886441</v>
      </c>
      <c r="Z75" s="31">
        <f>Settings!$B$22*(R75-J$6)^2</f>
        <v>3.1209459178949506E-2</v>
      </c>
      <c r="AA75" s="31">
        <f>Settings!$B$23*(S75-K$6)^2</f>
        <v>0.47807320026429795</v>
      </c>
      <c r="AB75" s="31">
        <f>Settings!$B$24*(T75-L$6)^2</f>
        <v>0.42615870539024725</v>
      </c>
      <c r="AC75" s="31">
        <f>Settings!$B$25*(U75-M$6)^2</f>
        <v>1.5038203311423017</v>
      </c>
      <c r="AD75" s="19">
        <f t="shared" ref="AD75:AD138" si="4">SQRT(SUM(V75:AC75))</f>
        <v>1.7513242343370032</v>
      </c>
      <c r="AE75" s="15">
        <f t="shared" ref="AE75:AE138" si="5">AD75/Yardstick</f>
        <v>0.69320588274449224</v>
      </c>
      <c r="AF75" s="33">
        <f t="shared" ref="AF75:AF138" si="6">EXP(-(AD75^2)/(2*Yardstick^2))</f>
        <v>0.78641770380388887</v>
      </c>
      <c r="AG75" s="47">
        <f t="shared" ref="AG75:AG138" si="7">AF75/$E$7</f>
        <v>3.3952796971034459E-3</v>
      </c>
      <c r="AH75" s="18">
        <v>-9.0158197780367821E-3</v>
      </c>
      <c r="AI75" s="46">
        <v>0</v>
      </c>
      <c r="AJ75" s="18">
        <v>1.5242564112245891</v>
      </c>
      <c r="AK75" s="46">
        <v>0</v>
      </c>
      <c r="AL75" s="18">
        <v>3.9103746518081912E-2</v>
      </c>
      <c r="AM75" s="46">
        <v>0</v>
      </c>
      <c r="AN75" s="18">
        <v>-1.792101225235059</v>
      </c>
      <c r="AO75" s="46">
        <v>0</v>
      </c>
      <c r="AP75" s="18">
        <v>-0.2834928012221356</v>
      </c>
      <c r="AQ75" s="46">
        <v>0</v>
      </c>
    </row>
    <row r="76" spans="1:43" ht="20" customHeight="1" x14ac:dyDescent="0.45">
      <c r="A76" s="26">
        <v>66</v>
      </c>
      <c r="B76" s="16" t="s">
        <v>292</v>
      </c>
      <c r="C76" s="16" t="s">
        <v>246</v>
      </c>
      <c r="D76" s="46">
        <v>26</v>
      </c>
      <c r="E76" s="46">
        <v>1</v>
      </c>
      <c r="F76" s="13">
        <v>0.21952752637299089</v>
      </c>
      <c r="G76" s="13">
        <v>2.9515353188647751E-2</v>
      </c>
      <c r="H76" s="13">
        <v>0.1847991918811627</v>
      </c>
      <c r="I76" s="13">
        <v>-1.7743375717185169E-3</v>
      </c>
      <c r="J76" s="13">
        <v>0.56438359098548019</v>
      </c>
      <c r="K76" s="13">
        <v>18.449086757990891</v>
      </c>
      <c r="L76" s="13">
        <v>3.229545888721832</v>
      </c>
      <c r="M76" s="13">
        <v>-2.492946878692277</v>
      </c>
      <c r="N76" s="19">
        <f>(F76-Settings!$D$18)/Settings!$E$18</f>
        <v>9.7365264036474691E-2</v>
      </c>
      <c r="O76" s="19">
        <f>(G76-Settings!$D$19)/Settings!$E$19</f>
        <v>0.15063571010310056</v>
      </c>
      <c r="P76" s="19">
        <f>(H76-Settings!$D$20)/Settings!$E$20</f>
        <v>1.1929736042148362</v>
      </c>
      <c r="Q76" s="19">
        <f>(I76-Settings!$D$21)/Settings!$E$21</f>
        <v>1.4389549604358075E-2</v>
      </c>
      <c r="R76" s="19">
        <f>(J76-Settings!$D$22)/Settings!$E$22</f>
        <v>0.85161831616375183</v>
      </c>
      <c r="S76" s="19">
        <f>(K76-Settings!$D$23)/Settings!$E$23</f>
        <v>1.1091593776220638</v>
      </c>
      <c r="T76" s="19">
        <f>(L76-Settings!$D$24)/Settings!$E$24</f>
        <v>1.3282845519663382</v>
      </c>
      <c r="U76" s="19">
        <f>(M76-Settings!$D$25)/Settings!$E$25</f>
        <v>-1.6453008821778663</v>
      </c>
      <c r="V76" s="31">
        <f>Settings!$B$18*(N76-F$6)^2</f>
        <v>5.1258706309000772E-4</v>
      </c>
      <c r="W76" s="31">
        <f>Settings!$B$19*(O76-G$6)^2</f>
        <v>2.4979449209192189E-2</v>
      </c>
      <c r="X76" s="31">
        <f>Settings!$B$20*(P76-H$6)^2</f>
        <v>0.22836427616430699</v>
      </c>
      <c r="Y76" s="31">
        <f>Settings!$B$21*(Q76-I$6)^2</f>
        <v>0.1528181927901773</v>
      </c>
      <c r="Z76" s="31">
        <f>Settings!$B$22*(R76-J$6)^2</f>
        <v>9.76507606802548E-2</v>
      </c>
      <c r="AA76" s="31">
        <f>Settings!$B$23*(S76-K$6)^2</f>
        <v>0.38276748182580922</v>
      </c>
      <c r="AB76" s="31">
        <f>Settings!$B$24*(T76-L$6)^2</f>
        <v>3.9176795144740095E-2</v>
      </c>
      <c r="AC76" s="31">
        <f>Settings!$B$25*(U76-M$6)^2</f>
        <v>2.14144001011823</v>
      </c>
      <c r="AD76" s="19">
        <f t="shared" si="4"/>
        <v>1.7514878112609864</v>
      </c>
      <c r="AE76" s="15">
        <f t="shared" si="5"/>
        <v>0.69327062945658768</v>
      </c>
      <c r="AF76" s="33">
        <f t="shared" si="6"/>
        <v>0.7863824063178082</v>
      </c>
      <c r="AG76" s="47">
        <f t="shared" si="7"/>
        <v>3.3951273037414083E-3</v>
      </c>
      <c r="AH76" s="18">
        <v>-1.546095376191847</v>
      </c>
      <c r="AI76" s="46">
        <v>1</v>
      </c>
      <c r="AJ76" s="48"/>
      <c r="AK76" s="48"/>
      <c r="AL76" s="48"/>
      <c r="AM76" s="48"/>
      <c r="AN76" s="48"/>
      <c r="AO76" s="48"/>
      <c r="AP76" s="48"/>
      <c r="AQ76" s="48"/>
    </row>
    <row r="77" spans="1:43" ht="20" customHeight="1" x14ac:dyDescent="0.45">
      <c r="A77" s="26">
        <v>67</v>
      </c>
      <c r="B77" s="16" t="s">
        <v>293</v>
      </c>
      <c r="C77" s="16" t="s">
        <v>220</v>
      </c>
      <c r="D77" s="46">
        <v>26</v>
      </c>
      <c r="E77" s="46">
        <v>1</v>
      </c>
      <c r="F77" s="13">
        <v>0.28539237601673451</v>
      </c>
      <c r="G77" s="13">
        <v>3.6831657242482642E-2</v>
      </c>
      <c r="H77" s="13">
        <v>0.1147126568320245</v>
      </c>
      <c r="I77" s="13">
        <v>1.1819174766442279E-2</v>
      </c>
      <c r="J77" s="13">
        <v>0.55124413514231596</v>
      </c>
      <c r="K77" s="13">
        <v>19.82321937321931</v>
      </c>
      <c r="L77" s="13">
        <v>5.6032129244702169</v>
      </c>
      <c r="M77" s="13">
        <v>0.19569913983138049</v>
      </c>
      <c r="N77" s="19">
        <f>(F77-Settings!$D$18)/Settings!$E$18</f>
        <v>0.33309145500552018</v>
      </c>
      <c r="O77" s="19">
        <f>(G77-Settings!$D$19)/Settings!$E$19</f>
        <v>0.18111636530035138</v>
      </c>
      <c r="P77" s="19">
        <f>(H77-Settings!$D$20)/Settings!$E$20</f>
        <v>0.55797611915720013</v>
      </c>
      <c r="Q77" s="19">
        <f>(I77-Settings!$D$21)/Settings!$E$21</f>
        <v>0.18155315144518649</v>
      </c>
      <c r="R77" s="19">
        <f>(J77-Settings!$D$22)/Settings!$E$22</f>
        <v>0.81626599160445246</v>
      </c>
      <c r="S77" s="19">
        <f>(K77-Settings!$D$23)/Settings!$E$23</f>
        <v>1.5863640281506917</v>
      </c>
      <c r="T77" s="19">
        <f>(L77-Settings!$D$24)/Settings!$E$24</f>
        <v>2.9693304095267972</v>
      </c>
      <c r="U77" s="19">
        <f>(M77-Settings!$D$25)/Settings!$E$25</f>
        <v>0.16795193751685011</v>
      </c>
      <c r="V77" s="31">
        <f>Settings!$B$18*(N77-F$6)^2</f>
        <v>1.6399451470392398E-2</v>
      </c>
      <c r="W77" s="31">
        <f>Settings!$B$19*(O77-G$6)^2</f>
        <v>2.085641977588816E-2</v>
      </c>
      <c r="X77" s="31">
        <f>Settings!$B$20*(P77-H$6)^2</f>
        <v>0.58042191024771339</v>
      </c>
      <c r="Y77" s="31">
        <f>Settings!$B$21*(Q77-I$6)^2</f>
        <v>0.21685554428861528</v>
      </c>
      <c r="Z77" s="31">
        <f>Settings!$B$22*(R77-J$6)^2</f>
        <v>8.8019720661223488E-2</v>
      </c>
      <c r="AA77" s="31">
        <f>Settings!$B$23*(S77-K$6)^2</f>
        <v>2.0015855209158537E-2</v>
      </c>
      <c r="AB77" s="31">
        <f>Settings!$B$24*(T77-L$6)^2</f>
        <v>2.0825796581406237</v>
      </c>
      <c r="AC77" s="31">
        <f>Settings!$B$25*(U77-M$6)^2</f>
        <v>0.12242079612118541</v>
      </c>
      <c r="AD77" s="19">
        <f t="shared" si="4"/>
        <v>1.7741390463869511</v>
      </c>
      <c r="AE77" s="15">
        <f t="shared" si="5"/>
        <v>0.70223639897709655</v>
      </c>
      <c r="AF77" s="33">
        <f t="shared" si="6"/>
        <v>0.78147823482196366</v>
      </c>
      <c r="AG77" s="47">
        <f t="shared" si="7"/>
        <v>3.373954034332017E-3</v>
      </c>
      <c r="AH77" s="18">
        <v>-0.66305190016022042</v>
      </c>
      <c r="AI77" s="46">
        <v>1</v>
      </c>
      <c r="AJ77" s="18">
        <v>-0.836538363273168</v>
      </c>
      <c r="AK77" s="46">
        <v>1</v>
      </c>
      <c r="AL77" s="18">
        <v>-0.12611294924138861</v>
      </c>
      <c r="AM77" s="46">
        <v>1</v>
      </c>
      <c r="AN77" s="48"/>
      <c r="AO77" s="48"/>
      <c r="AP77" s="48"/>
      <c r="AQ77" s="48"/>
    </row>
    <row r="78" spans="1:43" ht="20" customHeight="1" x14ac:dyDescent="0.45">
      <c r="A78" s="26">
        <v>68</v>
      </c>
      <c r="B78" s="16" t="s">
        <v>294</v>
      </c>
      <c r="C78" s="16" t="s">
        <v>227</v>
      </c>
      <c r="D78" s="46">
        <v>26</v>
      </c>
      <c r="E78" s="46">
        <v>0</v>
      </c>
      <c r="F78" s="13">
        <v>0.25873302011342908</v>
      </c>
      <c r="G78" s="13">
        <v>5.1883275033942897E-2</v>
      </c>
      <c r="H78" s="13">
        <v>0.30979230997055979</v>
      </c>
      <c r="I78" s="13">
        <v>-7.2824693066311026E-6</v>
      </c>
      <c r="J78" s="13">
        <v>0.37958411241276152</v>
      </c>
      <c r="K78" s="13">
        <v>16.237579617834399</v>
      </c>
      <c r="L78" s="13">
        <v>3.0267611754290979</v>
      </c>
      <c r="M78" s="13">
        <v>1.1593395347547559</v>
      </c>
      <c r="N78" s="19">
        <f>(F78-Settings!$D$18)/Settings!$E$18</f>
        <v>0.23767928212779371</v>
      </c>
      <c r="O78" s="19">
        <f>(G78-Settings!$D$19)/Settings!$E$19</f>
        <v>0.24382332344294408</v>
      </c>
      <c r="P78" s="19">
        <f>(H78-Settings!$D$20)/Settings!$E$20</f>
        <v>2.3254352900526669</v>
      </c>
      <c r="Q78" s="19">
        <f>(I78-Settings!$D$21)/Settings!$E$21</f>
        <v>3.6119569647901188E-2</v>
      </c>
      <c r="R78" s="19">
        <f>(J78-Settings!$D$22)/Settings!$E$22</f>
        <v>0.35440661859631689</v>
      </c>
      <c r="S78" s="19">
        <f>(K78-Settings!$D$23)/Settings!$E$23</f>
        <v>0.34115381522987998</v>
      </c>
      <c r="T78" s="19">
        <f>(L78-Settings!$D$24)/Settings!$E$24</f>
        <v>1.1880883876712454</v>
      </c>
      <c r="U78" s="19">
        <f>(M78-Settings!$D$25)/Settings!$E$25</f>
        <v>0.81784175240070023</v>
      </c>
      <c r="V78" s="31">
        <f>Settings!$B$18*(N78-F$6)^2</f>
        <v>7.2915754370398546E-3</v>
      </c>
      <c r="W78" s="31">
        <f>Settings!$B$19*(O78-G$6)^2</f>
        <v>1.354293457758054E-2</v>
      </c>
      <c r="X78" s="31">
        <f>Settings!$B$20*(P78-H$6)^2</f>
        <v>8.1667423994672252E-4</v>
      </c>
      <c r="Y78" s="31">
        <f>Settings!$B$21*(Q78-I$6)^2</f>
        <v>0.16051051539426764</v>
      </c>
      <c r="Z78" s="31">
        <f>Settings!$B$22*(R78-J$6)^2</f>
        <v>8.12366673709136E-3</v>
      </c>
      <c r="AA78" s="31">
        <f>Settings!$B$23*(S78-K$6)^2</f>
        <v>1.9229025407130613</v>
      </c>
      <c r="AB78" s="31">
        <f>Settings!$B$24*(T78-L$6)^2</f>
        <v>0.1143301746368708</v>
      </c>
      <c r="AC78" s="31">
        <f>Settings!$B$25*(U78-M$6)^2</f>
        <v>0.99955334626654491</v>
      </c>
      <c r="AD78" s="19">
        <f t="shared" si="4"/>
        <v>1.7964051402738759</v>
      </c>
      <c r="AE78" s="15">
        <f t="shared" si="5"/>
        <v>0.71104972261274002</v>
      </c>
      <c r="AF78" s="33">
        <f t="shared" si="6"/>
        <v>0.77662641080618133</v>
      </c>
      <c r="AG78" s="47">
        <f t="shared" si="7"/>
        <v>3.3530067699265699E-3</v>
      </c>
      <c r="AH78" s="18">
        <v>0.11141976082483571</v>
      </c>
      <c r="AI78" s="46">
        <v>0</v>
      </c>
      <c r="AJ78" s="18">
        <v>-0.92168460486363246</v>
      </c>
      <c r="AK78" s="46">
        <v>0</v>
      </c>
      <c r="AL78" s="18">
        <v>-0.86760117753990174</v>
      </c>
      <c r="AM78" s="46">
        <v>0</v>
      </c>
      <c r="AN78" s="18">
        <v>-1.2529523846808219</v>
      </c>
      <c r="AO78" s="46">
        <v>1</v>
      </c>
      <c r="AP78" s="18">
        <v>-1.0186462920842629</v>
      </c>
      <c r="AQ78" s="46">
        <v>1</v>
      </c>
    </row>
    <row r="79" spans="1:43" ht="20" customHeight="1" x14ac:dyDescent="0.45">
      <c r="A79" s="26">
        <v>69</v>
      </c>
      <c r="B79" s="16" t="s">
        <v>295</v>
      </c>
      <c r="C79" s="16" t="s">
        <v>220</v>
      </c>
      <c r="D79" s="46">
        <v>26</v>
      </c>
      <c r="E79" s="46">
        <v>1</v>
      </c>
      <c r="F79" s="13">
        <v>0.20356077861274549</v>
      </c>
      <c r="G79" s="13">
        <v>0.13138183098773781</v>
      </c>
      <c r="H79" s="13">
        <v>9.6824129783628199E-2</v>
      </c>
      <c r="I79" s="13">
        <v>3.1989687857371531E-4</v>
      </c>
      <c r="J79" s="13">
        <v>0.56791336373731471</v>
      </c>
      <c r="K79" s="13">
        <v>17.134558823529389</v>
      </c>
      <c r="L79" s="13">
        <v>2.811276652457428</v>
      </c>
      <c r="M79" s="13">
        <v>1.075655269400833</v>
      </c>
      <c r="N79" s="19">
        <f>(F79-Settings!$D$18)/Settings!$E$18</f>
        <v>4.0221269143233492E-2</v>
      </c>
      <c r="O79" s="19">
        <f>(G79-Settings!$D$19)/Settings!$E$19</f>
        <v>0.57502444013749332</v>
      </c>
      <c r="P79" s="19">
        <f>(H79-Settings!$D$20)/Settings!$E$20</f>
        <v>0.39590262416771105</v>
      </c>
      <c r="Q79" s="19">
        <f>(I79-Settings!$D$21)/Settings!$E$21</f>
        <v>4.0142994711199587E-2</v>
      </c>
      <c r="R79" s="19">
        <f>(J79-Settings!$D$22)/Settings!$E$22</f>
        <v>0.86111533593632827</v>
      </c>
      <c r="S79" s="19">
        <f>(K79-Settings!$D$23)/Settings!$E$23</f>
        <v>0.65265406174282037</v>
      </c>
      <c r="T79" s="19">
        <f>(L79-Settings!$D$24)/Settings!$E$24</f>
        <v>1.0391121502860559</v>
      </c>
      <c r="U79" s="19">
        <f>(M79-Settings!$D$25)/Settings!$E$25</f>
        <v>0.76140415181228105</v>
      </c>
      <c r="V79" s="31">
        <f>Settings!$B$18*(N79-F$6)^2</f>
        <v>8.4983079673435085E-6</v>
      </c>
      <c r="W79" s="31">
        <f>Settings!$B$19*(O79-G$6)^2</f>
        <v>1.0076515386188186E-3</v>
      </c>
      <c r="X79" s="31">
        <f>Settings!$B$20*(P79-H$6)^2</f>
        <v>0.69611610753135467</v>
      </c>
      <c r="Y79" s="31">
        <f>Settings!$B$21*(Q79-I$6)^2</f>
        <v>0.16195551193087065</v>
      </c>
      <c r="Z79" s="31">
        <f>Settings!$B$22*(R79-J$6)^2</f>
        <v>0.10032322247501085</v>
      </c>
      <c r="AA79" s="31">
        <f>Settings!$B$23*(S79-K$6)^2</f>
        <v>1.1560278766707792</v>
      </c>
      <c r="AB79" s="31">
        <f>Settings!$B$24*(T79-L$6)^2</f>
        <v>0.23727000542399718</v>
      </c>
      <c r="AC79" s="31">
        <f>Settings!$B$25*(U79-M$6)^2</f>
        <v>0.88988855873034267</v>
      </c>
      <c r="AD79" s="19">
        <f t="shared" si="4"/>
        <v>1.8007213645117175</v>
      </c>
      <c r="AE79" s="15">
        <f t="shared" si="5"/>
        <v>0.71275816241746237</v>
      </c>
      <c r="AF79" s="33">
        <f t="shared" si="6"/>
        <v>0.77568241697217821</v>
      </c>
      <c r="AG79" s="47">
        <f t="shared" si="7"/>
        <v>3.3489311710644407E-3</v>
      </c>
      <c r="AH79" s="18">
        <v>-0.71530570601981491</v>
      </c>
      <c r="AI79" s="46">
        <v>1</v>
      </c>
      <c r="AJ79" s="18">
        <v>-0.48035280717409701</v>
      </c>
      <c r="AK79" s="46">
        <v>1</v>
      </c>
      <c r="AL79" s="18">
        <v>0.98633469142248198</v>
      </c>
      <c r="AM79" s="46">
        <v>1</v>
      </c>
      <c r="AN79" s="18">
        <v>-1.088448444570757</v>
      </c>
      <c r="AO79" s="46">
        <v>1</v>
      </c>
      <c r="AP79" s="48"/>
      <c r="AQ79" s="48"/>
    </row>
    <row r="80" spans="1:43" ht="20" customHeight="1" x14ac:dyDescent="0.45">
      <c r="A80" s="26">
        <v>70</v>
      </c>
      <c r="B80" s="16" t="s">
        <v>296</v>
      </c>
      <c r="C80" s="16" t="s">
        <v>227</v>
      </c>
      <c r="D80" s="46">
        <v>26</v>
      </c>
      <c r="E80" s="46">
        <v>0</v>
      </c>
      <c r="F80" s="13">
        <v>0.25661890832673451</v>
      </c>
      <c r="G80" s="13">
        <v>-5.9867468237101137E-2</v>
      </c>
      <c r="H80" s="13">
        <v>2.0217109978673389E-2</v>
      </c>
      <c r="I80" s="13">
        <v>3.7211698775528851E-2</v>
      </c>
      <c r="J80" s="13">
        <v>0.62608481468196209</v>
      </c>
      <c r="K80" s="13">
        <v>18.677777777777781</v>
      </c>
      <c r="L80" s="13">
        <v>4.3205973141692331</v>
      </c>
      <c r="M80" s="13">
        <v>-1.585030245197885</v>
      </c>
      <c r="N80" s="19">
        <f>(F80-Settings!$D$18)/Settings!$E$18</f>
        <v>0.23011300783344996</v>
      </c>
      <c r="O80" s="19">
        <f>(G80-Settings!$D$19)/Settings!$E$19</f>
        <v>-0.22174451635942002</v>
      </c>
      <c r="P80" s="19">
        <f>(H80-Settings!$D$20)/Settings!$E$20</f>
        <v>-0.29817170665491072</v>
      </c>
      <c r="Q80" s="19">
        <f>(I80-Settings!$D$21)/Settings!$E$21</f>
        <v>0.49381282853192038</v>
      </c>
      <c r="R80" s="19">
        <f>(J80-Settings!$D$22)/Settings!$E$22</f>
        <v>1.0176283634488354</v>
      </c>
      <c r="S80" s="19">
        <f>(K80-Settings!$D$23)/Settings!$E$23</f>
        <v>1.1885785086193275</v>
      </c>
      <c r="T80" s="19">
        <f>(L80-Settings!$D$24)/Settings!$E$24</f>
        <v>2.0825880811263926</v>
      </c>
      <c r="U80" s="19">
        <f>(M80-Settings!$D$25)/Settings!$E$25</f>
        <v>-1.0329917926252672</v>
      </c>
      <c r="V80" s="31">
        <f>Settings!$B$18*(N80-F$6)^2</f>
        <v>6.7251450087739625E-3</v>
      </c>
      <c r="W80" s="31">
        <f>Settings!$B$19*(O80-G$6)^2</f>
        <v>0.10535372290619308</v>
      </c>
      <c r="X80" s="31">
        <f>Settings!$B$20*(P80-H$6)^2</f>
        <v>1.3104186903436217</v>
      </c>
      <c r="Y80" s="31">
        <f>Settings!$B$21*(Q80-I$6)^2</f>
        <v>0.36641748875148722</v>
      </c>
      <c r="Z80" s="31">
        <f>Settings!$B$22*(R80-J$6)^2</f>
        <v>0.14956254253555329</v>
      </c>
      <c r="AA80" s="31">
        <f>Settings!$B$23*(S80-K$6)^2</f>
        <v>0.29080449828121341</v>
      </c>
      <c r="AB80" s="31">
        <f>Settings!$B$24*(T80-L$6)^2</f>
        <v>0.30955006967823301</v>
      </c>
      <c r="AC80" s="31">
        <f>Settings!$B$25*(U80-M$6)^2</f>
        <v>0.72429784165162903</v>
      </c>
      <c r="AD80" s="19">
        <f t="shared" si="4"/>
        <v>1.8064135736748397</v>
      </c>
      <c r="AE80" s="15">
        <f t="shared" si="5"/>
        <v>0.71501124200165611</v>
      </c>
      <c r="AF80" s="33">
        <f t="shared" si="6"/>
        <v>0.77443578192086959</v>
      </c>
      <c r="AG80" s="47">
        <f t="shared" si="7"/>
        <v>3.3435489490481604E-3</v>
      </c>
      <c r="AH80" s="18">
        <v>-1.4003534922988079</v>
      </c>
      <c r="AI80" s="46">
        <v>0</v>
      </c>
      <c r="AJ80" s="18">
        <v>9.639397668326799E-2</v>
      </c>
      <c r="AK80" s="46">
        <v>0</v>
      </c>
      <c r="AL80" s="18">
        <v>-1.1386529769153479</v>
      </c>
      <c r="AM80" s="46">
        <v>0</v>
      </c>
      <c r="AN80" s="18">
        <v>-1.375003598114007</v>
      </c>
      <c r="AO80" s="46">
        <v>1</v>
      </c>
      <c r="AP80" s="18">
        <v>1.76436247421459</v>
      </c>
      <c r="AQ80" s="46">
        <v>1</v>
      </c>
    </row>
    <row r="81" spans="1:43" ht="20" customHeight="1" x14ac:dyDescent="0.45">
      <c r="A81" s="26">
        <v>71</v>
      </c>
      <c r="B81" s="16" t="s">
        <v>297</v>
      </c>
      <c r="C81" s="16" t="s">
        <v>216</v>
      </c>
      <c r="D81" s="46">
        <v>26</v>
      </c>
      <c r="E81" s="46">
        <v>1</v>
      </c>
      <c r="F81" s="13">
        <v>0.23300558164741511</v>
      </c>
      <c r="G81" s="13">
        <v>-0.13017454352507399</v>
      </c>
      <c r="H81" s="13">
        <v>4.4232915668862241E-2</v>
      </c>
      <c r="I81" s="13">
        <v>-1.212900904836193E-2</v>
      </c>
      <c r="J81" s="13">
        <v>0.58045795011028678</v>
      </c>
      <c r="K81" s="13">
        <v>17.737024608501141</v>
      </c>
      <c r="L81" s="13">
        <v>3.6614186202374679</v>
      </c>
      <c r="M81" s="13">
        <v>-1.817433813661695</v>
      </c>
      <c r="N81" s="19">
        <f>(F81-Settings!$D$18)/Settings!$E$18</f>
        <v>0.14560238366393996</v>
      </c>
      <c r="O81" s="19">
        <f>(G81-Settings!$D$19)/Settings!$E$19</f>
        <v>-0.51465275308812497</v>
      </c>
      <c r="P81" s="19">
        <f>(H81-Settings!$D$20)/Settings!$E$20</f>
        <v>-8.0583888906310186E-2</v>
      </c>
      <c r="Q81" s="19">
        <f>(I81-Settings!$D$21)/Settings!$E$21</f>
        <v>-0.11294503007267015</v>
      </c>
      <c r="R81" s="19">
        <f>(J81-Settings!$D$22)/Settings!$E$22</f>
        <v>0.89486713617927305</v>
      </c>
      <c r="S81" s="19">
        <f>(K81-Settings!$D$23)/Settings!$E$23</f>
        <v>0.86187657140948026</v>
      </c>
      <c r="T81" s="19">
        <f>(L81-Settings!$D$24)/Settings!$E$24</f>
        <v>1.6268617940029846</v>
      </c>
      <c r="U81" s="19">
        <f>(M81-Settings!$D$25)/Settings!$E$25</f>
        <v>-1.189727347592638</v>
      </c>
      <c r="V81" s="31">
        <f>Settings!$B$18*(N81-F$6)^2</f>
        <v>1.9547611939980448E-3</v>
      </c>
      <c r="W81" s="31">
        <f>Settings!$B$19*(O81-G$6)^2</f>
        <v>0.20754851503062463</v>
      </c>
      <c r="X81" s="31">
        <f>Settings!$B$20*(P81-H$6)^2</f>
        <v>1.097103268014503</v>
      </c>
      <c r="Y81" s="31">
        <f>Settings!$B$21*(Q81-I$6)^2</f>
        <v>0.11153857951764608</v>
      </c>
      <c r="Z81" s="31">
        <f>Settings!$B$22*(R81-J$6)^2</f>
        <v>0.11011292570102538</v>
      </c>
      <c r="AA81" s="31">
        <f>Settings!$B$23*(S81-K$6)^2</f>
        <v>0.74989513616145975</v>
      </c>
      <c r="AB81" s="31">
        <f>Settings!$B$24*(T81-L$6)^2</f>
        <v>1.0129607873059243E-2</v>
      </c>
      <c r="AC81" s="31">
        <f>Settings!$B$25*(U81-M$6)^2</f>
        <v>1.0156456259112656</v>
      </c>
      <c r="AD81" s="19">
        <f t="shared" si="4"/>
        <v>1.8176711527126082</v>
      </c>
      <c r="AE81" s="15">
        <f t="shared" si="5"/>
        <v>0.7194671958801202</v>
      </c>
      <c r="AF81" s="33">
        <f t="shared" si="6"/>
        <v>0.77196464782877283</v>
      </c>
      <c r="AG81" s="47">
        <f t="shared" si="7"/>
        <v>3.332880075024683E-3</v>
      </c>
      <c r="AH81" s="18">
        <v>0.77335511603058382</v>
      </c>
      <c r="AI81" s="46">
        <v>1</v>
      </c>
      <c r="AJ81" s="18">
        <v>8.3003473293232766E-2</v>
      </c>
      <c r="AK81" s="46">
        <v>1</v>
      </c>
      <c r="AL81" s="48"/>
      <c r="AM81" s="48"/>
      <c r="AN81" s="48"/>
      <c r="AO81" s="48"/>
      <c r="AP81" s="48"/>
      <c r="AQ81" s="48"/>
    </row>
    <row r="82" spans="1:43" ht="20" customHeight="1" x14ac:dyDescent="0.45">
      <c r="A82" s="26">
        <v>72</v>
      </c>
      <c r="B82" s="16" t="s">
        <v>298</v>
      </c>
      <c r="C82" s="16" t="s">
        <v>218</v>
      </c>
      <c r="D82" s="46">
        <v>26</v>
      </c>
      <c r="E82" s="46">
        <v>0</v>
      </c>
      <c r="F82" s="13">
        <v>0.43481031912177293</v>
      </c>
      <c r="G82" s="13">
        <v>-8.6611851368562469E-3</v>
      </c>
      <c r="H82" s="13">
        <v>0.15580252720177731</v>
      </c>
      <c r="I82" s="13">
        <v>-6.6186963819240348E-4</v>
      </c>
      <c r="J82" s="13">
        <v>0.40006409890140121</v>
      </c>
      <c r="K82" s="13">
        <v>21.224281609195369</v>
      </c>
      <c r="L82" s="13">
        <v>5.3585018790982453</v>
      </c>
      <c r="M82" s="13">
        <v>1.0988702038410849</v>
      </c>
      <c r="N82" s="19">
        <f>(F82-Settings!$D$18)/Settings!$E$18</f>
        <v>0.86784895891072955</v>
      </c>
      <c r="O82" s="19">
        <f>(G82-Settings!$D$19)/Settings!$E$19</f>
        <v>-8.4126144009070685E-3</v>
      </c>
      <c r="P82" s="19">
        <f>(H82-Settings!$D$20)/Settings!$E$20</f>
        <v>0.93025824621404551</v>
      </c>
      <c r="Q82" s="19">
        <f>(I82-Settings!$D$21)/Settings!$E$21</f>
        <v>2.8069909917019499E-2</v>
      </c>
      <c r="R82" s="19">
        <f>(J82-Settings!$D$22)/Settings!$E$22</f>
        <v>0.40950898645374406</v>
      </c>
      <c r="S82" s="19">
        <f>(K82-Settings!$D$23)/Settings!$E$23</f>
        <v>2.0729207165505774</v>
      </c>
      <c r="T82" s="19">
        <f>(L82-Settings!$D$24)/Settings!$E$24</f>
        <v>2.8001482785627756</v>
      </c>
      <c r="U82" s="19">
        <f>(M82-Settings!$D$25)/Settings!$E$25</f>
        <v>0.7770605621551826</v>
      </c>
      <c r="V82" s="31">
        <f>Settings!$B$18*(N82-F$6)^2</f>
        <v>0.13484404272976167</v>
      </c>
      <c r="W82" s="31">
        <f>Settings!$B$19*(O82-G$6)^2</f>
        <v>5.2522306063863003E-2</v>
      </c>
      <c r="X82" s="31">
        <f>Settings!$B$20*(P82-H$6)^2</f>
        <v>0.35445904181808574</v>
      </c>
      <c r="Y82" s="31">
        <f>Settings!$B$21*(Q82-I$6)^2</f>
        <v>0.15763895010815623</v>
      </c>
      <c r="Z82" s="31">
        <f>Settings!$B$22*(R82-J$6)^2</f>
        <v>1.3173051339766937E-2</v>
      </c>
      <c r="AA82" s="31">
        <f>Settings!$B$23*(S82-K$6)^2</f>
        <v>0.11907971406692146</v>
      </c>
      <c r="AB82" s="31">
        <f>Settings!$B$24*(T82-L$6)^2</f>
        <v>1.6229038556920954</v>
      </c>
      <c r="AC82" s="31">
        <f>Settings!$B$25*(U82-M$6)^2</f>
        <v>0.91967228835864068</v>
      </c>
      <c r="AD82" s="19">
        <f t="shared" si="4"/>
        <v>1.8369249440783615</v>
      </c>
      <c r="AE82" s="15">
        <f t="shared" si="5"/>
        <v>0.72708819556606819</v>
      </c>
      <c r="AF82" s="33">
        <f t="shared" si="6"/>
        <v>0.76772120806878952</v>
      </c>
      <c r="AG82" s="47">
        <f t="shared" si="7"/>
        <v>3.3145594487299502E-3</v>
      </c>
      <c r="AH82" s="18">
        <v>6.7987623147921283E-2</v>
      </c>
      <c r="AI82" s="46">
        <v>0</v>
      </c>
      <c r="AJ82" s="18">
        <v>-1.109273603793794</v>
      </c>
      <c r="AK82" s="46">
        <v>0</v>
      </c>
      <c r="AL82" s="18">
        <v>0.84541231309287124</v>
      </c>
      <c r="AM82" s="46">
        <v>0</v>
      </c>
      <c r="AN82" s="18">
        <v>-0.26095606447420039</v>
      </c>
      <c r="AO82" s="46">
        <v>0</v>
      </c>
      <c r="AP82" s="18">
        <v>-0.43766738181808318</v>
      </c>
      <c r="AQ82" s="46">
        <v>1</v>
      </c>
    </row>
    <row r="83" spans="1:43" ht="20" customHeight="1" x14ac:dyDescent="0.45">
      <c r="A83" s="26">
        <v>73</v>
      </c>
      <c r="B83" s="16" t="s">
        <v>299</v>
      </c>
      <c r="C83" s="16" t="s">
        <v>212</v>
      </c>
      <c r="D83" s="46">
        <v>26</v>
      </c>
      <c r="E83" s="46">
        <v>0</v>
      </c>
      <c r="F83" s="13">
        <v>0.23767431870585409</v>
      </c>
      <c r="G83" s="13">
        <v>0.2268307212883684</v>
      </c>
      <c r="H83" s="13">
        <v>0.35603775331458087</v>
      </c>
      <c r="I83" s="13">
        <v>1.4550477260575539E-2</v>
      </c>
      <c r="J83" s="13">
        <v>0.16490672943062101</v>
      </c>
      <c r="K83" s="13">
        <v>21.051789709172279</v>
      </c>
      <c r="L83" s="13">
        <v>2.0754735059229952</v>
      </c>
      <c r="M83" s="13">
        <v>-2.442169449996086</v>
      </c>
      <c r="N83" s="19">
        <f>(F83-Settings!$D$18)/Settings!$E$18</f>
        <v>0.16231150255473797</v>
      </c>
      <c r="O83" s="19">
        <f>(G83-Settings!$D$19)/Settings!$E$19</f>
        <v>0.97267668269140761</v>
      </c>
      <c r="P83" s="19">
        <f>(H83-Settings!$D$20)/Settings!$E$20</f>
        <v>2.744427899663632</v>
      </c>
      <c r="Q83" s="19">
        <f>(I83-Settings!$D$21)/Settings!$E$21</f>
        <v>0.21514081821431291</v>
      </c>
      <c r="R83" s="19">
        <f>(J83-Settings!$D$22)/Settings!$E$22</f>
        <v>-0.22319298745388189</v>
      </c>
      <c r="S83" s="19">
        <f>(K83-Settings!$D$23)/Settings!$E$23</f>
        <v>2.0130182471984073</v>
      </c>
      <c r="T83" s="19">
        <f>(L83-Settings!$D$24)/Settings!$E$24</f>
        <v>0.53041118784480168</v>
      </c>
      <c r="U83" s="19">
        <f>(M83-Settings!$D$25)/Settings!$E$25</f>
        <v>-1.6110560187314045</v>
      </c>
      <c r="V83" s="31">
        <f>Settings!$B$18*(N83-F$6)^2</f>
        <v>2.6713626391434136E-3</v>
      </c>
      <c r="W83" s="31">
        <f>Settings!$B$19*(O83-G$6)^2</f>
        <v>4.3923364223605897E-2</v>
      </c>
      <c r="X83" s="31">
        <f>Settings!$B$20*(P83-H$6)^2</f>
        <v>4.6637298118724795E-2</v>
      </c>
      <c r="Y83" s="31">
        <f>Settings!$B$21*(Q83-I$6)^2</f>
        <v>0.23107092509389093</v>
      </c>
      <c r="Z83" s="31">
        <f>Settings!$B$22*(R83-J$6)^2</f>
        <v>2.8284179609710709E-2</v>
      </c>
      <c r="AA83" s="31">
        <f>Settings!$B$23*(S83-K$6)^2</f>
        <v>8.1325817117548715E-2</v>
      </c>
      <c r="AB83" s="31">
        <f>Settings!$B$24*(T83-L$6)^2</f>
        <v>0.991626907075561</v>
      </c>
      <c r="AC83" s="31">
        <f>Settings!$B$25*(U83-M$6)^2</f>
        <v>2.0423871840385677</v>
      </c>
      <c r="AD83" s="19">
        <f t="shared" si="4"/>
        <v>1.8622371057190201</v>
      </c>
      <c r="AE83" s="15">
        <f t="shared" si="5"/>
        <v>0.7371072080426051</v>
      </c>
      <c r="AF83" s="33">
        <f t="shared" si="6"/>
        <v>0.76211065441224191</v>
      </c>
      <c r="AG83" s="47">
        <f t="shared" si="7"/>
        <v>3.2903364450673368E-3</v>
      </c>
      <c r="AH83" s="18">
        <v>0.28039221176950768</v>
      </c>
      <c r="AI83" s="46">
        <v>0</v>
      </c>
      <c r="AJ83" s="18">
        <v>2.0183810578706689</v>
      </c>
      <c r="AK83" s="46">
        <v>0</v>
      </c>
      <c r="AL83" s="18">
        <v>-0.25543035955309801</v>
      </c>
      <c r="AM83" s="46">
        <v>0</v>
      </c>
      <c r="AN83" s="18">
        <v>-1.356779033340447</v>
      </c>
      <c r="AO83" s="46">
        <v>0</v>
      </c>
      <c r="AP83" s="18">
        <v>-0.5341061355147172</v>
      </c>
      <c r="AQ83" s="46">
        <v>0</v>
      </c>
    </row>
    <row r="84" spans="1:43" ht="20" customHeight="1" x14ac:dyDescent="0.45">
      <c r="A84" s="26">
        <v>74</v>
      </c>
      <c r="B84" s="16" t="s">
        <v>300</v>
      </c>
      <c r="C84" s="16" t="s">
        <v>216</v>
      </c>
      <c r="D84" s="46">
        <v>26</v>
      </c>
      <c r="E84" s="46">
        <v>1</v>
      </c>
      <c r="F84" s="13">
        <v>0.3463625008393279</v>
      </c>
      <c r="G84" s="13">
        <v>-0.2153998782640735</v>
      </c>
      <c r="H84" s="13">
        <v>0.29340414947485521</v>
      </c>
      <c r="I84" s="13">
        <v>6.5257959704829619E-5</v>
      </c>
      <c r="J84" s="13">
        <v>0.14476821346203861</v>
      </c>
      <c r="K84" s="13">
        <v>17.871443089430851</v>
      </c>
      <c r="L84" s="13">
        <v>1.7418517590065901</v>
      </c>
      <c r="M84" s="13">
        <v>0.89252096852716001</v>
      </c>
      <c r="N84" s="19">
        <f>(F84-Settings!$D$18)/Settings!$E$18</f>
        <v>0.55129973096872786</v>
      </c>
      <c r="O84" s="19">
        <f>(G84-Settings!$D$19)/Settings!$E$19</f>
        <v>-0.86971236011581687</v>
      </c>
      <c r="P84" s="19">
        <f>(H84-Settings!$D$20)/Settings!$E$20</f>
        <v>2.1769554045483077</v>
      </c>
      <c r="Q84" s="19">
        <f>(I84-Settings!$D$21)/Settings!$E$21</f>
        <v>3.7011621612910502E-2</v>
      </c>
      <c r="R84" s="19">
        <f>(J84-Settings!$D$22)/Settings!$E$22</f>
        <v>-0.27737661280046311</v>
      </c>
      <c r="S84" s="19">
        <f>(K84-Settings!$D$23)/Settings!$E$23</f>
        <v>0.90855701804598543</v>
      </c>
      <c r="T84" s="19">
        <f>(L84-Settings!$D$24)/Settings!$E$24</f>
        <v>0.29976022563154636</v>
      </c>
      <c r="U84" s="19">
        <f>(M84-Settings!$D$25)/Settings!$E$25</f>
        <v>0.6378963396443007</v>
      </c>
      <c r="V84" s="31">
        <f>Settings!$B$18*(N84-F$6)^2</f>
        <v>5.0916140216270757E-2</v>
      </c>
      <c r="W84" s="31">
        <f>Settings!$B$19*(O84-G$6)^2</f>
        <v>0.37744117264553756</v>
      </c>
      <c r="X84" s="31">
        <f>Settings!$B$20*(P84-H$6)^2</f>
        <v>1.430708733400853E-3</v>
      </c>
      <c r="Y84" s="31">
        <f>Settings!$B$21*(Q84-I$6)^2</f>
        <v>0.16083033351310305</v>
      </c>
      <c r="Z84" s="31">
        <f>Settings!$B$22*(R84-J$6)^2</f>
        <v>3.7021863820383485E-2</v>
      </c>
      <c r="AA84" s="31">
        <f>Settings!$B$23*(S84-K$6)^2</f>
        <v>0.6712269475268029</v>
      </c>
      <c r="AB84" s="31">
        <f>Settings!$B$24*(T84-L$6)^2</f>
        <v>1.5041933762594564</v>
      </c>
      <c r="AC84" s="31">
        <f>Settings!$B$25*(U84-M$6)^2</f>
        <v>0.67212325459300504</v>
      </c>
      <c r="AD84" s="19">
        <f t="shared" si="4"/>
        <v>1.8641844858564722</v>
      </c>
      <c r="AE84" s="15">
        <f t="shared" si="5"/>
        <v>0.73787801640621609</v>
      </c>
      <c r="AF84" s="33">
        <f t="shared" si="6"/>
        <v>0.7616775439339829</v>
      </c>
      <c r="AG84" s="47">
        <f t="shared" si="7"/>
        <v>3.2884665339420879E-3</v>
      </c>
      <c r="AH84" s="18">
        <v>1.420414772319365</v>
      </c>
      <c r="AI84" s="46">
        <v>1</v>
      </c>
      <c r="AJ84" s="18">
        <v>0.80776552110619981</v>
      </c>
      <c r="AK84" s="46">
        <v>1</v>
      </c>
      <c r="AL84" s="48"/>
      <c r="AM84" s="48"/>
      <c r="AN84" s="48"/>
      <c r="AO84" s="48"/>
      <c r="AP84" s="48"/>
      <c r="AQ84" s="48"/>
    </row>
    <row r="85" spans="1:43" ht="20" customHeight="1" x14ac:dyDescent="0.45">
      <c r="A85" s="26">
        <v>75</v>
      </c>
      <c r="B85" s="16" t="s">
        <v>301</v>
      </c>
      <c r="C85" s="16" t="s">
        <v>210</v>
      </c>
      <c r="D85" s="46">
        <v>26</v>
      </c>
      <c r="E85" s="46">
        <v>0</v>
      </c>
      <c r="F85" s="13">
        <v>0.50136699124916284</v>
      </c>
      <c r="G85" s="13">
        <v>-0.23670954087402221</v>
      </c>
      <c r="H85" s="13">
        <v>0.123573749626105</v>
      </c>
      <c r="I85" s="13">
        <v>-8.9336089217181877E-2</v>
      </c>
      <c r="J85" s="13">
        <v>4.9013629033528149E-2</v>
      </c>
      <c r="K85" s="13">
        <v>20.630888888888869</v>
      </c>
      <c r="L85" s="13">
        <v>1.428463526254899</v>
      </c>
      <c r="M85" s="13">
        <v>0.13588228168823549</v>
      </c>
      <c r="N85" s="19">
        <f>(F85-Settings!$D$18)/Settings!$E$18</f>
        <v>1.1060511394216743</v>
      </c>
      <c r="O85" s="19">
        <f>(G85-Settings!$D$19)/Settings!$E$19</f>
        <v>-0.9584911305994106</v>
      </c>
      <c r="P85" s="19">
        <f>(H85-Settings!$D$20)/Settings!$E$20</f>
        <v>0.63825932384349948</v>
      </c>
      <c r="Q85" s="19">
        <f>(I85-Settings!$D$21)/Settings!$E$21</f>
        <v>-1.0623842395698493</v>
      </c>
      <c r="R85" s="19">
        <f>(J85-Settings!$D$22)/Settings!$E$22</f>
        <v>-0.53500883038720959</v>
      </c>
      <c r="S85" s="19">
        <f>(K85-Settings!$D$23)/Settings!$E$23</f>
        <v>1.866849073550513</v>
      </c>
      <c r="T85" s="19">
        <f>(L85-Settings!$D$24)/Settings!$E$24</f>
        <v>8.3097798500856329E-2</v>
      </c>
      <c r="U85" s="19">
        <f>(M85-Settings!$D$25)/Settings!$E$25</f>
        <v>0.12761078217469246</v>
      </c>
      <c r="V85" s="31">
        <f>Settings!$B$18*(N85-F$6)^2</f>
        <v>0.22442809316758319</v>
      </c>
      <c r="W85" s="31">
        <f>Settings!$B$19*(O85-G$6)^2</f>
        <v>0.42780165819334237</v>
      </c>
      <c r="X85" s="31">
        <f>Settings!$B$20*(P85-H$6)^2</f>
        <v>0.52700415349925278</v>
      </c>
      <c r="Y85" s="31">
        <f>Settings!$B$21*(Q85-I$6)^2</f>
        <v>8.2134710290105006E-3</v>
      </c>
      <c r="Z85" s="31">
        <f>Settings!$B$22*(R85-J$6)^2</f>
        <v>9.4634552544063666E-2</v>
      </c>
      <c r="AA85" s="31">
        <f>Settings!$B$23*(S85-K$6)^2</f>
        <v>1.9323124989904423E-2</v>
      </c>
      <c r="AB85" s="31">
        <f>Settings!$B$24*(T85-L$6)^2</f>
        <v>2.0825896843402201</v>
      </c>
      <c r="AC85" s="31">
        <f>Settings!$B$25*(U85-M$6)^2</f>
        <v>9.5818526746346736E-2</v>
      </c>
      <c r="AD85" s="19">
        <f t="shared" si="4"/>
        <v>1.8654257595813681</v>
      </c>
      <c r="AE85" s="15">
        <f t="shared" si="5"/>
        <v>0.73836933505031621</v>
      </c>
      <c r="AF85" s="33">
        <f t="shared" si="6"/>
        <v>0.76140136866525443</v>
      </c>
      <c r="AG85" s="47">
        <f t="shared" si="7"/>
        <v>3.2872741748710493E-3</v>
      </c>
      <c r="AH85" s="18">
        <v>0.33650208523408942</v>
      </c>
      <c r="AI85" s="46">
        <v>0</v>
      </c>
      <c r="AJ85" s="18">
        <v>-5.0314124636197111E-2</v>
      </c>
      <c r="AK85" s="46">
        <v>0</v>
      </c>
      <c r="AL85" s="18">
        <v>-0.95293336719345056</v>
      </c>
      <c r="AM85" s="46">
        <v>0</v>
      </c>
      <c r="AN85" s="18">
        <v>0.24634697794787749</v>
      </c>
      <c r="AO85" s="46">
        <v>0</v>
      </c>
      <c r="AP85" s="18">
        <v>0.34559441454827883</v>
      </c>
      <c r="AQ85" s="46">
        <v>0</v>
      </c>
    </row>
    <row r="86" spans="1:43" ht="20" customHeight="1" x14ac:dyDescent="0.45">
      <c r="A86" s="26">
        <v>76</v>
      </c>
      <c r="B86" s="16" t="s">
        <v>302</v>
      </c>
      <c r="C86" s="16" t="s">
        <v>236</v>
      </c>
      <c r="D86" s="46">
        <v>26</v>
      </c>
      <c r="E86" s="46">
        <v>0</v>
      </c>
      <c r="F86" s="13">
        <v>0.34107097439059869</v>
      </c>
      <c r="G86" s="13">
        <v>0.146880482748101</v>
      </c>
      <c r="H86" s="13">
        <v>6.3006127349215818E-2</v>
      </c>
      <c r="I86" s="13">
        <v>1.6713821471504419E-2</v>
      </c>
      <c r="J86" s="13">
        <v>0.43232859404057988</v>
      </c>
      <c r="K86" s="13">
        <v>15.886438923395399</v>
      </c>
      <c r="L86" s="13">
        <v>3.7134626169762011</v>
      </c>
      <c r="M86" s="13">
        <v>-0.40094982039106197</v>
      </c>
      <c r="N86" s="19">
        <f>(F86-Settings!$D$18)/Settings!$E$18</f>
        <v>0.53236168767374281</v>
      </c>
      <c r="O86" s="19">
        <f>(G86-Settings!$D$19)/Settings!$E$19</f>
        <v>0.63959379877182709</v>
      </c>
      <c r="P86" s="19">
        <f>(H86-Settings!$D$20)/Settings!$E$20</f>
        <v>8.9505018971947695E-2</v>
      </c>
      <c r="Q86" s="19">
        <f>(I86-Settings!$D$21)/Settings!$E$21</f>
        <v>0.24174412730207331</v>
      </c>
      <c r="R86" s="19">
        <f>(J86-Settings!$D$22)/Settings!$E$22</f>
        <v>0.49631812965700606</v>
      </c>
      <c r="S86" s="19">
        <f>(K86-Settings!$D$23)/Settings!$E$23</f>
        <v>0.21921072871905695</v>
      </c>
      <c r="T86" s="19">
        <f>(L86-Settings!$D$24)/Settings!$E$24</f>
        <v>1.6628426556709144</v>
      </c>
      <c r="U86" s="19">
        <f>(M86-Settings!$D$25)/Settings!$E$25</f>
        <v>-0.23443476643658623</v>
      </c>
      <c r="V86" s="31">
        <f>Settings!$B$18*(N86-F$6)^2</f>
        <v>4.7165719157587181E-2</v>
      </c>
      <c r="W86" s="31">
        <f>Settings!$B$19*(O86-G$6)^2</f>
        <v>3.6747628849602069E-3</v>
      </c>
      <c r="X86" s="31">
        <f>Settings!$B$20*(P86-H$6)^2</f>
        <v>0.94354200383859155</v>
      </c>
      <c r="Y86" s="31">
        <f>Settings!$B$21*(Q86-I$6)^2</f>
        <v>0.24265055692823784</v>
      </c>
      <c r="Z86" s="31">
        <f>Settings!$B$22*(R86-J$6)^2</f>
        <v>2.359177516766749E-2</v>
      </c>
      <c r="AA86" s="31">
        <f>Settings!$B$23*(S86-K$6)^2</f>
        <v>2.2759665925822081</v>
      </c>
      <c r="AB86" s="31">
        <f>Settings!$B$24*(T86-L$6)^2</f>
        <v>1.8666886510442578E-2</v>
      </c>
      <c r="AC86" s="31">
        <f>Settings!$B$25*(U86-M$6)^2</f>
        <v>2.756236417954817E-3</v>
      </c>
      <c r="AD86" s="19">
        <f t="shared" si="4"/>
        <v>1.8862700054572383</v>
      </c>
      <c r="AE86" s="15">
        <f t="shared" si="5"/>
        <v>0.74661986546565984</v>
      </c>
      <c r="AF86" s="33">
        <f t="shared" si="6"/>
        <v>0.75675130110131805</v>
      </c>
      <c r="AG86" s="47">
        <f t="shared" si="7"/>
        <v>3.2671979737458395E-3</v>
      </c>
      <c r="AH86" s="18">
        <v>-0.98625285280023078</v>
      </c>
      <c r="AI86" s="46">
        <v>1</v>
      </c>
      <c r="AJ86" s="18">
        <v>-0.37509183233325732</v>
      </c>
      <c r="AK86" s="46">
        <v>1</v>
      </c>
      <c r="AL86" s="18">
        <v>-0.7334800378245967</v>
      </c>
      <c r="AM86" s="46">
        <v>1</v>
      </c>
      <c r="AN86" s="18">
        <v>-1.1651434794749831</v>
      </c>
      <c r="AO86" s="46">
        <v>1</v>
      </c>
      <c r="AP86" s="18">
        <v>1.1638156725334039</v>
      </c>
      <c r="AQ86" s="46">
        <v>1</v>
      </c>
    </row>
    <row r="87" spans="1:43" ht="20" customHeight="1" x14ac:dyDescent="0.45">
      <c r="A87" s="26">
        <v>77</v>
      </c>
      <c r="B87" s="16" t="s">
        <v>303</v>
      </c>
      <c r="C87" s="16" t="s">
        <v>229</v>
      </c>
      <c r="D87" s="46">
        <v>26</v>
      </c>
      <c r="E87" s="46">
        <v>1</v>
      </c>
      <c r="F87" s="13">
        <v>0.2012387376474456</v>
      </c>
      <c r="G87" s="13">
        <v>-1.30766769123302E-2</v>
      </c>
      <c r="H87" s="13">
        <v>0.1735639242244375</v>
      </c>
      <c r="I87" s="13">
        <v>4.8771774018784367E-2</v>
      </c>
      <c r="J87" s="13">
        <v>0.56334888719700238</v>
      </c>
      <c r="K87" s="13">
        <v>17.217102396514179</v>
      </c>
      <c r="L87" s="13">
        <v>4.6049059896497351</v>
      </c>
      <c r="M87" s="13">
        <v>1.197070799787024</v>
      </c>
      <c r="N87" s="19">
        <f>(F87-Settings!$D$18)/Settings!$E$18</f>
        <v>3.1910829280622756E-2</v>
      </c>
      <c r="O87" s="19">
        <f>(G87-Settings!$D$19)/Settings!$E$19</f>
        <v>-2.6808115919733862E-2</v>
      </c>
      <c r="P87" s="19">
        <f>(H87-Settings!$D$20)/Settings!$E$20</f>
        <v>1.0911799187234941</v>
      </c>
      <c r="Q87" s="19">
        <f>(I87-Settings!$D$21)/Settings!$E$21</f>
        <v>0.63597062904303092</v>
      </c>
      <c r="R87" s="19">
        <f>(J87-Settings!$D$22)/Settings!$E$22</f>
        <v>0.84883439690639273</v>
      </c>
      <c r="S87" s="19">
        <f>(K87-Settings!$D$23)/Settings!$E$23</f>
        <v>0.6813195460367385</v>
      </c>
      <c r="T87" s="19">
        <f>(L87-Settings!$D$24)/Settings!$E$24</f>
        <v>2.279146219710761</v>
      </c>
      <c r="U87" s="19">
        <f>(M87-Settings!$D$25)/Settings!$E$25</f>
        <v>0.84328813777052902</v>
      </c>
      <c r="V87" s="31">
        <f>Settings!$B$18*(N87-F$6)^2</f>
        <v>4.3979808877150021E-5</v>
      </c>
      <c r="W87" s="31">
        <f>Settings!$B$19*(O87-G$6)^2</f>
        <v>5.636074172616639E-2</v>
      </c>
      <c r="X87" s="31">
        <f>Settings!$B$20*(P87-H$6)^2</f>
        <v>0.27394574855777337</v>
      </c>
      <c r="Y87" s="31">
        <f>Settings!$B$21*(Q87-I$6)^2</f>
        <v>0.44742611976694163</v>
      </c>
      <c r="Z87" s="31">
        <f>Settings!$B$22*(R87-J$6)^2</f>
        <v>9.6874203503497486E-2</v>
      </c>
      <c r="AA87" s="31">
        <f>Settings!$B$23*(S87-K$6)^2</f>
        <v>1.0952080534300326</v>
      </c>
      <c r="AB87" s="31">
        <f>Settings!$B$24*(T87-L$6)^2</f>
        <v>0.56690415531405525</v>
      </c>
      <c r="AC87" s="31">
        <f>Settings!$B$25*(U87-M$6)^2</f>
        <v>1.0510822685421448</v>
      </c>
      <c r="AD87" s="19">
        <f t="shared" si="4"/>
        <v>1.8941608354755646</v>
      </c>
      <c r="AE87" s="15">
        <f t="shared" si="5"/>
        <v>0.74974319904444242</v>
      </c>
      <c r="AF87" s="33">
        <f t="shared" si="6"/>
        <v>0.75498497374422413</v>
      </c>
      <c r="AG87" s="47">
        <f t="shared" si="7"/>
        <v>3.259572032232861E-3</v>
      </c>
      <c r="AH87" s="18">
        <v>0.21792695128377559</v>
      </c>
      <c r="AI87" s="46">
        <v>1</v>
      </c>
      <c r="AJ87" s="18">
        <v>-1.2461226719823879</v>
      </c>
      <c r="AK87" s="46">
        <v>1</v>
      </c>
      <c r="AL87" s="18">
        <v>-1.597501435998337</v>
      </c>
      <c r="AM87" s="46">
        <v>1</v>
      </c>
      <c r="AN87" s="48"/>
      <c r="AO87" s="48"/>
      <c r="AP87" s="48"/>
      <c r="AQ87" s="48"/>
    </row>
    <row r="88" spans="1:43" ht="20" customHeight="1" x14ac:dyDescent="0.45">
      <c r="A88" s="26">
        <v>78</v>
      </c>
      <c r="B88" s="16" t="s">
        <v>304</v>
      </c>
      <c r="C88" s="16" t="s">
        <v>212</v>
      </c>
      <c r="D88" s="46">
        <v>26</v>
      </c>
      <c r="E88" s="46">
        <v>0</v>
      </c>
      <c r="F88" s="13">
        <v>0.49280925704660378</v>
      </c>
      <c r="G88" s="13">
        <v>6.146196910397872E-2</v>
      </c>
      <c r="H88" s="13">
        <v>0.28685585696499871</v>
      </c>
      <c r="I88" s="13">
        <v>-4.7772964364539532E-2</v>
      </c>
      <c r="J88" s="13">
        <v>0.1110999525198792</v>
      </c>
      <c r="K88" s="13">
        <v>18.693028322440071</v>
      </c>
      <c r="L88" s="13">
        <v>2.4416319152653019</v>
      </c>
      <c r="M88" s="13">
        <v>2.0346989699212461</v>
      </c>
      <c r="N88" s="19">
        <f>(F88-Settings!$D$18)/Settings!$E$18</f>
        <v>1.0754235421857277</v>
      </c>
      <c r="O88" s="19">
        <f>(G88-Settings!$D$19)/Settings!$E$19</f>
        <v>0.28372938380352702</v>
      </c>
      <c r="P88" s="19">
        <f>(H88-Settings!$D$20)/Settings!$E$20</f>
        <v>2.1176266151843404</v>
      </c>
      <c r="Q88" s="19">
        <f>(I88-Settings!$D$21)/Settings!$E$21</f>
        <v>-0.55126971072043573</v>
      </c>
      <c r="R88" s="19">
        <f>(J88-Settings!$D$22)/Settings!$E$22</f>
        <v>-0.36796265398675981</v>
      </c>
      <c r="S88" s="19">
        <f>(K88-Settings!$D$23)/Settings!$E$23</f>
        <v>1.193874671999257</v>
      </c>
      <c r="T88" s="19">
        <f>(L88-Settings!$D$24)/Settings!$E$24</f>
        <v>0.78355652449589142</v>
      </c>
      <c r="U88" s="19">
        <f>(M88-Settings!$D$25)/Settings!$E$25</f>
        <v>1.4081939047950767</v>
      </c>
      <c r="V88" s="31">
        <f>Settings!$B$18*(N88-F$6)^2</f>
        <v>0.21163803896706257</v>
      </c>
      <c r="W88" s="31">
        <f>Settings!$B$19*(O88-G$6)^2</f>
        <v>9.7076844122020844E-3</v>
      </c>
      <c r="X88" s="31">
        <f>Settings!$B$20*(P88-H$6)^2</f>
        <v>4.141868734182221E-3</v>
      </c>
      <c r="Y88" s="31">
        <f>Settings!$B$21*(Q88-I$6)^2</f>
        <v>1.9029971844591667E-2</v>
      </c>
      <c r="Z88" s="31">
        <f>Settings!$B$22*(R88-J$6)^2</f>
        <v>5.4252645832003593E-2</v>
      </c>
      <c r="AA88" s="31">
        <f>Settings!$B$23*(S88-K$6)^2</f>
        <v>0.28512049855595112</v>
      </c>
      <c r="AB88" s="31">
        <f>Settings!$B$24*(T88-L$6)^2</f>
        <v>0.55154286026357779</v>
      </c>
      <c r="AC88" s="31">
        <f>Settings!$B$25*(U88-M$6)^2</f>
        <v>2.5285096024487248</v>
      </c>
      <c r="AD88" s="19">
        <f t="shared" si="4"/>
        <v>1.914142933810925</v>
      </c>
      <c r="AE88" s="15">
        <f t="shared" si="5"/>
        <v>0.7576524758328691</v>
      </c>
      <c r="AF88" s="33">
        <f t="shared" si="6"/>
        <v>0.75049774162940497</v>
      </c>
      <c r="AG88" s="47">
        <f t="shared" si="7"/>
        <v>3.2401988568555233E-3</v>
      </c>
      <c r="AH88" s="18">
        <v>-4.5137004125813902E-2</v>
      </c>
      <c r="AI88" s="46">
        <v>0</v>
      </c>
      <c r="AJ88" s="18">
        <v>0.21303433303881689</v>
      </c>
      <c r="AK88" s="46">
        <v>0</v>
      </c>
      <c r="AL88" s="18">
        <v>-0.17968514169403221</v>
      </c>
      <c r="AM88" s="46">
        <v>0</v>
      </c>
      <c r="AN88" s="18">
        <v>-1.276116811163027</v>
      </c>
      <c r="AO88" s="46">
        <v>0</v>
      </c>
      <c r="AP88" s="18">
        <v>0.98751932412942667</v>
      </c>
      <c r="AQ88" s="46">
        <v>0</v>
      </c>
    </row>
    <row r="89" spans="1:43" ht="20" customHeight="1" x14ac:dyDescent="0.45">
      <c r="A89" s="26">
        <v>79</v>
      </c>
      <c r="B89" s="16" t="s">
        <v>305</v>
      </c>
      <c r="C89" s="16" t="s">
        <v>258</v>
      </c>
      <c r="D89" s="46">
        <v>26</v>
      </c>
      <c r="E89" s="46">
        <v>0</v>
      </c>
      <c r="F89" s="13">
        <v>0.1924349361444293</v>
      </c>
      <c r="G89" s="13">
        <v>-0.20621301413159751</v>
      </c>
      <c r="H89" s="13">
        <v>0.1071739087690909</v>
      </c>
      <c r="I89" s="13">
        <v>4.9141610292414864E-4</v>
      </c>
      <c r="J89" s="13">
        <v>0.49368672485195808</v>
      </c>
      <c r="K89" s="13">
        <v>18.99313725490196</v>
      </c>
      <c r="L89" s="13">
        <v>2.0171058268430748</v>
      </c>
      <c r="M89" s="13">
        <v>1.3263755836041839</v>
      </c>
      <c r="N89" s="19">
        <f>(F89-Settings!$D$18)/Settings!$E$18</f>
        <v>4.0257251576857154E-4</v>
      </c>
      <c r="O89" s="19">
        <f>(G89-Settings!$D$19)/Settings!$E$19</f>
        <v>-0.83143871321629848</v>
      </c>
      <c r="P89" s="19">
        <f>(H89-Settings!$D$20)/Settings!$E$20</f>
        <v>0.48967361201956372</v>
      </c>
      <c r="Q89" s="19">
        <f>(I89-Settings!$D$21)/Settings!$E$21</f>
        <v>4.2252219362938333E-2</v>
      </c>
      <c r="R89" s="19">
        <f>(J89-Settings!$D$22)/Settings!$E$22</f>
        <v>0.6614050693817044</v>
      </c>
      <c r="S89" s="19">
        <f>(K89-Settings!$D$23)/Settings!$E$23</f>
        <v>1.298095601368719</v>
      </c>
      <c r="T89" s="19">
        <f>(L89-Settings!$D$24)/Settings!$E$24</f>
        <v>0.49005841867921301</v>
      </c>
      <c r="U89" s="19">
        <f>(M89-Settings!$D$25)/Settings!$E$25</f>
        <v>0.93049272410920392</v>
      </c>
      <c r="V89" s="31">
        <f>Settings!$B$18*(N89-F$6)^2</f>
        <v>4.2942815002341186E-4</v>
      </c>
      <c r="W89" s="31">
        <f>Settings!$B$19*(O89-G$6)^2</f>
        <v>0.35670268446782644</v>
      </c>
      <c r="X89" s="31">
        <f>Settings!$B$20*(P89-H$6)^2</f>
        <v>0.62789786725492369</v>
      </c>
      <c r="Y89" s="31">
        <f>Settings!$B$21*(Q89-I$6)^2</f>
        <v>0.16271561830258374</v>
      </c>
      <c r="Z89" s="31">
        <f>Settings!$B$22*(R89-J$6)^2</f>
        <v>5.1722252051763923E-2</v>
      </c>
      <c r="AA89" s="31">
        <f>Settings!$B$23*(S89-K$6)^2</f>
        <v>0.18468147715043573</v>
      </c>
      <c r="AB89" s="31">
        <f>Settings!$B$24*(T89-L$6)^2</f>
        <v>1.0736222036535858</v>
      </c>
      <c r="AC89" s="31">
        <f>Settings!$B$25*(U89-M$6)^2</f>
        <v>1.2374952095136218</v>
      </c>
      <c r="AD89" s="19">
        <f t="shared" si="4"/>
        <v>1.9223076602211115</v>
      </c>
      <c r="AE89" s="15">
        <f t="shared" si="5"/>
        <v>0.76088422256917998</v>
      </c>
      <c r="AF89" s="33">
        <f t="shared" si="6"/>
        <v>0.74865845554120858</v>
      </c>
      <c r="AG89" s="47">
        <f t="shared" si="7"/>
        <v>3.2322579233259098E-3</v>
      </c>
      <c r="AH89" s="18">
        <v>0.34961502000149203</v>
      </c>
      <c r="AI89" s="46">
        <v>0</v>
      </c>
      <c r="AJ89" s="18">
        <v>-0.80288683340167877</v>
      </c>
      <c r="AK89" s="46">
        <v>0</v>
      </c>
      <c r="AL89" s="18">
        <v>-0.52695577364034407</v>
      </c>
      <c r="AM89" s="46">
        <v>0</v>
      </c>
      <c r="AN89" s="18">
        <v>0.1206240434868175</v>
      </c>
      <c r="AO89" s="46">
        <v>0</v>
      </c>
      <c r="AP89" s="18">
        <v>-0.33561403594121181</v>
      </c>
      <c r="AQ89" s="46">
        <v>0</v>
      </c>
    </row>
    <row r="90" spans="1:43" ht="20" customHeight="1" x14ac:dyDescent="0.45">
      <c r="A90" s="26">
        <v>80</v>
      </c>
      <c r="B90" s="16" t="s">
        <v>306</v>
      </c>
      <c r="C90" s="16" t="s">
        <v>246</v>
      </c>
      <c r="D90" s="46">
        <v>26</v>
      </c>
      <c r="E90" s="46">
        <v>1</v>
      </c>
      <c r="F90" s="13">
        <v>0.6141584629159752</v>
      </c>
      <c r="G90" s="13">
        <v>0.1212807567625255</v>
      </c>
      <c r="H90" s="13">
        <v>-5.8676820657929757E-2</v>
      </c>
      <c r="I90" s="13">
        <v>3.8771356512036857E-2</v>
      </c>
      <c r="J90" s="13">
        <v>0.16711260315153281</v>
      </c>
      <c r="K90" s="13">
        <v>19.168495934959331</v>
      </c>
      <c r="L90" s="13">
        <v>2.6169507147210802</v>
      </c>
      <c r="M90" s="13">
        <v>0.38304313183970029</v>
      </c>
      <c r="N90" s="19">
        <f>(F90-Settings!$D$18)/Settings!$E$18</f>
        <v>1.5097247852831923</v>
      </c>
      <c r="O90" s="19">
        <f>(G90-Settings!$D$19)/Settings!$E$19</f>
        <v>0.53294207746980837</v>
      </c>
      <c r="P90" s="19">
        <f>(H90-Settings!$D$20)/Settings!$E$20</f>
        <v>-1.0129658893810347</v>
      </c>
      <c r="Q90" s="19">
        <f>(I90-Settings!$D$21)/Settings!$E$21</f>
        <v>0.51299241938289442</v>
      </c>
      <c r="R90" s="19">
        <f>(J90-Settings!$D$22)/Settings!$E$22</f>
        <v>-0.21725798035394375</v>
      </c>
      <c r="S90" s="19">
        <f>(K90-Settings!$D$23)/Settings!$E$23</f>
        <v>1.3589936374873284</v>
      </c>
      <c r="T90" s="19">
        <f>(L90-Settings!$D$24)/Settings!$E$24</f>
        <v>0.90476400021443426</v>
      </c>
      <c r="U90" s="19">
        <f>(M90-Settings!$D$25)/Settings!$E$25</f>
        <v>0.29429881227148275</v>
      </c>
      <c r="V90" s="31">
        <f>Settings!$B$18*(N90-F$6)^2</f>
        <v>0.42806500017744425</v>
      </c>
      <c r="W90" s="31">
        <f>Settings!$B$19*(O90-G$6)^2</f>
        <v>1.6702261079779452E-4</v>
      </c>
      <c r="X90" s="31">
        <f>Settings!$B$20*(P90-H$6)^2</f>
        <v>2.1444699427305016</v>
      </c>
      <c r="Y90" s="31">
        <f>Settings!$B$21*(Q90-I$6)^2</f>
        <v>0.37687524538146655</v>
      </c>
      <c r="Z90" s="31">
        <f>Settings!$B$22*(R90-J$6)^2</f>
        <v>2.7398457675499133E-2</v>
      </c>
      <c r="AA90" s="31">
        <f>Settings!$B$23*(S90-K$6)^2</f>
        <v>0.13604869397662633</v>
      </c>
      <c r="AB90" s="31">
        <f>Settings!$B$24*(T90-L$6)^2</f>
        <v>0.38620239030968634</v>
      </c>
      <c r="AC90" s="31">
        <f>Settings!$B$25*(U90-M$6)^2</f>
        <v>0.2267985446935675</v>
      </c>
      <c r="AD90" s="19">
        <f t="shared" si="4"/>
        <v>1.9302915058497225</v>
      </c>
      <c r="AE90" s="15">
        <f t="shared" si="5"/>
        <v>0.76404437341284837</v>
      </c>
      <c r="AF90" s="33">
        <f t="shared" si="6"/>
        <v>0.74685673284868292</v>
      </c>
      <c r="AG90" s="47">
        <f t="shared" si="7"/>
        <v>3.2244791659961172E-3</v>
      </c>
      <c r="AH90" s="18">
        <v>0.79993857085692932</v>
      </c>
      <c r="AI90" s="46">
        <v>1</v>
      </c>
      <c r="AJ90" s="48"/>
      <c r="AK90" s="48"/>
      <c r="AL90" s="48"/>
      <c r="AM90" s="48"/>
      <c r="AN90" s="48"/>
      <c r="AO90" s="48"/>
      <c r="AP90" s="48"/>
      <c r="AQ90" s="48"/>
    </row>
    <row r="91" spans="1:43" ht="20" customHeight="1" x14ac:dyDescent="0.45">
      <c r="A91" s="26">
        <v>81</v>
      </c>
      <c r="B91" s="16" t="s">
        <v>307</v>
      </c>
      <c r="C91" s="16" t="s">
        <v>214</v>
      </c>
      <c r="D91" s="46">
        <v>26</v>
      </c>
      <c r="E91" s="46">
        <v>1</v>
      </c>
      <c r="F91" s="13">
        <v>8.1072620171771276E-2</v>
      </c>
      <c r="G91" s="13">
        <v>9.1543132449931633E-2</v>
      </c>
      <c r="H91" s="13">
        <v>3.3294994193721172E-2</v>
      </c>
      <c r="I91" s="13">
        <v>1.7310991690138321E-3</v>
      </c>
      <c r="J91" s="13">
        <v>0.79235815401556209</v>
      </c>
      <c r="K91" s="13">
        <v>16.600666666666669</v>
      </c>
      <c r="L91" s="13">
        <v>2.6115687068710001</v>
      </c>
      <c r="M91" s="13">
        <v>-0.46192103107493437</v>
      </c>
      <c r="N91" s="19">
        <f>(F91-Settings!$D$18)/Settings!$E$18</f>
        <v>-0.39815621420757596</v>
      </c>
      <c r="O91" s="19">
        <f>(G91-Settings!$D$19)/Settings!$E$19</f>
        <v>0.40905134433626</v>
      </c>
      <c r="P91" s="19">
        <f>(H91-Settings!$D$20)/Settings!$E$20</f>
        <v>-0.17968356081337347</v>
      </c>
      <c r="Q91" s="19">
        <f>(I91-Settings!$D$21)/Settings!$E$21</f>
        <v>5.7496983285127951E-2</v>
      </c>
      <c r="R91" s="19">
        <f>(J91-Settings!$D$22)/Settings!$E$22</f>
        <v>1.4649946111719507</v>
      </c>
      <c r="S91" s="19">
        <f>(K91-Settings!$D$23)/Settings!$E$23</f>
        <v>0.46724559584064185</v>
      </c>
      <c r="T91" s="19">
        <f>(L91-Settings!$D$24)/Settings!$E$24</f>
        <v>0.90104312380054952</v>
      </c>
      <c r="U91" s="19">
        <f>(M91-Settings!$D$25)/Settings!$E$25</f>
        <v>-0.27555442998881502</v>
      </c>
      <c r="V91" s="31">
        <f>Settings!$B$18*(N91-F$6)^2</f>
        <v>3.9586496722535836E-2</v>
      </c>
      <c r="W91" s="31">
        <f>Settings!$B$19*(O91-G$6)^2</f>
        <v>1.8047116085765443E-3</v>
      </c>
      <c r="X91" s="31">
        <f>Settings!$B$20*(P91-H$6)^2</f>
        <v>1.1919086638907423</v>
      </c>
      <c r="Y91" s="31">
        <f>Settings!$B$21*(Q91-I$6)^2</f>
        <v>0.16826232211419745</v>
      </c>
      <c r="Z91" s="31">
        <f>Settings!$B$22*(R91-J$6)^2</f>
        <v>0.34433592441150745</v>
      </c>
      <c r="AA91" s="31">
        <f>Settings!$B$23*(S91-K$6)^2</f>
        <v>1.5891018568783115</v>
      </c>
      <c r="AB91" s="31">
        <f>Settings!$B$24*(T91-L$6)^2</f>
        <v>0.3908409262238271</v>
      </c>
      <c r="AC91" s="31">
        <f>Settings!$B$25*(U91-M$6)^2</f>
        <v>8.7646171836860704E-3</v>
      </c>
      <c r="AD91" s="19">
        <f t="shared" si="4"/>
        <v>1.9325127474439552</v>
      </c>
      <c r="AE91" s="15">
        <f t="shared" si="5"/>
        <v>0.76492358110604952</v>
      </c>
      <c r="AF91" s="33">
        <f t="shared" si="6"/>
        <v>0.74635490908612767</v>
      </c>
      <c r="AG91" s="47">
        <f t="shared" si="7"/>
        <v>3.2223125921457493E-3</v>
      </c>
      <c r="AH91" s="48"/>
      <c r="AI91" s="48"/>
      <c r="AJ91" s="48"/>
      <c r="AK91" s="48"/>
      <c r="AL91" s="48"/>
      <c r="AM91" s="48"/>
      <c r="AN91" s="48"/>
      <c r="AO91" s="48"/>
      <c r="AP91" s="48"/>
      <c r="AQ91" s="48"/>
    </row>
    <row r="92" spans="1:43" ht="20" customHeight="1" x14ac:dyDescent="0.45">
      <c r="A92" s="26">
        <v>82</v>
      </c>
      <c r="B92" s="16" t="s">
        <v>308</v>
      </c>
      <c r="C92" s="16" t="s">
        <v>271</v>
      </c>
      <c r="D92" s="46">
        <v>26</v>
      </c>
      <c r="E92" s="46">
        <v>1</v>
      </c>
      <c r="F92" s="13">
        <v>0.63537292815923385</v>
      </c>
      <c r="G92" s="13">
        <v>-1.2699560247772261E-3</v>
      </c>
      <c r="H92" s="13">
        <v>0.1061049591250183</v>
      </c>
      <c r="I92" s="13">
        <v>-3.7904481123109679E-3</v>
      </c>
      <c r="J92" s="13">
        <v>0.25346170857865957</v>
      </c>
      <c r="K92" s="13">
        <v>15.76737804878049</v>
      </c>
      <c r="L92" s="13">
        <v>3.2140583546443748</v>
      </c>
      <c r="M92" s="13">
        <v>-0.17160260984707021</v>
      </c>
      <c r="N92" s="19">
        <f>(F92-Settings!$D$18)/Settings!$E$18</f>
        <v>1.5856500339140998</v>
      </c>
      <c r="O92" s="19">
        <f>(G92-Settings!$D$19)/Settings!$E$19</f>
        <v>2.2380188138658774E-2</v>
      </c>
      <c r="P92" s="19">
        <f>(H92-Settings!$D$20)/Settings!$E$20</f>
        <v>0.47998872268720544</v>
      </c>
      <c r="Q92" s="19">
        <f>(I92-Settings!$D$21)/Settings!$E$21</f>
        <v>-1.040318175827757E-2</v>
      </c>
      <c r="R92" s="19">
        <f>(J92-Settings!$D$22)/Settings!$E$22</f>
        <v>1.5068353164127538E-2</v>
      </c>
      <c r="S92" s="19">
        <f>(K92-Settings!$D$23)/Settings!$E$23</f>
        <v>0.17786362551184851</v>
      </c>
      <c r="T92" s="19">
        <f>(L92-Settings!$D$24)/Settings!$E$24</f>
        <v>1.3175771725155281</v>
      </c>
      <c r="U92" s="19">
        <f>(M92-Settings!$D$25)/Settings!$E$25</f>
        <v>-7.976045329053548E-2</v>
      </c>
      <c r="V92" s="31">
        <f>Settings!$B$18*(N92-F$6)^2</f>
        <v>0.47364892766582128</v>
      </c>
      <c r="W92" s="31">
        <f>Settings!$B$19*(O92-G$6)^2</f>
        <v>4.639995828691601E-2</v>
      </c>
      <c r="X92" s="31">
        <f>Settings!$B$20*(P92-H$6)^2</f>
        <v>0.63478073549045677</v>
      </c>
      <c r="Y92" s="31">
        <f>Settings!$B$21*(Q92-I$6)^2</f>
        <v>0.14427237032210391</v>
      </c>
      <c r="Z92" s="31">
        <f>Settings!$B$22*(R92-J$6)^2</f>
        <v>3.7976775758635888E-3</v>
      </c>
      <c r="AA92" s="31">
        <f>Settings!$B$23*(S92-K$6)^2</f>
        <v>2.40243119413342</v>
      </c>
      <c r="AB92" s="31">
        <f>Settings!$B$24*(T92-L$6)^2</f>
        <v>4.3530093951358761E-2</v>
      </c>
      <c r="AC92" s="31">
        <f>Settings!$B$25*(U92-M$6)^2</f>
        <v>1.0439616699985825E-2</v>
      </c>
      <c r="AD92" s="19">
        <f t="shared" si="4"/>
        <v>1.9388915839019794</v>
      </c>
      <c r="AE92" s="15">
        <f t="shared" si="5"/>
        <v>0.76744844022183822</v>
      </c>
      <c r="AF92" s="33">
        <f t="shared" si="6"/>
        <v>0.74491247241238412</v>
      </c>
      <c r="AG92" s="47">
        <f t="shared" si="7"/>
        <v>3.2160850162289943E-3</v>
      </c>
      <c r="AH92" s="18">
        <v>-0.65333441490445576</v>
      </c>
      <c r="AI92" s="46">
        <v>1</v>
      </c>
      <c r="AJ92" s="18">
        <v>0.32451948479652287</v>
      </c>
      <c r="AK92" s="46">
        <v>1</v>
      </c>
      <c r="AL92" s="18">
        <v>-1.3830184295328991</v>
      </c>
      <c r="AM92" s="46">
        <v>1</v>
      </c>
      <c r="AN92" s="18">
        <v>-1.8360605104093679</v>
      </c>
      <c r="AO92" s="46">
        <v>1</v>
      </c>
      <c r="AP92" s="18">
        <v>1.007705810671087</v>
      </c>
      <c r="AQ92" s="46">
        <v>1</v>
      </c>
    </row>
    <row r="93" spans="1:43" ht="20" customHeight="1" x14ac:dyDescent="0.45">
      <c r="A93" s="26">
        <v>83</v>
      </c>
      <c r="B93" s="16" t="s">
        <v>309</v>
      </c>
      <c r="C93" s="16" t="s">
        <v>236</v>
      </c>
      <c r="D93" s="46">
        <v>26</v>
      </c>
      <c r="E93" s="46">
        <v>0</v>
      </c>
      <c r="F93" s="13">
        <v>0.32621378139376811</v>
      </c>
      <c r="G93" s="13">
        <v>0.15183618458315981</v>
      </c>
      <c r="H93" s="13">
        <v>8.6689130550817325E-2</v>
      </c>
      <c r="I93" s="13">
        <v>-1.6054932591374109E-5</v>
      </c>
      <c r="J93" s="13">
        <v>0.43524484853966322</v>
      </c>
      <c r="K93" s="13">
        <v>16.016791979949851</v>
      </c>
      <c r="L93" s="13">
        <v>2.331400956995866</v>
      </c>
      <c r="M93" s="13">
        <v>-0.25641183151285318</v>
      </c>
      <c r="N93" s="19">
        <f>(F93-Settings!$D$18)/Settings!$E$18</f>
        <v>0.47918872011095232</v>
      </c>
      <c r="O93" s="19">
        <f>(G93-Settings!$D$19)/Settings!$E$19</f>
        <v>0.6602398842520546</v>
      </c>
      <c r="P93" s="19">
        <f>(H93-Settings!$D$20)/Settings!$E$20</f>
        <v>0.30407758217663733</v>
      </c>
      <c r="Q93" s="19">
        <f>(I93-Settings!$D$21)/Settings!$E$21</f>
        <v>3.6011691968960383E-2</v>
      </c>
      <c r="R93" s="19">
        <f>(J93-Settings!$D$22)/Settings!$E$22</f>
        <v>0.50416444968575724</v>
      </c>
      <c r="S93" s="19">
        <f>(K93-Settings!$D$23)/Settings!$E$23</f>
        <v>0.26447934697979536</v>
      </c>
      <c r="T93" s="19">
        <f>(L93-Settings!$D$24)/Settings!$E$24</f>
        <v>0.70734783358910458</v>
      </c>
      <c r="U93" s="19">
        <f>(M93-Settings!$D$25)/Settings!$E$25</f>
        <v>-0.13695673694487703</v>
      </c>
      <c r="V93" s="31">
        <f>Settings!$B$18*(N93-F$6)^2</f>
        <v>3.7402409782824504E-2</v>
      </c>
      <c r="W93" s="31">
        <f>Settings!$B$19*(O93-G$6)^2</f>
        <v>4.8794461720909257E-3</v>
      </c>
      <c r="X93" s="31">
        <f>Settings!$B$20*(P93-H$6)^2</f>
        <v>0.76632714802388868</v>
      </c>
      <c r="Y93" s="31">
        <f>Settings!$B$21*(Q93-I$6)^2</f>
        <v>0.16047186070535854</v>
      </c>
      <c r="Z93" s="31">
        <f>Settings!$B$22*(R93-J$6)^2</f>
        <v>2.4682020008105803E-2</v>
      </c>
      <c r="AA93" s="31">
        <f>Settings!$B$23*(S93-K$6)^2</f>
        <v>2.1414285857639692</v>
      </c>
      <c r="AB93" s="31">
        <f>Settings!$B$24*(T93-L$6)^2</f>
        <v>0.67054481342130956</v>
      </c>
      <c r="AC93" s="31">
        <f>Settings!$B$25*(U93-M$6)^2</f>
        <v>2.0230347730572492E-3</v>
      </c>
      <c r="AD93" s="19">
        <f t="shared" si="4"/>
        <v>1.9513480772662279</v>
      </c>
      <c r="AE93" s="15">
        <f t="shared" si="5"/>
        <v>0.77237894612655078</v>
      </c>
      <c r="AF93" s="33">
        <f t="shared" si="6"/>
        <v>0.74209009733248255</v>
      </c>
      <c r="AG93" s="47">
        <f t="shared" si="7"/>
        <v>3.2038996944082254E-3</v>
      </c>
      <c r="AH93" s="18">
        <v>0.1388192133085728</v>
      </c>
      <c r="AI93" s="46">
        <v>1</v>
      </c>
      <c r="AJ93" s="18">
        <v>-0.1298101616616805</v>
      </c>
      <c r="AK93" s="46">
        <v>1</v>
      </c>
      <c r="AL93" s="18">
        <v>0.31577573773325618</v>
      </c>
      <c r="AM93" s="46">
        <v>1</v>
      </c>
      <c r="AN93" s="18">
        <v>1.9174943452392439</v>
      </c>
      <c r="AO93" s="46">
        <v>1</v>
      </c>
      <c r="AP93" s="18">
        <v>-0.22454855144001321</v>
      </c>
      <c r="AQ93" s="46">
        <v>1</v>
      </c>
    </row>
    <row r="94" spans="1:43" ht="20" customHeight="1" x14ac:dyDescent="0.45">
      <c r="A94" s="26">
        <v>84</v>
      </c>
      <c r="B94" s="16" t="s">
        <v>310</v>
      </c>
      <c r="C94" s="16" t="s">
        <v>271</v>
      </c>
      <c r="D94" s="46">
        <v>26</v>
      </c>
      <c r="E94" s="46">
        <v>1</v>
      </c>
      <c r="F94" s="13">
        <v>0.36217547402938982</v>
      </c>
      <c r="G94" s="13">
        <v>0.1243876435421646</v>
      </c>
      <c r="H94" s="13">
        <v>0.1903350591365254</v>
      </c>
      <c r="I94" s="13">
        <v>2.3802307108674588E-2</v>
      </c>
      <c r="J94" s="13">
        <v>0.29929951618324557</v>
      </c>
      <c r="K94" s="13">
        <v>21.026748971193459</v>
      </c>
      <c r="L94" s="13">
        <v>3.6886337829465612</v>
      </c>
      <c r="M94" s="13">
        <v>2.3302024368110019</v>
      </c>
      <c r="N94" s="19">
        <f>(F94-Settings!$D$18)/Settings!$E$18</f>
        <v>0.60789337626133499</v>
      </c>
      <c r="O94" s="19">
        <f>(G94-Settings!$D$19)/Settings!$E$19</f>
        <v>0.54588576378604858</v>
      </c>
      <c r="P94" s="19">
        <f>(H94-Settings!$D$20)/Settings!$E$20</f>
        <v>1.243129626085566</v>
      </c>
      <c r="Q94" s="19">
        <f>(I94-Settings!$D$21)/Settings!$E$21</f>
        <v>0.32891341521156348</v>
      </c>
      <c r="R94" s="19">
        <f>(J94-Settings!$D$22)/Settings!$E$22</f>
        <v>0.13839713259505748</v>
      </c>
      <c r="S94" s="19">
        <f>(K94-Settings!$D$23)/Settings!$E$23</f>
        <v>2.0043221748661342</v>
      </c>
      <c r="T94" s="19">
        <f>(L94-Settings!$D$24)/Settings!$E$24</f>
        <v>1.6456771246091624</v>
      </c>
      <c r="U94" s="19">
        <f>(M94-Settings!$D$25)/Settings!$E$25</f>
        <v>1.6074847340361962</v>
      </c>
      <c r="V94" s="31">
        <f>Settings!$B$18*(N94-F$6)^2</f>
        <v>6.2978662145848005E-2</v>
      </c>
      <c r="W94" s="31">
        <f>Settings!$B$19*(O94-G$6)^2</f>
        <v>3.5015074344693089E-4</v>
      </c>
      <c r="X94" s="31">
        <f>Settings!$B$20*(P94-H$6)^2</f>
        <v>0.2074295054615885</v>
      </c>
      <c r="Y94" s="31">
        <f>Settings!$B$21*(Q94-I$6)^2</f>
        <v>0.28257625921714502</v>
      </c>
      <c r="Z94" s="31">
        <f>Settings!$B$22*(R94-J$6)^2</f>
        <v>4.1873749442004871E-5</v>
      </c>
      <c r="AA94" s="31">
        <f>Settings!$B$23*(S94-K$6)^2</f>
        <v>7.6441602330338504E-2</v>
      </c>
      <c r="AB94" s="31">
        <f>Settings!$B$24*(T94-L$6)^2</f>
        <v>1.4270998301940766E-2</v>
      </c>
      <c r="AC94" s="31">
        <f>Settings!$B$25*(U94-M$6)^2</f>
        <v>3.2020226116057349</v>
      </c>
      <c r="AD94" s="19">
        <f t="shared" si="4"/>
        <v>1.9611505968577438</v>
      </c>
      <c r="AE94" s="15">
        <f t="shared" si="5"/>
        <v>0.77625896109655401</v>
      </c>
      <c r="AF94" s="33">
        <f t="shared" si="6"/>
        <v>0.7398639305391026</v>
      </c>
      <c r="AG94" s="47">
        <f t="shared" si="7"/>
        <v>3.1942884421699192E-3</v>
      </c>
      <c r="AH94" s="18">
        <v>-0.17025029112067711</v>
      </c>
      <c r="AI94" s="46">
        <v>1</v>
      </c>
      <c r="AJ94" s="18">
        <v>-0.53063354694290066</v>
      </c>
      <c r="AK94" s="46">
        <v>1</v>
      </c>
      <c r="AL94" s="18">
        <v>-0.85960993935403796</v>
      </c>
      <c r="AM94" s="46">
        <v>1</v>
      </c>
      <c r="AN94" s="48"/>
      <c r="AO94" s="48"/>
      <c r="AP94" s="48"/>
      <c r="AQ94" s="48"/>
    </row>
    <row r="95" spans="1:43" ht="20" customHeight="1" x14ac:dyDescent="0.45">
      <c r="A95" s="26">
        <v>85</v>
      </c>
      <c r="B95" s="16" t="s">
        <v>311</v>
      </c>
      <c r="C95" s="16" t="s">
        <v>224</v>
      </c>
      <c r="D95" s="46">
        <v>26</v>
      </c>
      <c r="E95" s="46">
        <v>0</v>
      </c>
      <c r="F95" s="13">
        <v>0.35872670943015122</v>
      </c>
      <c r="G95" s="13">
        <v>0.12999246361574601</v>
      </c>
      <c r="H95" s="13">
        <v>-1.498607331193562E-2</v>
      </c>
      <c r="I95" s="13">
        <v>-7.3560057514688554E-2</v>
      </c>
      <c r="J95" s="13">
        <v>0.42273469612747872</v>
      </c>
      <c r="K95" s="13">
        <v>17.305797101449311</v>
      </c>
      <c r="L95" s="13">
        <v>2.0534010804222791</v>
      </c>
      <c r="M95" s="13">
        <v>3.9116890857598292E-2</v>
      </c>
      <c r="N95" s="19">
        <f>(F95-Settings!$D$18)/Settings!$E$18</f>
        <v>0.59555046275094758</v>
      </c>
      <c r="O95" s="19">
        <f>(G95-Settings!$D$19)/Settings!$E$19</f>
        <v>0.56923615858216414</v>
      </c>
      <c r="P95" s="19">
        <f>(H95-Settings!$D$20)/Settings!$E$20</f>
        <v>-0.61711931677555953</v>
      </c>
      <c r="Q95" s="19">
        <f>(I95-Settings!$D$21)/Settings!$E$21</f>
        <v>-0.86838152588263073</v>
      </c>
      <c r="R95" s="19">
        <f>(J95-Settings!$D$22)/Settings!$E$22</f>
        <v>0.47050529563548238</v>
      </c>
      <c r="S95" s="19">
        <f>(K95-Settings!$D$23)/Settings!$E$23</f>
        <v>0.7121211769734106</v>
      </c>
      <c r="T95" s="19">
        <f>(L95-Settings!$D$24)/Settings!$E$24</f>
        <v>0.51515131277018245</v>
      </c>
      <c r="U95" s="19">
        <f>(M95-Settings!$D$25)/Settings!$E$25</f>
        <v>6.2351124873706545E-2</v>
      </c>
      <c r="V95" s="31">
        <f>Settings!$B$18*(N95-F$6)^2</f>
        <v>6.0238623737330604E-2</v>
      </c>
      <c r="W95" s="31">
        <f>Settings!$B$19*(O95-G$6)^2</f>
        <v>8.5000990256764095E-4</v>
      </c>
      <c r="X95" s="31">
        <f>Settings!$B$20*(P95-H$6)^2</f>
        <v>1.6573290167081067</v>
      </c>
      <c r="Y95" s="31">
        <f>Settings!$B$21*(Q95-I$6)^2</f>
        <v>1.495795110610317E-5</v>
      </c>
      <c r="Z95" s="31">
        <f>Settings!$B$22*(R95-J$6)^2</f>
        <v>2.0178853879135379E-2</v>
      </c>
      <c r="AA95" s="31">
        <f>Settings!$B$23*(S95-K$6)^2</f>
        <v>1.0316876322298323</v>
      </c>
      <c r="AB95" s="31">
        <f>Settings!$B$24*(T95-L$6)^2</f>
        <v>1.0222514800719946</v>
      </c>
      <c r="AC95" s="31">
        <f>Settings!$B$25*(U95-M$6)^2</f>
        <v>5.9675659891492344E-2</v>
      </c>
      <c r="AD95" s="19">
        <f t="shared" si="4"/>
        <v>1.9627089020971924</v>
      </c>
      <c r="AE95" s="15">
        <f t="shared" si="5"/>
        <v>0.77687576656176605</v>
      </c>
      <c r="AF95" s="33">
        <f t="shared" si="6"/>
        <v>0.73950962724032243</v>
      </c>
      <c r="AG95" s="47">
        <f t="shared" si="7"/>
        <v>3.1927587731516017E-3</v>
      </c>
      <c r="AH95" s="18">
        <v>-0.71132269615233978</v>
      </c>
      <c r="AI95" s="46">
        <v>0</v>
      </c>
      <c r="AJ95" s="18">
        <v>0.1457467645444277</v>
      </c>
      <c r="AK95" s="46">
        <v>1</v>
      </c>
      <c r="AL95" s="18">
        <v>1.1698345530585601</v>
      </c>
      <c r="AM95" s="46">
        <v>1</v>
      </c>
      <c r="AN95" s="18">
        <v>-0.97633231905197926</v>
      </c>
      <c r="AO95" s="46">
        <v>1</v>
      </c>
      <c r="AP95" s="18">
        <v>-1.9212485984453329</v>
      </c>
      <c r="AQ95" s="46">
        <v>1</v>
      </c>
    </row>
    <row r="96" spans="1:43" ht="20" customHeight="1" x14ac:dyDescent="0.45">
      <c r="A96" s="26">
        <v>86</v>
      </c>
      <c r="B96" s="16" t="s">
        <v>312</v>
      </c>
      <c r="C96" s="16" t="s">
        <v>224</v>
      </c>
      <c r="D96" s="46">
        <v>26</v>
      </c>
      <c r="E96" s="46">
        <v>0</v>
      </c>
      <c r="F96" s="13">
        <v>0.1859665968562754</v>
      </c>
      <c r="G96" s="13">
        <v>-0.1675503089279626</v>
      </c>
      <c r="H96" s="13">
        <v>0.1269937203346681</v>
      </c>
      <c r="I96" s="13">
        <v>-3.0661640202673712E-2</v>
      </c>
      <c r="J96" s="13">
        <v>0.48882773367842008</v>
      </c>
      <c r="K96" s="13">
        <v>17.429259259259261</v>
      </c>
      <c r="L96" s="13">
        <v>1.5334643686562981</v>
      </c>
      <c r="M96" s="13">
        <v>0.29279461754582448</v>
      </c>
      <c r="N96" s="19">
        <f>(F96-Settings!$D$18)/Settings!$E$18</f>
        <v>-2.2747210570949236E-2</v>
      </c>
      <c r="O96" s="19">
        <f>(G96-Settings!$D$19)/Settings!$E$19</f>
        <v>-0.67036495553297071</v>
      </c>
      <c r="P96" s="19">
        <f>(H96-Settings!$D$20)/Settings!$E$20</f>
        <v>0.6692449161171905</v>
      </c>
      <c r="Q96" s="19">
        <f>(I96-Settings!$D$21)/Settings!$E$21</f>
        <v>-0.34084649499762598</v>
      </c>
      <c r="R96" s="19">
        <f>(J96-Settings!$D$22)/Settings!$E$22</f>
        <v>0.64833172486515411</v>
      </c>
      <c r="S96" s="19">
        <f>(K96-Settings!$D$23)/Settings!$E$23</f>
        <v>0.75499674459932997</v>
      </c>
      <c r="T96" s="19">
        <f>(L96-Settings!$D$24)/Settings!$E$24</f>
        <v>0.15569062422919069</v>
      </c>
      <c r="U96" s="19">
        <f>(M96-Settings!$D$25)/Settings!$E$25</f>
        <v>0.23343420908861892</v>
      </c>
      <c r="V96" s="31">
        <f>Settings!$B$18*(N96-F$6)^2</f>
        <v>9.6568955720427007E-4</v>
      </c>
      <c r="W96" s="31">
        <f>Settings!$B$19*(O96-G$6)^2</f>
        <v>0.27584716377419544</v>
      </c>
      <c r="X96" s="31">
        <f>Settings!$B$20*(P96-H$6)^2</f>
        <v>0.50707692362354662</v>
      </c>
      <c r="Y96" s="31">
        <f>Settings!$B$21*(Q96-I$6)^2</f>
        <v>5.384872794560374E-2</v>
      </c>
      <c r="Z96" s="31">
        <f>Settings!$B$22*(R96-J$6)^2</f>
        <v>4.909711566420407E-2</v>
      </c>
      <c r="AA96" s="31">
        <f>Settings!$B$23*(S96-K$6)^2</f>
        <v>0.94642678174129968</v>
      </c>
      <c r="AB96" s="31">
        <f>Settings!$B$24*(T96-L$6)^2</f>
        <v>1.8783393695707253</v>
      </c>
      <c r="AC96" s="31">
        <f>Settings!$B$25*(U96-M$6)^2</f>
        <v>0.172531493287297</v>
      </c>
      <c r="AD96" s="19">
        <f t="shared" si="4"/>
        <v>1.9708204548268917</v>
      </c>
      <c r="AE96" s="15">
        <f t="shared" si="5"/>
        <v>0.78008646619132282</v>
      </c>
      <c r="AF96" s="33">
        <f t="shared" si="6"/>
        <v>0.73766355389086558</v>
      </c>
      <c r="AG96" s="47">
        <f t="shared" si="7"/>
        <v>3.1847885363010622E-3</v>
      </c>
      <c r="AH96" s="18">
        <v>-0.33190598042953212</v>
      </c>
      <c r="AI96" s="46">
        <v>0</v>
      </c>
      <c r="AJ96" s="18">
        <v>0.31652916570087891</v>
      </c>
      <c r="AK96" s="46">
        <v>1</v>
      </c>
      <c r="AL96" s="18">
        <v>0.13387519846428761</v>
      </c>
      <c r="AM96" s="46">
        <v>1</v>
      </c>
      <c r="AN96" s="18">
        <v>-1.0543443786057849</v>
      </c>
      <c r="AO96" s="46">
        <v>1</v>
      </c>
      <c r="AP96" s="18">
        <v>-0.53977197991623238</v>
      </c>
      <c r="AQ96" s="46">
        <v>1</v>
      </c>
    </row>
    <row r="97" spans="1:43" ht="20" customHeight="1" x14ac:dyDescent="0.45">
      <c r="A97" s="26">
        <v>87</v>
      </c>
      <c r="B97" s="16" t="s">
        <v>313</v>
      </c>
      <c r="C97" s="16" t="s">
        <v>214</v>
      </c>
      <c r="D97" s="46">
        <v>26</v>
      </c>
      <c r="E97" s="46">
        <v>1</v>
      </c>
      <c r="F97" s="13">
        <v>0.50046219517099066</v>
      </c>
      <c r="G97" s="13">
        <v>7.0009199668728164E-2</v>
      </c>
      <c r="H97" s="13">
        <v>9.2813620947763645E-2</v>
      </c>
      <c r="I97" s="13">
        <v>-2.4946906848761781E-2</v>
      </c>
      <c r="J97" s="13">
        <v>0.31176807736375578</v>
      </c>
      <c r="K97" s="13">
        <v>18.676368159204031</v>
      </c>
      <c r="L97" s="13">
        <v>4.6221732038519514</v>
      </c>
      <c r="M97" s="13">
        <v>1.801831364732754</v>
      </c>
      <c r="N97" s="19">
        <f>(F97-Settings!$D$18)/Settings!$E$18</f>
        <v>1.102812930661389</v>
      </c>
      <c r="O97" s="19">
        <f>(G97-Settings!$D$19)/Settings!$E$19</f>
        <v>0.31933823573457482</v>
      </c>
      <c r="P97" s="19">
        <f>(H97-Settings!$D$20)/Settings!$E$20</f>
        <v>0.35956664290126755</v>
      </c>
      <c r="Q97" s="19">
        <f>(I97-Settings!$D$21)/Settings!$E$21</f>
        <v>-0.27057066140618147</v>
      </c>
      <c r="R97" s="19">
        <f>(J97-Settings!$D$22)/Settings!$E$22</f>
        <v>0.1719443834783731</v>
      </c>
      <c r="S97" s="19">
        <f>(K97-Settings!$D$23)/Settings!$E$23</f>
        <v>1.1880889805116253</v>
      </c>
      <c r="T97" s="19">
        <f>(L97-Settings!$D$24)/Settings!$E$24</f>
        <v>2.2910839893774417</v>
      </c>
      <c r="U97" s="19">
        <f>(M97-Settings!$D$25)/Settings!$E$25</f>
        <v>1.2511453982923701</v>
      </c>
      <c r="V97" s="31">
        <f>Settings!$B$18*(N97-F$6)^2</f>
        <v>0.22305808189244405</v>
      </c>
      <c r="W97" s="31">
        <f>Settings!$B$19*(O97-G$6)^2</f>
        <v>6.8232257535454982E-3</v>
      </c>
      <c r="X97" s="31">
        <f>Settings!$B$20*(P97-H$6)^2</f>
        <v>0.72349598734465359</v>
      </c>
      <c r="Y97" s="31">
        <f>Settings!$B$21*(Q97-I$6)^2</f>
        <v>6.9422550947909195E-2</v>
      </c>
      <c r="Z97" s="31">
        <f>Settings!$B$22*(R97-J$6)^2</f>
        <v>7.2791504782906868E-5</v>
      </c>
      <c r="AA97" s="31">
        <f>Settings!$B$23*(S97-K$6)^2</f>
        <v>0.2913327066338105</v>
      </c>
      <c r="AB97" s="31">
        <f>Settings!$B$24*(T97-L$6)^2</f>
        <v>0.5850232845328992</v>
      </c>
      <c r="AC97" s="31">
        <f>Settings!$B$25*(U97-M$6)^2</f>
        <v>2.053719129285942</v>
      </c>
      <c r="AD97" s="19">
        <f t="shared" si="4"/>
        <v>1.9882021421113063</v>
      </c>
      <c r="AE97" s="15">
        <f t="shared" si="5"/>
        <v>0.78696645314139368</v>
      </c>
      <c r="AF97" s="33">
        <f t="shared" si="6"/>
        <v>0.73369776520985674</v>
      </c>
      <c r="AG97" s="47">
        <f t="shared" si="7"/>
        <v>3.1676666407403414E-3</v>
      </c>
      <c r="AH97" s="48"/>
      <c r="AI97" s="48"/>
      <c r="AJ97" s="48"/>
      <c r="AK97" s="48"/>
      <c r="AL97" s="48"/>
      <c r="AM97" s="48"/>
      <c r="AN97" s="48"/>
      <c r="AO97" s="48"/>
      <c r="AP97" s="48"/>
      <c r="AQ97" s="48"/>
    </row>
    <row r="98" spans="1:43" ht="20" customHeight="1" x14ac:dyDescent="0.45">
      <c r="A98" s="26">
        <v>88</v>
      </c>
      <c r="B98" s="16" t="s">
        <v>314</v>
      </c>
      <c r="C98" s="16" t="s">
        <v>224</v>
      </c>
      <c r="D98" s="46">
        <v>26</v>
      </c>
      <c r="E98" s="46">
        <v>0</v>
      </c>
      <c r="F98" s="13">
        <v>8.1292157142805022E-2</v>
      </c>
      <c r="G98" s="13">
        <v>0.15696232845899219</v>
      </c>
      <c r="H98" s="13">
        <v>0.1439368222771828</v>
      </c>
      <c r="I98" s="13">
        <v>5.3397551773602669E-4</v>
      </c>
      <c r="J98" s="13">
        <v>0.61727471660328403</v>
      </c>
      <c r="K98" s="13">
        <v>16.502670940170891</v>
      </c>
      <c r="L98" s="13">
        <v>2.908106359099818</v>
      </c>
      <c r="M98" s="13">
        <v>1.3951171047601241</v>
      </c>
      <c r="N98" s="19">
        <f>(F98-Settings!$D$18)/Settings!$E$18</f>
        <v>-0.39737050507381827</v>
      </c>
      <c r="O98" s="19">
        <f>(G98-Settings!$D$19)/Settings!$E$19</f>
        <v>0.68159605299805515</v>
      </c>
      <c r="P98" s="19">
        <f>(H98-Settings!$D$20)/Settings!$E$20</f>
        <v>0.82275267784387429</v>
      </c>
      <c r="Q98" s="19">
        <f>(I98-Settings!$D$21)/Settings!$E$21</f>
        <v>4.2775585575820591E-2</v>
      </c>
      <c r="R98" s="19">
        <f>(J98-Settings!$D$22)/Settings!$E$22</f>
        <v>0.99392437978358172</v>
      </c>
      <c r="S98" s="19">
        <f>(K98-Settings!$D$23)/Settings!$E$23</f>
        <v>0.43321393405089281</v>
      </c>
      <c r="T98" s="19">
        <f>(L98-Settings!$D$24)/Settings!$E$24</f>
        <v>1.1060558229162774</v>
      </c>
      <c r="U98" s="19">
        <f>(M98-Settings!$D$25)/Settings!$E$25</f>
        <v>0.9768527715856492</v>
      </c>
      <c r="V98" s="31">
        <f>Settings!$B$18*(N98-F$6)^2</f>
        <v>3.9446796638411379E-2</v>
      </c>
      <c r="W98" s="31">
        <f>Settings!$B$19*(O98-G$6)^2</f>
        <v>6.3049637201397467E-3</v>
      </c>
      <c r="X98" s="31">
        <f>Settings!$B$20*(P98-H$6)^2</f>
        <v>0.41401835512656127</v>
      </c>
      <c r="Y98" s="31">
        <f>Settings!$B$21*(Q98-I$6)^2</f>
        <v>0.16290450060803718</v>
      </c>
      <c r="Z98" s="31">
        <f>Settings!$B$22*(R98-J$6)^2</f>
        <v>0.14147559988600425</v>
      </c>
      <c r="AA98" s="31">
        <f>Settings!$B$23*(S98-K$6)^2</f>
        <v>1.6760603530398559</v>
      </c>
      <c r="AB98" s="31">
        <f>Settings!$B$24*(T98-L$6)^2</f>
        <v>0.17653444072439284</v>
      </c>
      <c r="AC98" s="31">
        <f>Settings!$B$25*(U98-M$6)^2</f>
        <v>1.3427888580608711</v>
      </c>
      <c r="AD98" s="19">
        <f t="shared" si="4"/>
        <v>1.9898577506455766</v>
      </c>
      <c r="AE98" s="15">
        <f t="shared" si="5"/>
        <v>0.7876217730147651</v>
      </c>
      <c r="AF98" s="33">
        <f t="shared" si="6"/>
        <v>0.73331932653671195</v>
      </c>
      <c r="AG98" s="47">
        <f t="shared" si="7"/>
        <v>3.1660327696597284E-3</v>
      </c>
      <c r="AH98" s="18">
        <v>-1.019304672298927</v>
      </c>
      <c r="AI98" s="46">
        <v>0</v>
      </c>
      <c r="AJ98" s="18">
        <v>-1.530756422165686</v>
      </c>
      <c r="AK98" s="46">
        <v>1</v>
      </c>
      <c r="AL98" s="18">
        <v>0.30006361118146568</v>
      </c>
      <c r="AM98" s="46">
        <v>1</v>
      </c>
      <c r="AN98" s="18">
        <v>-0.36374290488128858</v>
      </c>
      <c r="AO98" s="46">
        <v>1</v>
      </c>
      <c r="AP98" s="18">
        <v>-0.14425088056084329</v>
      </c>
      <c r="AQ98" s="46">
        <v>1</v>
      </c>
    </row>
    <row r="99" spans="1:43" ht="20" customHeight="1" x14ac:dyDescent="0.45">
      <c r="A99" s="26">
        <v>89</v>
      </c>
      <c r="B99" s="16" t="s">
        <v>315</v>
      </c>
      <c r="C99" s="16" t="s">
        <v>232</v>
      </c>
      <c r="D99" s="46">
        <v>26</v>
      </c>
      <c r="E99" s="46">
        <v>0</v>
      </c>
      <c r="F99" s="13">
        <v>0.31387023625193922</v>
      </c>
      <c r="G99" s="13">
        <v>-0.1874487301709728</v>
      </c>
      <c r="H99" s="13">
        <v>0.17236366203977341</v>
      </c>
      <c r="I99" s="13">
        <v>5.9114241745663381E-3</v>
      </c>
      <c r="J99" s="13">
        <v>0.3204059473627483</v>
      </c>
      <c r="K99" s="13">
        <v>18.955155875299781</v>
      </c>
      <c r="L99" s="13">
        <v>1.1029166878542289</v>
      </c>
      <c r="M99" s="13">
        <v>-0.99132911114954247</v>
      </c>
      <c r="N99" s="19">
        <f>(F99-Settings!$D$18)/Settings!$E$18</f>
        <v>0.43501194152455835</v>
      </c>
      <c r="O99" s="19">
        <f>(G99-Settings!$D$19)/Settings!$E$19</f>
        <v>-0.75326431461030896</v>
      </c>
      <c r="P99" s="19">
        <f>(H99-Settings!$D$20)/Settings!$E$20</f>
        <v>1.0803053125222155</v>
      </c>
      <c r="Q99" s="19">
        <f>(I99-Settings!$D$21)/Settings!$E$21</f>
        <v>0.10890372551698775</v>
      </c>
      <c r="R99" s="19">
        <f>(J99-Settings!$D$22)/Settings!$E$22</f>
        <v>0.19518497938663407</v>
      </c>
      <c r="S99" s="19">
        <f>(K99-Settings!$D$23)/Settings!$E$23</f>
        <v>1.2849055418513264</v>
      </c>
      <c r="T99" s="19">
        <f>(L99-Settings!$D$24)/Settings!$E$24</f>
        <v>-0.14197053777103619</v>
      </c>
      <c r="U99" s="19">
        <f>(M99-Settings!$D$25)/Settings!$E$25</f>
        <v>-0.6325931354750659</v>
      </c>
      <c r="V99" s="31">
        <f>Settings!$B$18*(N99-F$6)^2</f>
        <v>3.0151047658875565E-2</v>
      </c>
      <c r="W99" s="31">
        <f>Settings!$B$19*(O99-G$6)^2</f>
        <v>0.31616471627336695</v>
      </c>
      <c r="X99" s="31">
        <f>Settings!$B$20*(P99-H$6)^2</f>
        <v>0.27906025599468975</v>
      </c>
      <c r="Y99" s="31">
        <f>Settings!$B$21*(Q99-I$6)^2</f>
        <v>0.18765158348315425</v>
      </c>
      <c r="Z99" s="31">
        <f>Settings!$B$22*(R99-J$6)^2</f>
        <v>3.5816713977607369E-4</v>
      </c>
      <c r="AA99" s="31">
        <f>Settings!$B$23*(S99-K$6)^2</f>
        <v>0.19619220093218484</v>
      </c>
      <c r="AB99" s="31">
        <f>Settings!$B$24*(T99-L$6)^2</f>
        <v>2.7828457940324638</v>
      </c>
      <c r="AC99" s="31">
        <f>Settings!$B$25*(U99-M$6)^2</f>
        <v>0.20309284899644173</v>
      </c>
      <c r="AD99" s="19">
        <f t="shared" si="4"/>
        <v>1.9988788393774528</v>
      </c>
      <c r="AE99" s="15">
        <f t="shared" si="5"/>
        <v>0.79119248348350024</v>
      </c>
      <c r="AF99" s="33">
        <f t="shared" si="6"/>
        <v>0.7312551973600584</v>
      </c>
      <c r="AG99" s="47">
        <f t="shared" si="7"/>
        <v>3.1571210986078286E-3</v>
      </c>
      <c r="AH99" s="18">
        <v>0.21091140136981229</v>
      </c>
      <c r="AI99" s="46">
        <v>0</v>
      </c>
      <c r="AJ99" s="18">
        <v>0.34623573697682591</v>
      </c>
      <c r="AK99" s="46">
        <v>0</v>
      </c>
      <c r="AL99" s="18">
        <v>-1.2175304536352221</v>
      </c>
      <c r="AM99" s="46">
        <v>1</v>
      </c>
      <c r="AN99" s="18">
        <v>-0.79546139290051343</v>
      </c>
      <c r="AO99" s="46">
        <v>1</v>
      </c>
      <c r="AP99" s="18">
        <v>-0.33140338514900758</v>
      </c>
      <c r="AQ99" s="46">
        <v>1</v>
      </c>
    </row>
    <row r="100" spans="1:43" ht="20" customHeight="1" x14ac:dyDescent="0.45">
      <c r="A100" s="26">
        <v>90</v>
      </c>
      <c r="B100" s="16" t="s">
        <v>316</v>
      </c>
      <c r="C100" s="16" t="s">
        <v>283</v>
      </c>
      <c r="D100" s="46">
        <v>26</v>
      </c>
      <c r="E100" s="46">
        <v>0</v>
      </c>
      <c r="F100" s="13">
        <v>0.25602472484336769</v>
      </c>
      <c r="G100" s="13">
        <v>3.8060730518340219E-2</v>
      </c>
      <c r="H100" s="13">
        <v>4.2415605225144003E-2</v>
      </c>
      <c r="I100" s="13">
        <v>3.5278023798354513E-2</v>
      </c>
      <c r="J100" s="13">
        <v>0.62822091561479354</v>
      </c>
      <c r="K100" s="13">
        <v>17.185744234800879</v>
      </c>
      <c r="L100" s="13">
        <v>2.3348217950175032</v>
      </c>
      <c r="M100" s="13">
        <v>-1.4456612854734401</v>
      </c>
      <c r="N100" s="19">
        <f>(F100-Settings!$D$18)/Settings!$E$18</f>
        <v>0.22798646218689683</v>
      </c>
      <c r="O100" s="19">
        <f>(G100-Settings!$D$19)/Settings!$E$19</f>
        <v>0.1862368412206945</v>
      </c>
      <c r="P100" s="19">
        <f>(H100-Settings!$D$20)/Settings!$E$20</f>
        <v>-9.7049070991870393E-2</v>
      </c>
      <c r="Q100" s="19">
        <f>(I100-Settings!$D$21)/Settings!$E$21</f>
        <v>0.47003383264529303</v>
      </c>
      <c r="R100" s="19">
        <f>(J100-Settings!$D$22)/Settings!$E$22</f>
        <v>1.0233756435774997</v>
      </c>
      <c r="S100" s="19">
        <f>(K100-Settings!$D$23)/Settings!$E$23</f>
        <v>0.67042957774999645</v>
      </c>
      <c r="T100" s="19">
        <f>(L100-Settings!$D$24)/Settings!$E$24</f>
        <v>0.70971284602776918</v>
      </c>
      <c r="U100" s="19">
        <f>(M100-Settings!$D$25)/Settings!$E$25</f>
        <v>-0.93899981396493271</v>
      </c>
      <c r="V100" s="31">
        <f>Settings!$B$18*(N100-F$6)^2</f>
        <v>6.5700688685938124E-3</v>
      </c>
      <c r="W100" s="31">
        <f>Settings!$B$19*(O100-G$6)^2</f>
        <v>2.0200246861867929E-2</v>
      </c>
      <c r="X100" s="31">
        <f>Settings!$B$20*(P100-H$6)^2</f>
        <v>1.1125828476505619</v>
      </c>
      <c r="Y100" s="31">
        <f>Settings!$B$21*(Q100-I$6)^2</f>
        <v>0.35365618862117598</v>
      </c>
      <c r="Z100" s="31">
        <f>Settings!$B$22*(R100-J$6)^2</f>
        <v>0.1515571597619762</v>
      </c>
      <c r="AA100" s="31">
        <f>Settings!$B$23*(S100-K$6)^2</f>
        <v>1.1181198250928872</v>
      </c>
      <c r="AB100" s="31">
        <f>Settings!$B$24*(T100-L$6)^2</f>
        <v>0.66667714065924577</v>
      </c>
      <c r="AC100" s="31">
        <f>Settings!$B$25*(U100-M$6)^2</f>
        <v>0.5731472903318886</v>
      </c>
      <c r="AD100" s="19">
        <f t="shared" si="4"/>
        <v>2.0006275934936513</v>
      </c>
      <c r="AE100" s="15">
        <f t="shared" si="5"/>
        <v>0.79188467206689039</v>
      </c>
      <c r="AF100" s="33">
        <f t="shared" si="6"/>
        <v>0.73085465678609973</v>
      </c>
      <c r="AG100" s="47">
        <f t="shared" si="7"/>
        <v>3.1553918047833762E-3</v>
      </c>
      <c r="AH100" s="18">
        <v>-0.87862344701755801</v>
      </c>
      <c r="AI100" s="46">
        <v>0</v>
      </c>
      <c r="AJ100" s="18">
        <v>0.26249704784079347</v>
      </c>
      <c r="AK100" s="46">
        <v>0</v>
      </c>
      <c r="AL100" s="18">
        <v>-0.40428124256804582</v>
      </c>
      <c r="AM100" s="46">
        <v>0</v>
      </c>
      <c r="AN100" s="18">
        <v>-0.3273764526706836</v>
      </c>
      <c r="AO100" s="46">
        <v>0</v>
      </c>
      <c r="AP100" s="18">
        <v>0.39756264238976552</v>
      </c>
      <c r="AQ100" s="46">
        <v>0</v>
      </c>
    </row>
    <row r="101" spans="1:43" ht="20" customHeight="1" x14ac:dyDescent="0.45">
      <c r="A101" s="26">
        <v>91</v>
      </c>
      <c r="B101" s="16" t="s">
        <v>317</v>
      </c>
      <c r="C101" s="16" t="s">
        <v>260</v>
      </c>
      <c r="D101" s="46">
        <v>26</v>
      </c>
      <c r="E101" s="46">
        <v>1</v>
      </c>
      <c r="F101" s="13">
        <v>0.48386598738195119</v>
      </c>
      <c r="G101" s="13">
        <v>0.18287977682982581</v>
      </c>
      <c r="H101" s="13">
        <v>-2.0454064559412861E-2</v>
      </c>
      <c r="I101" s="13">
        <v>3.2867851595774381E-4</v>
      </c>
      <c r="J101" s="13">
        <v>0.31247149271285241</v>
      </c>
      <c r="K101" s="13">
        <v>17.762457912457911</v>
      </c>
      <c r="L101" s="13">
        <v>2.0794687353258881</v>
      </c>
      <c r="M101" s="13">
        <v>-1.036456733136744</v>
      </c>
      <c r="N101" s="19">
        <f>(F101-Settings!$D$18)/Settings!$E$18</f>
        <v>1.0434161375645918</v>
      </c>
      <c r="O101" s="19">
        <f>(G101-Settings!$D$19)/Settings!$E$19</f>
        <v>0.78957144625277587</v>
      </c>
      <c r="P101" s="19">
        <f>(H101-Settings!$D$20)/Settings!$E$20</f>
        <v>-0.66666036896241476</v>
      </c>
      <c r="Q101" s="19">
        <f>(I101-Settings!$D$21)/Settings!$E$21</f>
        <v>4.0250985206860761E-2</v>
      </c>
      <c r="R101" s="19">
        <f>(J101-Settings!$D$22)/Settings!$E$22</f>
        <v>0.17383695559232359</v>
      </c>
      <c r="S101" s="19">
        <f>(K101-Settings!$D$23)/Settings!$E$23</f>
        <v>0.87070897287639504</v>
      </c>
      <c r="T101" s="19">
        <f>(L101-Settings!$D$24)/Settings!$E$24</f>
        <v>0.53317330846360778</v>
      </c>
      <c r="U101" s="19">
        <f>(M101-Settings!$D$25)/Settings!$E$25</f>
        <v>-0.6630277063522475</v>
      </c>
      <c r="V101" s="31">
        <f>Settings!$B$18*(N101-F$6)^2</f>
        <v>0.19867273534185259</v>
      </c>
      <c r="W101" s="31">
        <f>Settings!$B$19*(O101-G$6)^2</f>
        <v>1.6305212518970959E-2</v>
      </c>
      <c r="X101" s="31">
        <f>Settings!$B$20*(P101-H$6)^2</f>
        <v>1.7148644861253139</v>
      </c>
      <c r="Y101" s="31">
        <f>Settings!$B$21*(Q101-I$6)^2</f>
        <v>0.16199438550323306</v>
      </c>
      <c r="Z101" s="31">
        <f>Settings!$B$22*(R101-J$6)^2</f>
        <v>8.7950217741396497E-5</v>
      </c>
      <c r="AA101" s="31">
        <f>Settings!$B$23*(S101-K$6)^2</f>
        <v>0.73467604890406213</v>
      </c>
      <c r="AB101" s="31">
        <f>Settings!$B$24*(T101-L$6)^2</f>
        <v>0.9861334712567793</v>
      </c>
      <c r="AC101" s="31">
        <f>Settings!$B$25*(U101-M$6)^2</f>
        <v>0.23145029237510895</v>
      </c>
      <c r="AD101" s="19">
        <f t="shared" si="4"/>
        <v>2.0110158085512562</v>
      </c>
      <c r="AE101" s="15">
        <f t="shared" si="5"/>
        <v>0.79599651592079146</v>
      </c>
      <c r="AF101" s="33">
        <f t="shared" si="6"/>
        <v>0.72847262834176008</v>
      </c>
      <c r="AG101" s="47">
        <f t="shared" si="7"/>
        <v>3.1451076354725004E-3</v>
      </c>
      <c r="AH101" s="18">
        <v>-0.74864879157124342</v>
      </c>
      <c r="AI101" s="46">
        <v>1</v>
      </c>
      <c r="AJ101" s="18">
        <v>-0.1770527252133309</v>
      </c>
      <c r="AK101" s="46">
        <v>1</v>
      </c>
      <c r="AL101" s="18">
        <v>1.275721534452992</v>
      </c>
      <c r="AM101" s="46">
        <v>1</v>
      </c>
      <c r="AN101" s="48"/>
      <c r="AO101" s="48"/>
      <c r="AP101" s="48"/>
      <c r="AQ101" s="48"/>
    </row>
    <row r="102" spans="1:43" ht="20" customHeight="1" x14ac:dyDescent="0.45">
      <c r="A102" s="26">
        <v>92</v>
      </c>
      <c r="B102" s="16" t="s">
        <v>318</v>
      </c>
      <c r="C102" s="16" t="s">
        <v>246</v>
      </c>
      <c r="D102" s="46">
        <v>26</v>
      </c>
      <c r="E102" s="46">
        <v>1</v>
      </c>
      <c r="F102" s="13">
        <v>0.31232553326711632</v>
      </c>
      <c r="G102" s="13">
        <v>-6.6226084601518492E-2</v>
      </c>
      <c r="H102" s="13">
        <v>0.146319881657409</v>
      </c>
      <c r="I102" s="13">
        <v>-6.2026832689062707E-2</v>
      </c>
      <c r="J102" s="13">
        <v>0.41310166778489349</v>
      </c>
      <c r="K102" s="13">
        <v>19.06301369863014</v>
      </c>
      <c r="L102" s="13">
        <v>4.5220245938283421</v>
      </c>
      <c r="M102" s="13">
        <v>2.184972667417858</v>
      </c>
      <c r="N102" s="19">
        <f>(F102-Settings!$D$18)/Settings!$E$18</f>
        <v>0.42948354583610932</v>
      </c>
      <c r="O102" s="19">
        <f>(G102-Settings!$D$19)/Settings!$E$19</f>
        <v>-0.24823532257923706</v>
      </c>
      <c r="P102" s="19">
        <f>(H102-Settings!$D$20)/Settings!$E$20</f>
        <v>0.84434365408668199</v>
      </c>
      <c r="Q102" s="19">
        <f>(I102-Settings!$D$21)/Settings!$E$21</f>
        <v>-0.72655391321482732</v>
      </c>
      <c r="R102" s="19">
        <f>(J102-Settings!$D$22)/Settings!$E$22</f>
        <v>0.44458717935114839</v>
      </c>
      <c r="S102" s="19">
        <f>(K102-Settings!$D$23)/Settings!$E$23</f>
        <v>1.3223620830313689</v>
      </c>
      <c r="T102" s="19">
        <f>(L102-Settings!$D$24)/Settings!$E$24</f>
        <v>2.221845777301136</v>
      </c>
      <c r="U102" s="19">
        <f>(M102-Settings!$D$25)/Settings!$E$25</f>
        <v>1.5095401600605074</v>
      </c>
      <c r="V102" s="31">
        <f>Settings!$B$18*(N102-F$6)^2</f>
        <v>2.929855152748348E-2</v>
      </c>
      <c r="W102" s="31">
        <f>Settings!$B$19*(O102-G$6)^2</f>
        <v>0.11318476204803057</v>
      </c>
      <c r="X102" s="31">
        <f>Settings!$B$20*(P102-H$6)^2</f>
        <v>0.40168571159142863</v>
      </c>
      <c r="Y102" s="31">
        <f>Settings!$B$21*(Q102-I$6)^2</f>
        <v>3.547356143375157E-3</v>
      </c>
      <c r="Z102" s="31">
        <f>Settings!$B$22*(R102-J$6)^2</f>
        <v>1.7020166137484787E-2</v>
      </c>
      <c r="AA102" s="31">
        <f>Settings!$B$23*(S102-K$6)^2</f>
        <v>0.16441350074682307</v>
      </c>
      <c r="AB102" s="31">
        <f>Settings!$B$24*(T102-L$6)^2</f>
        <v>0.48390100839706651</v>
      </c>
      <c r="AC102" s="31">
        <f>Settings!$B$25*(U102-M$6)^2</f>
        <v>2.8610878645629776</v>
      </c>
      <c r="AD102" s="19">
        <f t="shared" si="4"/>
        <v>2.0184496330487591</v>
      </c>
      <c r="AE102" s="15">
        <f t="shared" si="5"/>
        <v>0.79893895842910856</v>
      </c>
      <c r="AF102" s="33">
        <f t="shared" si="6"/>
        <v>0.72676526910177874</v>
      </c>
      <c r="AG102" s="47">
        <f t="shared" si="7"/>
        <v>3.137736282901048E-3</v>
      </c>
      <c r="AH102" s="18">
        <v>-0.53457752776827139</v>
      </c>
      <c r="AI102" s="46">
        <v>1</v>
      </c>
      <c r="AJ102" s="48"/>
      <c r="AK102" s="48"/>
      <c r="AL102" s="48"/>
      <c r="AM102" s="48"/>
      <c r="AN102" s="48"/>
      <c r="AO102" s="48"/>
      <c r="AP102" s="48"/>
      <c r="AQ102" s="48"/>
    </row>
    <row r="103" spans="1:43" ht="20" customHeight="1" x14ac:dyDescent="0.45">
      <c r="A103" s="26">
        <v>93</v>
      </c>
      <c r="B103" s="16" t="s">
        <v>319</v>
      </c>
      <c r="C103" s="16" t="s">
        <v>216</v>
      </c>
      <c r="D103" s="46">
        <v>26</v>
      </c>
      <c r="E103" s="46">
        <v>1</v>
      </c>
      <c r="F103" s="13">
        <v>0.27383102445775781</v>
      </c>
      <c r="G103" s="13">
        <v>-0.21161601829143839</v>
      </c>
      <c r="H103" s="13">
        <v>1.6925346320304381E-3</v>
      </c>
      <c r="I103" s="13">
        <v>-3.9393637554818242E-2</v>
      </c>
      <c r="J103" s="13">
        <v>0.47346678506395512</v>
      </c>
      <c r="K103" s="13">
        <v>19.162622549019559</v>
      </c>
      <c r="L103" s="13">
        <v>2.2853603645565341</v>
      </c>
      <c r="M103" s="13">
        <v>1.402819844547331</v>
      </c>
      <c r="N103" s="19">
        <f>(F103-Settings!$D$18)/Settings!$E$18</f>
        <v>0.29171409849149849</v>
      </c>
      <c r="O103" s="19">
        <f>(G103-Settings!$D$19)/Settings!$E$19</f>
        <v>-0.85394831719306319</v>
      </c>
      <c r="P103" s="19">
        <f>(H103-Settings!$D$20)/Settings!$E$20</f>
        <v>-0.46600792153743831</v>
      </c>
      <c r="Q103" s="19">
        <f>(I103-Settings!$D$21)/Settings!$E$21</f>
        <v>-0.44822655192017336</v>
      </c>
      <c r="R103" s="19">
        <f>(J103-Settings!$D$22)/Settings!$E$22</f>
        <v>0.60700236941549113</v>
      </c>
      <c r="S103" s="19">
        <f>(K103-Settings!$D$23)/Settings!$E$23</f>
        <v>1.3569539456455459</v>
      </c>
      <c r="T103" s="19">
        <f>(L103-Settings!$D$24)/Settings!$E$24</f>
        <v>0.67551745368985572</v>
      </c>
      <c r="U103" s="19">
        <f>(M103-Settings!$D$25)/Settings!$E$25</f>
        <v>0.98204758508742696</v>
      </c>
      <c r="V103" s="31">
        <f>Settings!$B$18*(N103-F$6)^2</f>
        <v>1.200247916469201E-2</v>
      </c>
      <c r="W103" s="31">
        <f>Settings!$B$19*(O103-G$6)^2</f>
        <v>0.36882849351111419</v>
      </c>
      <c r="X103" s="31">
        <f>Settings!$B$20*(P103-H$6)^2</f>
        <v>1.4878970180842999</v>
      </c>
      <c r="Y103" s="31">
        <f>Settings!$B$21*(Q103-I$6)^2</f>
        <v>3.3867580303390245E-2</v>
      </c>
      <c r="Z103" s="31">
        <f>Settings!$B$22*(R103-J$6)^2</f>
        <v>4.1247838947635479E-2</v>
      </c>
      <c r="AA103" s="31">
        <f>Settings!$B$23*(S103-K$6)^2</f>
        <v>0.1375575259855723</v>
      </c>
      <c r="AB103" s="31">
        <f>Settings!$B$24*(T103-L$6)^2</f>
        <v>0.72368774602686603</v>
      </c>
      <c r="AC103" s="31">
        <f>Settings!$B$25*(U103-M$6)^2</f>
        <v>1.3548552157885381</v>
      </c>
      <c r="AD103" s="19">
        <f t="shared" si="4"/>
        <v>2.039594052210417</v>
      </c>
      <c r="AE103" s="15">
        <f t="shared" si="5"/>
        <v>0.80730830287298616</v>
      </c>
      <c r="AF103" s="33">
        <f t="shared" si="6"/>
        <v>0.72189661133224803</v>
      </c>
      <c r="AG103" s="47">
        <f t="shared" si="7"/>
        <v>3.1167163404492502E-3</v>
      </c>
      <c r="AH103" s="18">
        <v>-0.64636328769974871</v>
      </c>
      <c r="AI103" s="46">
        <v>1</v>
      </c>
      <c r="AJ103" s="18">
        <v>-0.92527270721100274</v>
      </c>
      <c r="AK103" s="46">
        <v>1</v>
      </c>
      <c r="AL103" s="48"/>
      <c r="AM103" s="48"/>
      <c r="AN103" s="48"/>
      <c r="AO103" s="48"/>
      <c r="AP103" s="48"/>
      <c r="AQ103" s="48"/>
    </row>
    <row r="104" spans="1:43" ht="20" customHeight="1" x14ac:dyDescent="0.45">
      <c r="A104" s="26">
        <v>94</v>
      </c>
      <c r="B104" s="16" t="s">
        <v>320</v>
      </c>
      <c r="C104" s="16" t="s">
        <v>227</v>
      </c>
      <c r="D104" s="46">
        <v>26</v>
      </c>
      <c r="E104" s="46">
        <v>0</v>
      </c>
      <c r="F104" s="13">
        <v>0.25782599450616289</v>
      </c>
      <c r="G104" s="13">
        <v>-3.1092326935796489E-2</v>
      </c>
      <c r="H104" s="13">
        <v>0.13941310332589041</v>
      </c>
      <c r="I104" s="13">
        <v>1.784744411300869E-3</v>
      </c>
      <c r="J104" s="13">
        <v>0.56988383082084926</v>
      </c>
      <c r="K104" s="13">
        <v>16.201096491228089</v>
      </c>
      <c r="L104" s="13">
        <v>2.236211665660778</v>
      </c>
      <c r="M104" s="13">
        <v>-1.5017921861862</v>
      </c>
      <c r="N104" s="19">
        <f>(F104-Settings!$D$18)/Settings!$E$18</f>
        <v>0.23443309402186591</v>
      </c>
      <c r="O104" s="19">
        <f>(G104-Settings!$D$19)/Settings!$E$19</f>
        <v>-0.10186361012541682</v>
      </c>
      <c r="P104" s="19">
        <f>(H104-Settings!$D$20)/Settings!$E$20</f>
        <v>0.7817669142422885</v>
      </c>
      <c r="Q104" s="19">
        <f>(I104-Settings!$D$21)/Settings!$E$21</f>
        <v>5.8156675327864449E-2</v>
      </c>
      <c r="R104" s="19">
        <f>(J104-Settings!$D$22)/Settings!$E$22</f>
        <v>0.86641697039532073</v>
      </c>
      <c r="S104" s="19">
        <f>(K104-Settings!$D$23)/Settings!$E$23</f>
        <v>0.32848406451629125</v>
      </c>
      <c r="T104" s="19">
        <f>(L104-Settings!$D$24)/Settings!$E$24</f>
        <v>0.64153826978888484</v>
      </c>
      <c r="U104" s="19">
        <f>(M104-Settings!$D$25)/Settings!$E$25</f>
        <v>-0.97685511856367768</v>
      </c>
      <c r="V104" s="31">
        <f>Settings!$B$18*(N104-F$6)^2</f>
        <v>7.045752823561637E-3</v>
      </c>
      <c r="W104" s="31">
        <f>Settings!$B$19*(O104-G$6)^2</f>
        <v>7.3424746970563573E-2</v>
      </c>
      <c r="X104" s="31">
        <f>Settings!$B$20*(P104-H$6)^2</f>
        <v>0.43794214261873599</v>
      </c>
      <c r="Y104" s="31">
        <f>Settings!$B$21*(Q104-I$6)^2</f>
        <v>0.16850444499196923</v>
      </c>
      <c r="Z104" s="31">
        <f>Settings!$B$22*(R104-J$6)^2</f>
        <v>0.10183079406327984</v>
      </c>
      <c r="AA104" s="31">
        <f>Settings!$B$23*(S104-K$6)^2</f>
        <v>1.9582010360874951</v>
      </c>
      <c r="AB104" s="31">
        <f>Settings!$B$24*(T104-L$6)^2</f>
        <v>0.78265440485298332</v>
      </c>
      <c r="AC104" s="31">
        <f>Settings!$B$25*(U104-M$6)^2</f>
        <v>0.63189816057525783</v>
      </c>
      <c r="AD104" s="19">
        <f t="shared" si="4"/>
        <v>2.0399758535296062</v>
      </c>
      <c r="AE104" s="15">
        <f t="shared" si="5"/>
        <v>0.80745942675702342</v>
      </c>
      <c r="AF104" s="33">
        <f t="shared" si="6"/>
        <v>0.7218085345010965</v>
      </c>
      <c r="AG104" s="47">
        <f t="shared" si="7"/>
        <v>3.1163360775493341E-3</v>
      </c>
      <c r="AH104" s="18">
        <v>-1.410516086705782</v>
      </c>
      <c r="AI104" s="46">
        <v>0</v>
      </c>
      <c r="AJ104" s="18">
        <v>-0.42785505258970019</v>
      </c>
      <c r="AK104" s="46">
        <v>0</v>
      </c>
      <c r="AL104" s="18">
        <v>0.29323439570513088</v>
      </c>
      <c r="AM104" s="46">
        <v>0</v>
      </c>
      <c r="AN104" s="18">
        <v>0.7101902559653237</v>
      </c>
      <c r="AO104" s="46">
        <v>1</v>
      </c>
      <c r="AP104" s="18">
        <v>0.7153654337823383</v>
      </c>
      <c r="AQ104" s="46">
        <v>1</v>
      </c>
    </row>
    <row r="105" spans="1:43" ht="20" customHeight="1" x14ac:dyDescent="0.45">
      <c r="A105" s="26">
        <v>95</v>
      </c>
      <c r="B105" s="16" t="s">
        <v>321</v>
      </c>
      <c r="C105" s="16" t="s">
        <v>229</v>
      </c>
      <c r="D105" s="46">
        <v>26</v>
      </c>
      <c r="E105" s="46">
        <v>1</v>
      </c>
      <c r="F105" s="13">
        <v>0.33397156249746451</v>
      </c>
      <c r="G105" s="13">
        <v>0.15597609883588009</v>
      </c>
      <c r="H105" s="13">
        <v>2.837105983009074E-2</v>
      </c>
      <c r="I105" s="13">
        <v>2.1605214079360079E-2</v>
      </c>
      <c r="J105" s="13">
        <v>0.46007606475720458</v>
      </c>
      <c r="K105" s="13">
        <v>18.30284552845529</v>
      </c>
      <c r="L105" s="13">
        <v>2.9930874560942091</v>
      </c>
      <c r="M105" s="13">
        <v>1.803859967939845</v>
      </c>
      <c r="N105" s="19">
        <f>(F105-Settings!$D$18)/Settings!$E$18</f>
        <v>0.50695333507382423</v>
      </c>
      <c r="O105" s="19">
        <f>(G105-Settings!$D$19)/Settings!$E$19</f>
        <v>0.67748729468700086</v>
      </c>
      <c r="P105" s="19">
        <f>(H105-Settings!$D$20)/Settings!$E$20</f>
        <v>-0.22429535301143338</v>
      </c>
      <c r="Q105" s="19">
        <f>(I105-Settings!$D$21)/Settings!$E$21</f>
        <v>0.30189508652483038</v>
      </c>
      <c r="R105" s="19">
        <f>(J105-Settings!$D$22)/Settings!$E$22</f>
        <v>0.57097400598723491</v>
      </c>
      <c r="S105" s="19">
        <f>(K105-Settings!$D$23)/Settings!$E$23</f>
        <v>1.0583731623324917</v>
      </c>
      <c r="T105" s="19">
        <f>(L105-Settings!$D$24)/Settings!$E$24</f>
        <v>1.1648079035970542</v>
      </c>
      <c r="U105" s="19">
        <f>(M105-Settings!$D$25)/Settings!$E$25</f>
        <v>1.2525135108888061</v>
      </c>
      <c r="V105" s="31">
        <f>Settings!$B$18*(N105-F$6)^2</f>
        <v>4.2359295403266793E-2</v>
      </c>
      <c r="W105" s="31">
        <f>Settings!$B$19*(O105-G$6)^2</f>
        <v>6.0165323067397861E-3</v>
      </c>
      <c r="X105" s="31">
        <f>Settings!$B$20*(P105-H$6)^2</f>
        <v>1.2358695430171958</v>
      </c>
      <c r="Y105" s="31">
        <f>Settings!$B$21*(Q105-I$6)^2</f>
        <v>0.26987615689227845</v>
      </c>
      <c r="Z105" s="31">
        <f>Settings!$B$22*(R105-J$6)^2</f>
        <v>3.496274174694973E-2</v>
      </c>
      <c r="AA105" s="31">
        <f>Settings!$B$23*(S105-K$6)^2</f>
        <v>0.4481877612960401</v>
      </c>
      <c r="AB105" s="31">
        <f>Settings!$B$24*(T105-L$6)^2</f>
        <v>0.13061569715615926</v>
      </c>
      <c r="AC105" s="31">
        <f>Settings!$B$25*(U105-M$6)^2</f>
        <v>2.0576422314220939</v>
      </c>
      <c r="AD105" s="19">
        <f t="shared" si="4"/>
        <v>2.0556093887800579</v>
      </c>
      <c r="AE105" s="15">
        <f t="shared" si="5"/>
        <v>0.81364746343876848</v>
      </c>
      <c r="AF105" s="33">
        <f t="shared" si="6"/>
        <v>0.71819719888899258</v>
      </c>
      <c r="AG105" s="47">
        <f t="shared" si="7"/>
        <v>3.1007444976244489E-3</v>
      </c>
      <c r="AH105" s="18">
        <v>-0.15757050745100901</v>
      </c>
      <c r="AI105" s="46">
        <v>1</v>
      </c>
      <c r="AJ105" s="18">
        <v>-0.25784942296192043</v>
      </c>
      <c r="AK105" s="46">
        <v>1</v>
      </c>
      <c r="AL105" s="18">
        <v>0.44068869076442979</v>
      </c>
      <c r="AM105" s="46">
        <v>1</v>
      </c>
      <c r="AN105" s="48"/>
      <c r="AO105" s="48"/>
      <c r="AP105" s="48"/>
      <c r="AQ105" s="48"/>
    </row>
    <row r="106" spans="1:43" ht="20" customHeight="1" x14ac:dyDescent="0.45">
      <c r="A106" s="26">
        <v>96</v>
      </c>
      <c r="B106" s="16" t="s">
        <v>322</v>
      </c>
      <c r="C106" s="16" t="s">
        <v>220</v>
      </c>
      <c r="D106" s="46">
        <v>26</v>
      </c>
      <c r="E106" s="46">
        <v>1</v>
      </c>
      <c r="F106" s="13">
        <v>0.26980087389492008</v>
      </c>
      <c r="G106" s="13">
        <v>0.1199234669677452</v>
      </c>
      <c r="H106" s="13">
        <v>-5.4087756800661694E-3</v>
      </c>
      <c r="I106" s="13">
        <v>1.448903008312735E-2</v>
      </c>
      <c r="J106" s="13">
        <v>0.59037785337414117</v>
      </c>
      <c r="K106" s="13">
        <v>17.826640419947509</v>
      </c>
      <c r="L106" s="13">
        <v>4.0825817305787719</v>
      </c>
      <c r="M106" s="13">
        <v>1.5375656330780769</v>
      </c>
      <c r="N106" s="19">
        <f>(F106-Settings!$D$18)/Settings!$E$18</f>
        <v>0.27729044086003024</v>
      </c>
      <c r="O106" s="19">
        <f>(G106-Settings!$D$19)/Settings!$E$19</f>
        <v>0.52728743518963128</v>
      </c>
      <c r="P106" s="19">
        <f>(H106-Settings!$D$20)/Settings!$E$20</f>
        <v>-0.53034715853401249</v>
      </c>
      <c r="Q106" s="19">
        <f>(I106-Settings!$D$21)/Settings!$E$21</f>
        <v>0.21438518337545262</v>
      </c>
      <c r="R106" s="19">
        <f>(J106-Settings!$D$22)/Settings!$E$22</f>
        <v>0.92155710294552085</v>
      </c>
      <c r="S106" s="19">
        <f>(K106-Settings!$D$23)/Settings!$E$23</f>
        <v>0.89299808145092174</v>
      </c>
      <c r="T106" s="19">
        <f>(L106-Settings!$D$24)/Settings!$E$24</f>
        <v>1.9180348891228594</v>
      </c>
      <c r="U106" s="19">
        <f>(M106-Settings!$D$25)/Settings!$E$25</f>
        <v>1.0729216456041493</v>
      </c>
      <c r="V106" s="31">
        <f>Settings!$B$18*(N106-F$6)^2</f>
        <v>1.0630717511291261E-2</v>
      </c>
      <c r="W106" s="31">
        <f>Settings!$B$19*(O106-G$6)^2</f>
        <v>1.0805373574950854E-4</v>
      </c>
      <c r="X106" s="31">
        <f>Settings!$B$20*(P106-H$6)^2</f>
        <v>1.5589201127500794</v>
      </c>
      <c r="Y106" s="31">
        <f>Settings!$B$21*(Q106-I$6)^2</f>
        <v>0.23074615432233012</v>
      </c>
      <c r="Z106" s="31">
        <f>Settings!$B$22*(R106-J$6)^2</f>
        <v>0.11817698322394746</v>
      </c>
      <c r="AA106" s="31">
        <f>Settings!$B$23*(S106-K$6)^2</f>
        <v>0.69696341646986992</v>
      </c>
      <c r="AB106" s="31">
        <f>Settings!$B$24*(T106-L$6)^2</f>
        <v>0.15352216653878709</v>
      </c>
      <c r="AC106" s="31">
        <f>Settings!$B$25*(U106-M$6)^2</f>
        <v>1.5746649394785739</v>
      </c>
      <c r="AD106" s="19">
        <f t="shared" si="4"/>
        <v>2.084162312304545</v>
      </c>
      <c r="AE106" s="15">
        <f t="shared" si="5"/>
        <v>0.82494922822261563</v>
      </c>
      <c r="AF106" s="33">
        <f t="shared" si="6"/>
        <v>0.71157773340088459</v>
      </c>
      <c r="AG106" s="47">
        <f t="shared" si="7"/>
        <v>3.0721656181450841E-3</v>
      </c>
      <c r="AH106" s="18">
        <v>0.59252991792130771</v>
      </c>
      <c r="AI106" s="46">
        <v>1</v>
      </c>
      <c r="AJ106" s="18">
        <v>-1.198677238808149</v>
      </c>
      <c r="AK106" s="46">
        <v>1</v>
      </c>
      <c r="AL106" s="18">
        <v>-1.2278808347992041</v>
      </c>
      <c r="AM106" s="46">
        <v>1</v>
      </c>
      <c r="AN106" s="18">
        <v>-1.0790995491613571</v>
      </c>
      <c r="AO106" s="46">
        <v>1</v>
      </c>
      <c r="AP106" s="48"/>
      <c r="AQ106" s="48"/>
    </row>
    <row r="107" spans="1:43" ht="20" customHeight="1" x14ac:dyDescent="0.45">
      <c r="A107" s="26">
        <v>97</v>
      </c>
      <c r="B107" s="16" t="s">
        <v>323</v>
      </c>
      <c r="C107" s="16" t="s">
        <v>246</v>
      </c>
      <c r="D107" s="46">
        <v>26</v>
      </c>
      <c r="E107" s="46">
        <v>1</v>
      </c>
      <c r="F107" s="13">
        <v>0.45977240101494588</v>
      </c>
      <c r="G107" s="13">
        <v>-0.16969099566313139</v>
      </c>
      <c r="H107" s="13">
        <v>3.3189594042366807E-2</v>
      </c>
      <c r="I107" s="13">
        <v>9.8629941650325566E-4</v>
      </c>
      <c r="J107" s="13">
        <v>0.33636070986305272</v>
      </c>
      <c r="K107" s="13">
        <v>17.562072649572631</v>
      </c>
      <c r="L107" s="13">
        <v>2.7944095352128229</v>
      </c>
      <c r="M107" s="13">
        <v>1.4531904466145551</v>
      </c>
      <c r="N107" s="19">
        <f>(F107-Settings!$D$18)/Settings!$E$18</f>
        <v>0.95718669391144962</v>
      </c>
      <c r="O107" s="19">
        <f>(G107-Settings!$D$19)/Settings!$E$19</f>
        <v>-0.67928332931567414</v>
      </c>
      <c r="P107" s="19">
        <f>(H107-Settings!$D$20)/Settings!$E$20</f>
        <v>-0.18063850645290028</v>
      </c>
      <c r="Q107" s="19">
        <f>(I107-Settings!$D$21)/Settings!$E$21</f>
        <v>4.8337951668971646E-2</v>
      </c>
      <c r="R107" s="19">
        <f>(J107-Settings!$D$22)/Settings!$E$22</f>
        <v>0.23811201905325313</v>
      </c>
      <c r="S107" s="19">
        <f>(K107-Settings!$D$23)/Settings!$E$23</f>
        <v>0.80111978018383823</v>
      </c>
      <c r="T107" s="19">
        <f>(L107-Settings!$D$24)/Settings!$E$24</f>
        <v>1.0274509895308286</v>
      </c>
      <c r="U107" s="19">
        <f>(M107-Settings!$D$25)/Settings!$E$25</f>
        <v>1.0160180801242809</v>
      </c>
      <c r="V107" s="31">
        <f>Settings!$B$18*(N107-F$6)^2</f>
        <v>0.16578270107750168</v>
      </c>
      <c r="W107" s="31">
        <f>Settings!$B$19*(O107-G$6)^2</f>
        <v>0.28005259759329276</v>
      </c>
      <c r="X107" s="31">
        <f>Settings!$B$20*(P107-H$6)^2</f>
        <v>1.1928413383118821</v>
      </c>
      <c r="Y107" s="31">
        <f>Settings!$B$21*(Q107-I$6)^2</f>
        <v>0.16491872278530428</v>
      </c>
      <c r="Z107" s="31">
        <f>Settings!$B$22*(R107-J$6)^2</f>
        <v>1.4533524524698357E-3</v>
      </c>
      <c r="AA107" s="31">
        <f>Settings!$B$23*(S107-K$6)^2</f>
        <v>0.85881301607506844</v>
      </c>
      <c r="AB107" s="31">
        <f>Settings!$B$24*(T107-L$6)^2</f>
        <v>0.24876637697592546</v>
      </c>
      <c r="AC107" s="31">
        <f>Settings!$B$25*(U107-M$6)^2</f>
        <v>1.4350913325008197</v>
      </c>
      <c r="AD107" s="19">
        <f t="shared" si="4"/>
        <v>2.0851185668379304</v>
      </c>
      <c r="AE107" s="15">
        <f t="shared" si="5"/>
        <v>0.82532773110343416</v>
      </c>
      <c r="AF107" s="33">
        <f t="shared" si="6"/>
        <v>0.71135553007118424</v>
      </c>
      <c r="AG107" s="47">
        <f t="shared" si="7"/>
        <v>3.0712062775169278E-3</v>
      </c>
      <c r="AH107" s="18">
        <v>0.64965613952718204</v>
      </c>
      <c r="AI107" s="46">
        <v>1</v>
      </c>
      <c r="AJ107" s="48"/>
      <c r="AK107" s="48"/>
      <c r="AL107" s="48"/>
      <c r="AM107" s="48"/>
      <c r="AN107" s="48"/>
      <c r="AO107" s="48"/>
      <c r="AP107" s="48"/>
      <c r="AQ107" s="48"/>
    </row>
    <row r="108" spans="1:43" ht="20" customHeight="1" x14ac:dyDescent="0.45">
      <c r="A108" s="26">
        <v>98</v>
      </c>
      <c r="B108" s="16" t="s">
        <v>324</v>
      </c>
      <c r="C108" s="16" t="s">
        <v>212</v>
      </c>
      <c r="D108" s="46">
        <v>26</v>
      </c>
      <c r="E108" s="46">
        <v>0</v>
      </c>
      <c r="F108" s="13">
        <v>0.32371094494151281</v>
      </c>
      <c r="G108" s="13">
        <v>-6.5474438917217617E-2</v>
      </c>
      <c r="H108" s="13">
        <v>4.3949278465904941E-2</v>
      </c>
      <c r="I108" s="13">
        <v>-2.8704445755035559E-4</v>
      </c>
      <c r="J108" s="13">
        <v>0.56657829321781439</v>
      </c>
      <c r="K108" s="13">
        <v>15.952645502645479</v>
      </c>
      <c r="L108" s="13">
        <v>3.0188188311654778</v>
      </c>
      <c r="M108" s="13">
        <v>0.74457992502251091</v>
      </c>
      <c r="N108" s="19">
        <f>(F108-Settings!$D$18)/Settings!$E$18</f>
        <v>0.47023122447102017</v>
      </c>
      <c r="O108" s="19">
        <f>(G108-Settings!$D$19)/Settings!$E$19</f>
        <v>-0.24510387085646895</v>
      </c>
      <c r="P108" s="19">
        <f>(H108-Settings!$D$20)/Settings!$E$20</f>
        <v>-8.3153696508018446E-2</v>
      </c>
      <c r="Q108" s="19">
        <f>(I108-Settings!$D$21)/Settings!$E$21</f>
        <v>3.2679250439032186E-2</v>
      </c>
      <c r="R108" s="19">
        <f>(J108-Settings!$D$22)/Settings!$E$22</f>
        <v>0.85752326584771177</v>
      </c>
      <c r="S108" s="19">
        <f>(K108-Settings!$D$23)/Settings!$E$23</f>
        <v>0.24220275085985926</v>
      </c>
      <c r="T108" s="19">
        <f>(L108-Settings!$D$24)/Settings!$E$24</f>
        <v>1.1825974106484196</v>
      </c>
      <c r="U108" s="19">
        <f>(M108-Settings!$D$25)/Settings!$E$25</f>
        <v>0.53812325221099</v>
      </c>
      <c r="V108" s="31">
        <f>Settings!$B$18*(N108-F$6)^2</f>
        <v>3.5868993483056846E-2</v>
      </c>
      <c r="W108" s="31">
        <f>Settings!$B$19*(O108-G$6)^2</f>
        <v>0.11224443300088294</v>
      </c>
      <c r="X108" s="31">
        <f>Settings!$B$20*(P108-H$6)^2</f>
        <v>1.0995121057682515</v>
      </c>
      <c r="Y108" s="31">
        <f>Settings!$B$21*(Q108-I$6)^2</f>
        <v>0.1592800744556811</v>
      </c>
      <c r="Z108" s="31">
        <f>Settings!$B$22*(R108-J$6)^2</f>
        <v>9.9308171590522978E-2</v>
      </c>
      <c r="AA108" s="31">
        <f>Settings!$B$23*(S108-K$6)^2</f>
        <v>2.2071222846960827</v>
      </c>
      <c r="AB108" s="31">
        <f>Settings!$B$24*(T108-L$6)^2</f>
        <v>0.11807362561862825</v>
      </c>
      <c r="AC108" s="31">
        <f>Settings!$B$25*(U108-M$6)^2</f>
        <v>0.51848373650197732</v>
      </c>
      <c r="AD108" s="19">
        <f t="shared" si="4"/>
        <v>2.0856398119318404</v>
      </c>
      <c r="AE108" s="15">
        <f t="shared" si="5"/>
        <v>0.82553404936156471</v>
      </c>
      <c r="AF108" s="33">
        <f t="shared" si="6"/>
        <v>0.71123439549834888</v>
      </c>
      <c r="AG108" s="47">
        <f t="shared" si="7"/>
        <v>3.0706832911271561E-3</v>
      </c>
      <c r="AH108" s="18">
        <v>-0.26302341805745488</v>
      </c>
      <c r="AI108" s="46">
        <v>0</v>
      </c>
      <c r="AJ108" s="18">
        <v>-1.796876068921649</v>
      </c>
      <c r="AK108" s="46">
        <v>0</v>
      </c>
      <c r="AL108" s="48"/>
      <c r="AM108" s="48"/>
      <c r="AN108" s="48"/>
      <c r="AO108" s="48"/>
      <c r="AP108" s="48"/>
      <c r="AQ108" s="48"/>
    </row>
    <row r="109" spans="1:43" ht="20" customHeight="1" x14ac:dyDescent="0.45">
      <c r="A109" s="26">
        <v>99</v>
      </c>
      <c r="B109" s="16" t="s">
        <v>325</v>
      </c>
      <c r="C109" s="16" t="s">
        <v>220</v>
      </c>
      <c r="D109" s="46">
        <v>26</v>
      </c>
      <c r="E109" s="46">
        <v>1</v>
      </c>
      <c r="F109" s="13">
        <v>0.56825954357675945</v>
      </c>
      <c r="G109" s="13">
        <v>1.9359350940902381E-2</v>
      </c>
      <c r="H109" s="13">
        <v>-1.537602827332561E-2</v>
      </c>
      <c r="I109" s="13">
        <v>-2.3818747735553621E-3</v>
      </c>
      <c r="J109" s="13">
        <v>0.39462320243545712</v>
      </c>
      <c r="K109" s="13">
        <v>16.212534435261681</v>
      </c>
      <c r="L109" s="13">
        <v>2.9246007221830039</v>
      </c>
      <c r="M109" s="13">
        <v>-0.8097596436965584</v>
      </c>
      <c r="N109" s="19">
        <f>(F109-Settings!$D$18)/Settings!$E$18</f>
        <v>1.3454554142309423</v>
      </c>
      <c r="O109" s="19">
        <f>(G109-Settings!$D$19)/Settings!$E$19</f>
        <v>0.10832451029262084</v>
      </c>
      <c r="P109" s="19">
        <f>(H109-Settings!$D$20)/Settings!$E$20</f>
        <v>-0.62065238371337839</v>
      </c>
      <c r="Q109" s="19">
        <f>(I109-Settings!$D$21)/Settings!$E$21</f>
        <v>6.9184777882650896E-3</v>
      </c>
      <c r="R109" s="19">
        <f>(J109-Settings!$D$22)/Settings!$E$22</f>
        <v>0.39486999835153364</v>
      </c>
      <c r="S109" s="19">
        <f>(K109-Settings!$D$23)/Settings!$E$23</f>
        <v>0.33245619939237725</v>
      </c>
      <c r="T109" s="19">
        <f>(L109-Settings!$D$24)/Settings!$E$24</f>
        <v>1.1174592783306661</v>
      </c>
      <c r="U109" s="19">
        <f>(M109-Settings!$D$25)/Settings!$E$25</f>
        <v>-0.5101406643943347</v>
      </c>
      <c r="V109" s="31">
        <f>Settings!$B$18*(N109-F$6)^2</f>
        <v>0.33733243756244435</v>
      </c>
      <c r="W109" s="31">
        <f>Settings!$B$19*(O109-G$6)^2</f>
        <v>3.1318744092341227E-2</v>
      </c>
      <c r="X109" s="31">
        <f>Settings!$B$20*(P109-H$6)^2</f>
        <v>1.6613997032046706</v>
      </c>
      <c r="Y109" s="31">
        <f>Settings!$B$21*(Q109-I$6)^2</f>
        <v>0.1502171019836748</v>
      </c>
      <c r="Z109" s="31">
        <f>Settings!$B$22*(R109-J$6)^2</f>
        <v>1.1713118057252669E-2</v>
      </c>
      <c r="AA109" s="31">
        <f>Settings!$B$23*(S109-K$6)^2</f>
        <v>1.9470999415525754</v>
      </c>
      <c r="AB109" s="31">
        <f>Settings!$B$24*(T109-L$6)^2</f>
        <v>0.1670819274554744</v>
      </c>
      <c r="AC109" s="31">
        <f>Settings!$B$25*(U109-M$6)^2</f>
        <v>0.10771902654545298</v>
      </c>
      <c r="AD109" s="19">
        <f t="shared" si="4"/>
        <v>2.1009240825060496</v>
      </c>
      <c r="AE109" s="15">
        <f t="shared" si="5"/>
        <v>0.83158384075242686</v>
      </c>
      <c r="AF109" s="33">
        <f t="shared" si="6"/>
        <v>0.70767817614245032</v>
      </c>
      <c r="AG109" s="47">
        <f t="shared" si="7"/>
        <v>3.0553296701199923E-3</v>
      </c>
      <c r="AH109" s="18">
        <v>0.10971953518638421</v>
      </c>
      <c r="AI109" s="46">
        <v>1</v>
      </c>
      <c r="AJ109" s="18">
        <v>0.45569578305222391</v>
      </c>
      <c r="AK109" s="46">
        <v>1</v>
      </c>
      <c r="AL109" s="18">
        <v>-1.0808677186480591</v>
      </c>
      <c r="AM109" s="46">
        <v>1</v>
      </c>
      <c r="AN109" s="18">
        <v>-0.75578134747462844</v>
      </c>
      <c r="AO109" s="46">
        <v>1</v>
      </c>
      <c r="AP109" s="48"/>
      <c r="AQ109" s="48"/>
    </row>
    <row r="110" spans="1:43" ht="20" customHeight="1" x14ac:dyDescent="0.45">
      <c r="A110" s="26">
        <v>100</v>
      </c>
      <c r="B110" s="16" t="s">
        <v>326</v>
      </c>
      <c r="C110" s="16" t="s">
        <v>232</v>
      </c>
      <c r="D110" s="46">
        <v>26</v>
      </c>
      <c r="E110" s="46">
        <v>0</v>
      </c>
      <c r="F110" s="13">
        <v>-1.9286463499724911E-2</v>
      </c>
      <c r="G110" s="13">
        <v>0.17059602130341359</v>
      </c>
      <c r="H110" s="13">
        <v>-8.9592842096206868E-3</v>
      </c>
      <c r="I110" s="13">
        <v>-5.3766174351717808E-2</v>
      </c>
      <c r="J110" s="13">
        <v>0.74739205663552299</v>
      </c>
      <c r="K110" s="13">
        <v>17.153999999999971</v>
      </c>
      <c r="L110" s="13">
        <v>2.4412664844653542</v>
      </c>
      <c r="M110" s="13">
        <v>0.9243233967711264</v>
      </c>
      <c r="N110" s="19">
        <f>(F110-Settings!$D$18)/Settings!$E$18</f>
        <v>-0.75733511844838564</v>
      </c>
      <c r="O110" s="19">
        <f>(G110-Settings!$D$19)/Settings!$E$19</f>
        <v>0.73839575508783006</v>
      </c>
      <c r="P110" s="19">
        <f>(H110-Settings!$D$20)/Settings!$E$20</f>
        <v>-0.56251544856806979</v>
      </c>
      <c r="Q110" s="19">
        <f>(I110-Settings!$D$21)/Settings!$E$21</f>
        <v>-0.62497005711528775</v>
      </c>
      <c r="R110" s="19">
        <f>(J110-Settings!$D$22)/Settings!$E$22</f>
        <v>1.3440112091407914</v>
      </c>
      <c r="S110" s="19">
        <f>(K110-Settings!$D$23)/Settings!$E$23</f>
        <v>0.65940553516008416</v>
      </c>
      <c r="T110" s="19">
        <f>(L110-Settings!$D$24)/Settings!$E$24</f>
        <v>0.78330388219541391</v>
      </c>
      <c r="U110" s="19">
        <f>(M110-Settings!$D$25)/Settings!$E$25</f>
        <v>0.65934425145166298</v>
      </c>
      <c r="V110" s="31">
        <f>Settings!$B$18*(N110-F$6)^2</f>
        <v>0.12930730218087266</v>
      </c>
      <c r="W110" s="31">
        <f>Settings!$B$19*(O110-G$6)^2</f>
        <v>1.0984172009177255E-2</v>
      </c>
      <c r="X110" s="31">
        <f>Settings!$B$20*(P110-H$6)^2</f>
        <v>1.595051090035726</v>
      </c>
      <c r="Y110" s="31">
        <f>Settings!$B$21*(Q110-I$6)^2</f>
        <v>1.1022767201061941E-2</v>
      </c>
      <c r="Z110" s="31">
        <f>Settings!$B$22*(R110-J$6)^2</f>
        <v>0.28376504230004901</v>
      </c>
      <c r="AA110" s="31">
        <f>Settings!$B$23*(S110-K$6)^2</f>
        <v>1.1415552611945374</v>
      </c>
      <c r="AB110" s="31">
        <f>Settings!$B$24*(T110-L$6)^2</f>
        <v>0.55191817840805191</v>
      </c>
      <c r="AC110" s="31">
        <f>Settings!$B$25*(U110-M$6)^2</f>
        <v>0.70775060358291397</v>
      </c>
      <c r="AD110" s="19">
        <f t="shared" si="4"/>
        <v>2.1050782448432623</v>
      </c>
      <c r="AE110" s="15">
        <f t="shared" si="5"/>
        <v>0.83322813351876412</v>
      </c>
      <c r="AF110" s="33">
        <f t="shared" si="6"/>
        <v>0.7067102260524879</v>
      </c>
      <c r="AG110" s="47">
        <f t="shared" si="7"/>
        <v>3.0511506425213481E-3</v>
      </c>
      <c r="AH110" s="18">
        <v>-0.51659787339204577</v>
      </c>
      <c r="AI110" s="46">
        <v>0</v>
      </c>
      <c r="AJ110" s="18">
        <v>-0.5627081691096063</v>
      </c>
      <c r="AK110" s="46">
        <v>0</v>
      </c>
      <c r="AL110" s="18">
        <v>-0.21641419222880121</v>
      </c>
      <c r="AM110" s="46">
        <v>1</v>
      </c>
      <c r="AN110" s="18">
        <v>-0.39070394733546809</v>
      </c>
      <c r="AO110" s="46">
        <v>1</v>
      </c>
      <c r="AP110" s="18">
        <v>0.47079934192450451</v>
      </c>
      <c r="AQ110" s="46">
        <v>1</v>
      </c>
    </row>
    <row r="111" spans="1:43" ht="20" customHeight="1" x14ac:dyDescent="0.45">
      <c r="A111" s="26">
        <v>101</v>
      </c>
      <c r="B111" s="16" t="s">
        <v>327</v>
      </c>
      <c r="C111" s="16" t="s">
        <v>246</v>
      </c>
      <c r="D111" s="46">
        <v>26</v>
      </c>
      <c r="E111" s="46">
        <v>1</v>
      </c>
      <c r="F111" s="13">
        <v>0.25365588514850068</v>
      </c>
      <c r="G111" s="13">
        <v>4.9741143481879697E-2</v>
      </c>
      <c r="H111" s="13">
        <v>3.5166482178121287E-2</v>
      </c>
      <c r="I111" s="13">
        <v>8.4723996499918344E-6</v>
      </c>
      <c r="J111" s="13">
        <v>0.66142801679184837</v>
      </c>
      <c r="K111" s="13">
        <v>17.235670731707319</v>
      </c>
      <c r="L111" s="13">
        <v>3.2709430971421449</v>
      </c>
      <c r="M111" s="13">
        <v>1.6830404578759499</v>
      </c>
      <c r="N111" s="19">
        <f>(F111-Settings!$D$18)/Settings!$E$18</f>
        <v>0.21950853258852088</v>
      </c>
      <c r="O111" s="19">
        <f>(G111-Settings!$D$19)/Settings!$E$19</f>
        <v>0.23489893036890747</v>
      </c>
      <c r="P111" s="19">
        <f>(H111-Settings!$D$20)/Settings!$E$20</f>
        <v>-0.16272751979099354</v>
      </c>
      <c r="Q111" s="19">
        <f>(I111-Settings!$D$21)/Settings!$E$21</f>
        <v>3.6313312116793943E-2</v>
      </c>
      <c r="R111" s="19">
        <f>(J111-Settings!$D$22)/Settings!$E$22</f>
        <v>1.1127209127041111</v>
      </c>
      <c r="S111" s="19">
        <f>(K111-Settings!$D$23)/Settings!$E$23</f>
        <v>0.68776790175476965</v>
      </c>
      <c r="T111" s="19">
        <f>(L111-Settings!$D$24)/Settings!$E$24</f>
        <v>1.3569047065076436</v>
      </c>
      <c r="U111" s="19">
        <f>(M111-Settings!$D$25)/Settings!$E$25</f>
        <v>1.1710314876740926</v>
      </c>
      <c r="V111" s="31">
        <f>Settings!$B$18*(N111-F$6)^2</f>
        <v>5.9698054266786003E-3</v>
      </c>
      <c r="W111" s="31">
        <f>Settings!$B$19*(O111-G$6)^2</f>
        <v>1.4487787302005662E-2</v>
      </c>
      <c r="X111" s="31">
        <f>Settings!$B$20*(P111-H$6)^2</f>
        <v>1.1754088111190908</v>
      </c>
      <c r="Y111" s="31">
        <f>Settings!$B$21*(Q111-I$6)^2</f>
        <v>0.16057994880939783</v>
      </c>
      <c r="Z111" s="31">
        <f>Settings!$B$22*(R111-J$6)^2</f>
        <v>0.18426401706907114</v>
      </c>
      <c r="AA111" s="31">
        <f>Settings!$B$23*(S111-K$6)^2</f>
        <v>1.0817529439736342</v>
      </c>
      <c r="AB111" s="31">
        <f>Settings!$B$24*(T111-L$6)^2</f>
        <v>2.8666260234187387E-2</v>
      </c>
      <c r="AC111" s="31">
        <f>Settings!$B$25*(U111-M$6)^2</f>
        <v>1.8305180347827068</v>
      </c>
      <c r="AD111" s="19">
        <f t="shared" si="4"/>
        <v>2.1169902240484655</v>
      </c>
      <c r="AE111" s="15">
        <f t="shared" si="5"/>
        <v>0.83794311084750706</v>
      </c>
      <c r="AF111" s="33">
        <f t="shared" si="6"/>
        <v>0.70393142973787082</v>
      </c>
      <c r="AG111" s="47">
        <f t="shared" si="7"/>
        <v>3.0391534676564268E-3</v>
      </c>
      <c r="AH111" s="18">
        <v>-0.22873143555157821</v>
      </c>
      <c r="AI111" s="46">
        <v>1</v>
      </c>
      <c r="AJ111" s="48"/>
      <c r="AK111" s="48"/>
      <c r="AL111" s="48"/>
      <c r="AM111" s="48"/>
      <c r="AN111" s="48"/>
      <c r="AO111" s="48"/>
      <c r="AP111" s="48"/>
      <c r="AQ111" s="48"/>
    </row>
    <row r="112" spans="1:43" ht="20" customHeight="1" x14ac:dyDescent="0.45">
      <c r="A112" s="26">
        <v>102</v>
      </c>
      <c r="B112" s="16" t="s">
        <v>328</v>
      </c>
      <c r="C112" s="16" t="s">
        <v>227</v>
      </c>
      <c r="D112" s="46">
        <v>26</v>
      </c>
      <c r="E112" s="46">
        <v>0</v>
      </c>
      <c r="F112" s="13">
        <v>0.31332047275518521</v>
      </c>
      <c r="G112" s="13">
        <v>5.8486197810784797E-2</v>
      </c>
      <c r="H112" s="13">
        <v>-3.1445724066454499E-3</v>
      </c>
      <c r="I112" s="13">
        <v>8.138099427978494E-3</v>
      </c>
      <c r="J112" s="13">
        <v>0.61691065759940622</v>
      </c>
      <c r="K112" s="13">
        <v>17.84601677148849</v>
      </c>
      <c r="L112" s="13">
        <v>1.8333949699190291</v>
      </c>
      <c r="M112" s="13">
        <v>-1.4082323668433581</v>
      </c>
      <c r="N112" s="19">
        <f>(F112-Settings!$D$18)/Settings!$E$18</f>
        <v>0.43304437224102393</v>
      </c>
      <c r="O112" s="19">
        <f>(G112-Settings!$D$19)/Settings!$E$19</f>
        <v>0.2713319413153108</v>
      </c>
      <c r="P112" s="19">
        <f>(H112-Settings!$D$20)/Settings!$E$20</f>
        <v>-0.50983304147467434</v>
      </c>
      <c r="Q112" s="19">
        <f>(I112-Settings!$D$21)/Settings!$E$21</f>
        <v>0.13628583591131846</v>
      </c>
      <c r="R112" s="19">
        <f>(J112-Settings!$D$22)/Settings!$E$22</f>
        <v>0.9929448618935377</v>
      </c>
      <c r="S112" s="19">
        <f>(K112-Settings!$D$23)/Settings!$E$23</f>
        <v>0.89972704266118786</v>
      </c>
      <c r="T112" s="19">
        <f>(L112-Settings!$D$24)/Settings!$E$24</f>
        <v>0.36304905460088704</v>
      </c>
      <c r="U112" s="19">
        <f>(M112-Settings!$D$25)/Settings!$E$25</f>
        <v>-0.91375733437612205</v>
      </c>
      <c r="V112" s="31">
        <f>Settings!$B$18*(N112-F$6)^2</f>
        <v>2.9846241006753479E-2</v>
      </c>
      <c r="W112" s="31">
        <f>Settings!$B$19*(O112-G$6)^2</f>
        <v>1.0830957625680492E-2</v>
      </c>
      <c r="X112" s="31">
        <f>Settings!$B$20*(P112-H$6)^2</f>
        <v>1.5360950875533761</v>
      </c>
      <c r="Y112" s="31">
        <f>Settings!$B$21*(Q112-I$6)^2</f>
        <v>0.19841087116454714</v>
      </c>
      <c r="Z112" s="31">
        <f>Settings!$B$22*(R112-J$6)^2</f>
        <v>0.14114625936446051</v>
      </c>
      <c r="AA112" s="31">
        <f>Settings!$B$23*(S112-K$6)^2</f>
        <v>0.68577343837195126</v>
      </c>
      <c r="AB112" s="31">
        <f>Settings!$B$24*(T112-L$6)^2</f>
        <v>1.3529569727834869</v>
      </c>
      <c r="AC112" s="31">
        <f>Settings!$B$25*(U112-M$6)^2</f>
        <v>0.5355640816187871</v>
      </c>
      <c r="AD112" s="19">
        <f t="shared" si="4"/>
        <v>2.119109225474006</v>
      </c>
      <c r="AE112" s="15">
        <f t="shared" si="5"/>
        <v>0.83878185002836736</v>
      </c>
      <c r="AF112" s="33">
        <f t="shared" si="6"/>
        <v>0.70343662204905366</v>
      </c>
      <c r="AG112" s="47">
        <f t="shared" si="7"/>
        <v>3.0370171850019477E-3</v>
      </c>
      <c r="AH112" s="18">
        <v>-1.108804139389941</v>
      </c>
      <c r="AI112" s="46">
        <v>0</v>
      </c>
      <c r="AJ112" s="18">
        <v>0.17792482902989981</v>
      </c>
      <c r="AK112" s="46">
        <v>0</v>
      </c>
      <c r="AL112" s="18">
        <v>-0.1012734000577112</v>
      </c>
      <c r="AM112" s="46">
        <v>0</v>
      </c>
      <c r="AN112" s="18">
        <v>0.54368930642048052</v>
      </c>
      <c r="AO112" s="46">
        <v>1</v>
      </c>
      <c r="AP112" s="18">
        <v>0.56611319935357352</v>
      </c>
      <c r="AQ112" s="46">
        <v>1</v>
      </c>
    </row>
    <row r="113" spans="1:43" ht="20" customHeight="1" x14ac:dyDescent="0.45">
      <c r="A113" s="26">
        <v>103</v>
      </c>
      <c r="B113" s="16" t="s">
        <v>329</v>
      </c>
      <c r="C113" s="16" t="s">
        <v>258</v>
      </c>
      <c r="D113" s="46">
        <v>26</v>
      </c>
      <c r="E113" s="46">
        <v>0</v>
      </c>
      <c r="F113" s="13">
        <v>0.17800978226762179</v>
      </c>
      <c r="G113" s="13">
        <v>-0.10828014872253471</v>
      </c>
      <c r="H113" s="13">
        <v>4.9194331980965782E-2</v>
      </c>
      <c r="I113" s="13">
        <v>4.7081989584201091E-3</v>
      </c>
      <c r="J113" s="13">
        <v>0.65980753807045756</v>
      </c>
      <c r="K113" s="13">
        <v>18.128042328042302</v>
      </c>
      <c r="L113" s="13">
        <v>1.4035999824747301</v>
      </c>
      <c r="M113" s="13">
        <v>-1.0460689245767989</v>
      </c>
      <c r="N113" s="19">
        <f>(F113-Settings!$D$18)/Settings!$E$18</f>
        <v>-5.1224153969064302E-2</v>
      </c>
      <c r="O113" s="19">
        <f>(G113-Settings!$D$19)/Settings!$E$19</f>
        <v>-0.4234379137624027</v>
      </c>
      <c r="P113" s="19">
        <f>(H113-Settings!$D$20)/Settings!$E$20</f>
        <v>-3.5632503047373809E-2</v>
      </c>
      <c r="Q113" s="19">
        <f>(I113-Settings!$D$21)/Settings!$E$21</f>
        <v>9.4107294987986853E-2</v>
      </c>
      <c r="R113" s="19">
        <f>(J113-Settings!$D$22)/Settings!$E$22</f>
        <v>1.108360938411123</v>
      </c>
      <c r="S113" s="19">
        <f>(K113-Settings!$D$23)/Settings!$E$23</f>
        <v>0.99766803151766148</v>
      </c>
      <c r="T113" s="19">
        <f>(L113-Settings!$D$24)/Settings!$E$24</f>
        <v>6.590827068999594E-2</v>
      </c>
      <c r="U113" s="19">
        <f>(M113-Settings!$D$25)/Settings!$E$25</f>
        <v>-0.66951027531522889</v>
      </c>
      <c r="V113" s="31">
        <f>Settings!$B$18*(N113-F$6)^2</f>
        <v>1.9193881430526263E-3</v>
      </c>
      <c r="W113" s="31">
        <f>Settings!$B$19*(O113-G$6)^2</f>
        <v>0.17204444909833552</v>
      </c>
      <c r="X113" s="31">
        <f>Settings!$B$20*(P113-H$6)^2</f>
        <v>1.0553948149356669</v>
      </c>
      <c r="Y113" s="31">
        <f>Settings!$B$21*(Q113-I$6)^2</f>
        <v>0.18196242146875649</v>
      </c>
      <c r="Z113" s="31">
        <f>Settings!$B$22*(R113-J$6)^2</f>
        <v>0.18259384308935192</v>
      </c>
      <c r="AA113" s="31">
        <f>Settings!$B$23*(S113-K$6)^2</f>
        <v>0.53315319172288134</v>
      </c>
      <c r="AB113" s="31">
        <f>Settings!$B$24*(T113-L$6)^2</f>
        <v>2.1324981996554326</v>
      </c>
      <c r="AC113" s="31">
        <f>Settings!$B$25*(U113-M$6)^2</f>
        <v>0.23772975071960312</v>
      </c>
      <c r="AD113" s="19">
        <f t="shared" si="4"/>
        <v>2.1206829227475472</v>
      </c>
      <c r="AE113" s="15">
        <f t="shared" si="5"/>
        <v>0.83940474793972453</v>
      </c>
      <c r="AF113" s="33">
        <f t="shared" si="6"/>
        <v>0.70306905327414682</v>
      </c>
      <c r="AG113" s="47">
        <f t="shared" si="7"/>
        <v>3.0354302436186422E-3</v>
      </c>
      <c r="AH113" s="18">
        <v>-0.20685978029204111</v>
      </c>
      <c r="AI113" s="46">
        <v>0</v>
      </c>
      <c r="AJ113" s="18">
        <v>-0.55826536042020858</v>
      </c>
      <c r="AK113" s="46">
        <v>0</v>
      </c>
      <c r="AL113" s="18">
        <v>0.1217286052689518</v>
      </c>
      <c r="AM113" s="46">
        <v>0</v>
      </c>
      <c r="AN113" s="18">
        <v>1.102173431034299</v>
      </c>
      <c r="AO113" s="46">
        <v>0</v>
      </c>
      <c r="AP113" s="18">
        <v>0.19896604499545931</v>
      </c>
      <c r="AQ113" s="46">
        <v>0</v>
      </c>
    </row>
    <row r="114" spans="1:43" ht="20" customHeight="1" x14ac:dyDescent="0.45">
      <c r="A114" s="26">
        <v>104</v>
      </c>
      <c r="B114" s="16" t="s">
        <v>330</v>
      </c>
      <c r="C114" s="16" t="s">
        <v>236</v>
      </c>
      <c r="D114" s="46">
        <v>26</v>
      </c>
      <c r="E114" s="46">
        <v>0</v>
      </c>
      <c r="F114" s="13">
        <v>0.46945269053260241</v>
      </c>
      <c r="G114" s="13">
        <v>-4.7245266163980802E-2</v>
      </c>
      <c r="H114" s="13">
        <v>-5.3247825158014343E-2</v>
      </c>
      <c r="I114" s="13">
        <v>-2.7432925116450419E-2</v>
      </c>
      <c r="J114" s="13">
        <v>0.40262129302895211</v>
      </c>
      <c r="K114" s="13">
        <v>18.732882882882901</v>
      </c>
      <c r="L114" s="13">
        <v>1.5618365262485909</v>
      </c>
      <c r="M114" s="13">
        <v>-5.6689117435293479E-3</v>
      </c>
      <c r="N114" s="19">
        <f>(F114-Settings!$D$18)/Settings!$E$18</f>
        <v>0.99183184664188639</v>
      </c>
      <c r="O114" s="19">
        <f>(G114-Settings!$D$19)/Settings!$E$19</f>
        <v>-0.16915881374374689</v>
      </c>
      <c r="P114" s="19">
        <f>(H114-Settings!$D$20)/Settings!$E$20</f>
        <v>-0.96377814616590041</v>
      </c>
      <c r="Q114" s="19">
        <f>(I114-Settings!$D$21)/Settings!$E$21</f>
        <v>-0.30114199260675006</v>
      </c>
      <c r="R114" s="19">
        <f>(J114-Settings!$D$22)/Settings!$E$22</f>
        <v>0.41638923764811492</v>
      </c>
      <c r="S114" s="19">
        <f>(K114-Settings!$D$23)/Settings!$E$23</f>
        <v>1.2077152441371444</v>
      </c>
      <c r="T114" s="19">
        <f>(L114-Settings!$D$24)/Settings!$E$24</f>
        <v>0.17530584868387286</v>
      </c>
      <c r="U114" s="19">
        <f>(M114-Settings!$D$25)/Settings!$E$25</f>
        <v>3.2147080797507499E-2</v>
      </c>
      <c r="V114" s="31">
        <f>Settings!$B$18*(N114-F$6)^2</f>
        <v>0.17863978676214809</v>
      </c>
      <c r="W114" s="31">
        <f>Settings!$B$19*(O114-G$6)^2</f>
        <v>9.0640339654769961E-2</v>
      </c>
      <c r="X114" s="31">
        <f>Settings!$B$20*(P114-H$6)^2</f>
        <v>2.0805277250951817</v>
      </c>
      <c r="Y114" s="31">
        <f>Settings!$B$21*(Q114-I$6)^2</f>
        <v>6.2404876290841904E-2</v>
      </c>
      <c r="Z114" s="31">
        <f>Settings!$B$22*(R114-J$6)^2</f>
        <v>1.3888824235389001E-2</v>
      </c>
      <c r="AA114" s="31">
        <f>Settings!$B$23*(S114-K$6)^2</f>
        <v>0.27053124912880216</v>
      </c>
      <c r="AB114" s="31">
        <f>Settings!$B$24*(T114-L$6)^2</f>
        <v>1.8249578071089587</v>
      </c>
      <c r="AC114" s="31">
        <f>Settings!$B$25*(U114-M$6)^2</f>
        <v>4.5831092699424369E-2</v>
      </c>
      <c r="AD114" s="19">
        <f t="shared" si="4"/>
        <v>2.1371527088571645</v>
      </c>
      <c r="AE114" s="15">
        <f t="shared" si="5"/>
        <v>0.84592378787241429</v>
      </c>
      <c r="AF114" s="33">
        <f t="shared" si="6"/>
        <v>0.69921742931309705</v>
      </c>
      <c r="AG114" s="47">
        <f t="shared" si="7"/>
        <v>3.0188012428057479E-3</v>
      </c>
      <c r="AH114" s="18">
        <v>0.16377711623106281</v>
      </c>
      <c r="AI114" s="46">
        <v>1</v>
      </c>
      <c r="AJ114" s="18">
        <v>-9.062358332561371E-2</v>
      </c>
      <c r="AK114" s="46">
        <v>1</v>
      </c>
      <c r="AL114" s="18">
        <v>-0.20712968271777041</v>
      </c>
      <c r="AM114" s="46">
        <v>1</v>
      </c>
      <c r="AN114" s="18">
        <v>-0.25275413764250271</v>
      </c>
      <c r="AO114" s="46">
        <v>1</v>
      </c>
      <c r="AP114" s="18">
        <v>-1.578437789360595</v>
      </c>
      <c r="AQ114" s="46">
        <v>1</v>
      </c>
    </row>
    <row r="115" spans="1:43" ht="20" customHeight="1" x14ac:dyDescent="0.45">
      <c r="A115" s="26">
        <v>105</v>
      </c>
      <c r="B115" s="16" t="s">
        <v>331</v>
      </c>
      <c r="C115" s="16" t="s">
        <v>224</v>
      </c>
      <c r="D115" s="46">
        <v>26</v>
      </c>
      <c r="E115" s="46">
        <v>0</v>
      </c>
      <c r="F115" s="13">
        <v>0.21125408223994241</v>
      </c>
      <c r="G115" s="13">
        <v>3.4971061301278243E-2</v>
      </c>
      <c r="H115" s="13">
        <v>2.029560065262315E-2</v>
      </c>
      <c r="I115" s="13">
        <v>-2.0715405690230421E-2</v>
      </c>
      <c r="J115" s="13">
        <v>0.7127638501159258</v>
      </c>
      <c r="K115" s="13">
        <v>18.387962962962959</v>
      </c>
      <c r="L115" s="13">
        <v>2.6186152319413352</v>
      </c>
      <c r="M115" s="13">
        <v>-2.5041154450329302</v>
      </c>
      <c r="N115" s="19">
        <f>(F115-Settings!$D$18)/Settings!$E$18</f>
        <v>6.7755123237133077E-2</v>
      </c>
      <c r="O115" s="19">
        <f>(G115-Settings!$D$19)/Settings!$E$19</f>
        <v>0.17336488546463713</v>
      </c>
      <c r="P115" s="19">
        <f>(H115-Settings!$D$20)/Settings!$E$20</f>
        <v>-0.29746056605531296</v>
      </c>
      <c r="Q115" s="19">
        <f>(I115-Settings!$D$21)/Settings!$E$21</f>
        <v>-0.21853459028216429</v>
      </c>
      <c r="R115" s="19">
        <f>(J115-Settings!$D$22)/Settings!$E$22</f>
        <v>1.2508423891835991</v>
      </c>
      <c r="S115" s="19">
        <f>(K115-Settings!$D$23)/Settings!$E$23</f>
        <v>1.0879324895313252</v>
      </c>
      <c r="T115" s="19">
        <f>(L115-Settings!$D$24)/Settings!$E$24</f>
        <v>0.90591477201519621</v>
      </c>
      <c r="U115" s="19">
        <f>(M115-Settings!$D$25)/Settings!$E$25</f>
        <v>-1.6528330877079407</v>
      </c>
      <c r="V115" s="31">
        <f>Settings!$B$18*(N115-F$6)^2</f>
        <v>8.8328571743104628E-5</v>
      </c>
      <c r="W115" s="31">
        <f>Settings!$B$19*(O115-G$6)^2</f>
        <v>2.186970292301323E-2</v>
      </c>
      <c r="X115" s="31">
        <f>Settings!$B$20*(P115-H$6)^2</f>
        <v>1.3096906672192326</v>
      </c>
      <c r="Y115" s="31">
        <f>Settings!$B$21*(Q115-I$6)^2</f>
        <v>8.2227187547161226E-2</v>
      </c>
      <c r="Z115" s="31">
        <f>Settings!$B$22*(R115-J$6)^2</f>
        <v>0.24111011724818546</v>
      </c>
      <c r="AA115" s="31">
        <f>Settings!$B$23*(S115-K$6)^2</f>
        <v>0.40948345197924418</v>
      </c>
      <c r="AB115" s="31">
        <f>Settings!$B$24*(T115-L$6)^2</f>
        <v>0.38477341607780491</v>
      </c>
      <c r="AC115" s="31">
        <f>Settings!$B$25*(U115-M$6)^2</f>
        <v>2.1635414909887709</v>
      </c>
      <c r="AD115" s="19">
        <f t="shared" si="4"/>
        <v>2.147739360945633</v>
      </c>
      <c r="AE115" s="15">
        <f t="shared" si="5"/>
        <v>0.85011417670071354</v>
      </c>
      <c r="AF115" s="33">
        <f t="shared" si="6"/>
        <v>0.69673714919623497</v>
      </c>
      <c r="AG115" s="47">
        <f t="shared" si="7"/>
        <v>3.00809288173608E-3</v>
      </c>
      <c r="AH115" s="18">
        <v>-1.401934775833636</v>
      </c>
      <c r="AI115" s="46">
        <v>0</v>
      </c>
      <c r="AJ115" s="18">
        <v>0.13810829438423999</v>
      </c>
      <c r="AK115" s="46">
        <v>1</v>
      </c>
      <c r="AL115" s="18">
        <v>0.32117122563912098</v>
      </c>
      <c r="AM115" s="46">
        <v>1</v>
      </c>
      <c r="AN115" s="18">
        <v>0.30951617453324198</v>
      </c>
      <c r="AO115" s="46">
        <v>1</v>
      </c>
      <c r="AP115" s="18">
        <v>0.30373836194620057</v>
      </c>
      <c r="AQ115" s="46">
        <v>1</v>
      </c>
    </row>
    <row r="116" spans="1:43" ht="20" customHeight="1" x14ac:dyDescent="0.45">
      <c r="A116" s="26">
        <v>106</v>
      </c>
      <c r="B116" s="16" t="s">
        <v>332</v>
      </c>
      <c r="C116" s="16" t="s">
        <v>236</v>
      </c>
      <c r="D116" s="46">
        <v>26</v>
      </c>
      <c r="E116" s="46">
        <v>0</v>
      </c>
      <c r="F116" s="13">
        <v>0.20947914191941019</v>
      </c>
      <c r="G116" s="13">
        <v>8.2533383948717842E-2</v>
      </c>
      <c r="H116" s="13">
        <v>-2.2852022565752361E-2</v>
      </c>
      <c r="I116" s="13">
        <v>1.6538041012914281E-2</v>
      </c>
      <c r="J116" s="13">
        <v>0.66859741055320532</v>
      </c>
      <c r="K116" s="13">
        <v>15.748202614379119</v>
      </c>
      <c r="L116" s="13">
        <v>3.4281585375412429</v>
      </c>
      <c r="M116" s="13">
        <v>-0.63561104746508734</v>
      </c>
      <c r="N116" s="19">
        <f>(F116-Settings!$D$18)/Settings!$E$18</f>
        <v>6.140272247679552E-2</v>
      </c>
      <c r="O116" s="19">
        <f>(G116-Settings!$D$19)/Settings!$E$19</f>
        <v>0.37151558373108129</v>
      </c>
      <c r="P116" s="19">
        <f>(H116-Settings!$D$20)/Settings!$E$20</f>
        <v>-0.68838632962278745</v>
      </c>
      <c r="Q116" s="19">
        <f>(I116-Settings!$D$21)/Settings!$E$21</f>
        <v>0.2395825009423671</v>
      </c>
      <c r="R116" s="19">
        <f>(J116-Settings!$D$22)/Settings!$E$22</f>
        <v>1.1320105041582933</v>
      </c>
      <c r="S116" s="19">
        <f>(K116-Settings!$D$23)/Settings!$E$23</f>
        <v>0.17120443820282766</v>
      </c>
      <c r="T116" s="19">
        <f>(L116-Settings!$D$24)/Settings!$E$24</f>
        <v>1.4655963398858438</v>
      </c>
      <c r="U116" s="19">
        <f>(M116-Settings!$D$25)/Settings!$E$25</f>
        <v>-0.39269291151536523</v>
      </c>
      <c r="V116" s="31">
        <f>Settings!$B$18*(N116-F$6)^2</f>
        <v>4.3000126258867105E-5</v>
      </c>
      <c r="W116" s="31">
        <f>Settings!$B$19*(O116-G$6)^2</f>
        <v>3.5127432245851604E-3</v>
      </c>
      <c r="X116" s="31">
        <f>Settings!$B$20*(P116-H$6)^2</f>
        <v>1.7404060241146373</v>
      </c>
      <c r="Y116" s="31">
        <f>Settings!$B$21*(Q116-I$6)^2</f>
        <v>0.24169909829460098</v>
      </c>
      <c r="Z116" s="31">
        <f>Settings!$B$22*(R116-J$6)^2</f>
        <v>0.19174451288654992</v>
      </c>
      <c r="AA116" s="31">
        <f>Settings!$B$23*(S116-K$6)^2</f>
        <v>2.4231187239576886</v>
      </c>
      <c r="AB116" s="31">
        <f>Settings!$B$24*(T116-L$6)^2</f>
        <v>3.6747239049814361E-3</v>
      </c>
      <c r="AC116" s="31">
        <f>Settings!$B$25*(U116-M$6)^2</f>
        <v>4.4418941192680091E-2</v>
      </c>
      <c r="AD116" s="19">
        <f t="shared" si="4"/>
        <v>2.1560653440241513</v>
      </c>
      <c r="AE116" s="15">
        <f t="shared" si="5"/>
        <v>0.85340975174986766</v>
      </c>
      <c r="AF116" s="33">
        <f t="shared" si="6"/>
        <v>0.69478411873790913</v>
      </c>
      <c r="AG116" s="47">
        <f t="shared" si="7"/>
        <v>2.9996608682769424E-3</v>
      </c>
      <c r="AH116" s="18">
        <v>-0.55672120376554535</v>
      </c>
      <c r="AI116" s="46">
        <v>1</v>
      </c>
      <c r="AJ116" s="18">
        <v>-1.0652207232870889</v>
      </c>
      <c r="AK116" s="46">
        <v>1</v>
      </c>
      <c r="AL116" s="18">
        <v>-1.5635162270351E-2</v>
      </c>
      <c r="AM116" s="46">
        <v>1</v>
      </c>
      <c r="AN116" s="18">
        <v>0.77831942710259971</v>
      </c>
      <c r="AO116" s="46">
        <v>1</v>
      </c>
      <c r="AP116" s="18">
        <v>-0.62046171441563858</v>
      </c>
      <c r="AQ116" s="46">
        <v>1</v>
      </c>
    </row>
    <row r="117" spans="1:43" ht="20" customHeight="1" x14ac:dyDescent="0.45">
      <c r="A117" s="26">
        <v>107</v>
      </c>
      <c r="B117" s="16" t="s">
        <v>333</v>
      </c>
      <c r="C117" s="16" t="s">
        <v>224</v>
      </c>
      <c r="D117" s="46">
        <v>26</v>
      </c>
      <c r="E117" s="46">
        <v>0</v>
      </c>
      <c r="F117" s="13">
        <v>0.52891501225896231</v>
      </c>
      <c r="G117" s="13">
        <v>-0.13510118384380809</v>
      </c>
      <c r="H117" s="13">
        <v>5.9129304497643177E-2</v>
      </c>
      <c r="I117" s="13">
        <v>-1.9504712999396731E-4</v>
      </c>
      <c r="J117" s="13">
        <v>0.27665945226959232</v>
      </c>
      <c r="K117" s="13">
        <v>16.97726269315676</v>
      </c>
      <c r="L117" s="13">
        <v>3.1519673984760042</v>
      </c>
      <c r="M117" s="13">
        <v>-2.275525987050047</v>
      </c>
      <c r="N117" s="19">
        <f>(F117-Settings!$D$18)/Settings!$E$18</f>
        <v>1.2046437893176285</v>
      </c>
      <c r="O117" s="19">
        <f>(G117-Settings!$D$19)/Settings!$E$19</f>
        <v>-0.53517776458727073</v>
      </c>
      <c r="P117" s="19">
        <f>(H117-Settings!$D$20)/Settings!$E$20</f>
        <v>5.438025843075911E-2</v>
      </c>
      <c r="Q117" s="19">
        <f>(I117-Settings!$D$21)/Settings!$E$21</f>
        <v>3.3810569869322786E-2</v>
      </c>
      <c r="R117" s="19">
        <f>(J117-Settings!$D$22)/Settings!$E$22</f>
        <v>7.7482974727922801E-2</v>
      </c>
      <c r="S117" s="19">
        <f>(K117-Settings!$D$23)/Settings!$E$23</f>
        <v>0.59802873366886411</v>
      </c>
      <c r="T117" s="19">
        <f>(L117-Settings!$D$24)/Settings!$E$24</f>
        <v>1.2746502982414591</v>
      </c>
      <c r="U117" s="19">
        <f>(M117-Settings!$D$25)/Settings!$E$25</f>
        <v>-1.4986698113285728</v>
      </c>
      <c r="V117" s="31">
        <f>Settings!$B$18*(N117-F$6)^2</f>
        <v>0.26814831920435239</v>
      </c>
      <c r="W117" s="31">
        <f>Settings!$B$19*(O117-G$6)^2</f>
        <v>0.21599627326532778</v>
      </c>
      <c r="X117" s="31">
        <f>Settings!$B$20*(P117-H$6)^2</f>
        <v>0.97430555314159162</v>
      </c>
      <c r="Y117" s="31">
        <f>Settings!$B$21*(Q117-I$6)^2</f>
        <v>0.15968417194944604</v>
      </c>
      <c r="Z117" s="31">
        <f>Settings!$B$22*(R117-J$6)^2</f>
        <v>1.1365415888747413E-3</v>
      </c>
      <c r="AA117" s="31">
        <f>Settings!$B$23*(S117-K$6)^2</f>
        <v>1.276476728592407</v>
      </c>
      <c r="AB117" s="31">
        <f>Settings!$B$24*(T117-L$6)^2</f>
        <v>6.3285222260457019E-2</v>
      </c>
      <c r="AC117" s="31">
        <f>Settings!$B$25*(U117-M$6)^2</f>
        <v>1.7337908377995397</v>
      </c>
      <c r="AD117" s="19">
        <f t="shared" si="4"/>
        <v>2.1662926043824262</v>
      </c>
      <c r="AE117" s="15">
        <f t="shared" si="5"/>
        <v>0.85745788681573099</v>
      </c>
      <c r="AF117" s="33">
        <f t="shared" si="6"/>
        <v>0.69238230376227483</v>
      </c>
      <c r="AG117" s="47">
        <f t="shared" si="7"/>
        <v>2.9892912725983031E-3</v>
      </c>
      <c r="AH117" s="18">
        <v>-0.22185943710676209</v>
      </c>
      <c r="AI117" s="46">
        <v>0</v>
      </c>
      <c r="AJ117" s="18">
        <v>-0.18288062918598899</v>
      </c>
      <c r="AK117" s="46">
        <v>1</v>
      </c>
      <c r="AL117" s="18">
        <v>-0.60654900308433302</v>
      </c>
      <c r="AM117" s="46">
        <v>1</v>
      </c>
      <c r="AN117" s="18">
        <v>0.54937195868615429</v>
      </c>
      <c r="AO117" s="46">
        <v>1</v>
      </c>
      <c r="AP117" s="18">
        <v>-0.4884074796633322</v>
      </c>
      <c r="AQ117" s="46">
        <v>1</v>
      </c>
    </row>
    <row r="118" spans="1:43" ht="20" customHeight="1" x14ac:dyDescent="0.45">
      <c r="A118" s="26">
        <v>108</v>
      </c>
      <c r="B118" s="16" t="s">
        <v>334</v>
      </c>
      <c r="C118" s="16" t="s">
        <v>242</v>
      </c>
      <c r="D118" s="46">
        <v>26</v>
      </c>
      <c r="E118" s="46">
        <v>0</v>
      </c>
      <c r="F118" s="13">
        <v>0.2523406241781469</v>
      </c>
      <c r="G118" s="13">
        <v>-0.1194239036195287</v>
      </c>
      <c r="H118" s="13">
        <v>0.16791395826157729</v>
      </c>
      <c r="I118" s="13">
        <v>1.128048219441919E-2</v>
      </c>
      <c r="J118" s="13">
        <v>0.44904103174632781</v>
      </c>
      <c r="K118" s="13">
        <v>16.53659673659671</v>
      </c>
      <c r="L118" s="13">
        <v>2.4734562706944212</v>
      </c>
      <c r="M118" s="13">
        <v>-2.3197635748586261</v>
      </c>
      <c r="N118" s="19">
        <f>(F118-Settings!$D$18)/Settings!$E$18</f>
        <v>0.21480129556682068</v>
      </c>
      <c r="O118" s="19">
        <f>(G118-Settings!$D$19)/Settings!$E$19</f>
        <v>-0.46986421700494074</v>
      </c>
      <c r="P118" s="19">
        <f>(H118-Settings!$D$20)/Settings!$E$20</f>
        <v>1.0399901406218643</v>
      </c>
      <c r="Q118" s="19">
        <f>(I118-Settings!$D$21)/Settings!$E$21</f>
        <v>0.17492868321474361</v>
      </c>
      <c r="R118" s="19">
        <f>(J118-Settings!$D$22)/Settings!$E$22</f>
        <v>0.54128373013566267</v>
      </c>
      <c r="S118" s="19">
        <f>(K118-Settings!$D$23)/Settings!$E$23</f>
        <v>0.44499558281453666</v>
      </c>
      <c r="T118" s="19">
        <f>(L118-Settings!$D$24)/Settings!$E$24</f>
        <v>0.80555844214480965</v>
      </c>
      <c r="U118" s="19">
        <f>(M118-Settings!$D$25)/Settings!$E$25</f>
        <v>-1.5285041332429334</v>
      </c>
      <c r="V118" s="31">
        <f>Settings!$B$18*(N118-F$6)^2</f>
        <v>5.6489317357110288E-3</v>
      </c>
      <c r="W118" s="31">
        <f>Settings!$B$19*(O118-G$6)^2</f>
        <v>0.18969934750324191</v>
      </c>
      <c r="X118" s="31">
        <f>Settings!$B$20*(P118-H$6)^2</f>
        <v>0.29843389411064042</v>
      </c>
      <c r="Y118" s="31">
        <f>Settings!$B$21*(Q118-I$6)^2</f>
        <v>0.2141051330830428</v>
      </c>
      <c r="Z118" s="31">
        <f>Settings!$B$22*(R118-J$6)^2</f>
        <v>3.0173555893183508E-2</v>
      </c>
      <c r="AA118" s="31">
        <f>Settings!$B$23*(S118-K$6)^2</f>
        <v>1.6456934674154611</v>
      </c>
      <c r="AB118" s="31">
        <f>Settings!$B$24*(T118-L$6)^2</f>
        <v>0.51934708640171268</v>
      </c>
      <c r="AC118" s="31">
        <f>Settings!$B$25*(U118-M$6)^2</f>
        <v>1.8132487112557683</v>
      </c>
      <c r="AD118" s="19">
        <f t="shared" si="4"/>
        <v>2.1717159407709752</v>
      </c>
      <c r="AE118" s="15">
        <f t="shared" si="5"/>
        <v>0.85960454168119482</v>
      </c>
      <c r="AF118" s="33">
        <f t="shared" si="6"/>
        <v>0.69110743893353621</v>
      </c>
      <c r="AG118" s="47">
        <f t="shared" si="7"/>
        <v>2.9837871713444398E-3</v>
      </c>
      <c r="AH118" s="18">
        <v>-9.0590628822005304E-2</v>
      </c>
      <c r="AI118" s="46">
        <v>0</v>
      </c>
      <c r="AJ118" s="18">
        <v>0.20711530866024219</v>
      </c>
      <c r="AK118" s="46">
        <v>0</v>
      </c>
      <c r="AL118" s="18">
        <v>-0.2010669845951143</v>
      </c>
      <c r="AM118" s="46">
        <v>0</v>
      </c>
      <c r="AN118" s="18">
        <v>-0.98327251324597986</v>
      </c>
      <c r="AO118" s="46">
        <v>0</v>
      </c>
      <c r="AP118" s="18">
        <v>-1.480872966221396</v>
      </c>
      <c r="AQ118" s="46">
        <v>0</v>
      </c>
    </row>
    <row r="119" spans="1:43" ht="20" customHeight="1" x14ac:dyDescent="0.45">
      <c r="A119" s="26">
        <v>109</v>
      </c>
      <c r="B119" s="16" t="s">
        <v>335</v>
      </c>
      <c r="C119" s="16" t="s">
        <v>232</v>
      </c>
      <c r="D119" s="46">
        <v>26</v>
      </c>
      <c r="E119" s="46">
        <v>0</v>
      </c>
      <c r="F119" s="13">
        <v>0.37165453906512957</v>
      </c>
      <c r="G119" s="13">
        <v>0.16469817542057399</v>
      </c>
      <c r="H119" s="13">
        <v>0.1894781354743072</v>
      </c>
      <c r="I119" s="13">
        <v>2.8668922724866711E-2</v>
      </c>
      <c r="J119" s="13">
        <v>0.2455002273151225</v>
      </c>
      <c r="K119" s="13">
        <v>16.34309210526316</v>
      </c>
      <c r="L119" s="13">
        <v>1.314452981067477</v>
      </c>
      <c r="M119" s="13">
        <v>-0.55053263618219872</v>
      </c>
      <c r="N119" s="19">
        <f>(F119-Settings!$D$18)/Settings!$E$18</f>
        <v>0.64181835911499341</v>
      </c>
      <c r="O119" s="19">
        <f>(G119-Settings!$D$19)/Settings!$E$19</f>
        <v>0.71382457742236227</v>
      </c>
      <c r="P119" s="19">
        <f>(H119-Settings!$D$20)/Settings!$E$20</f>
        <v>1.2353657329210166</v>
      </c>
      <c r="Q119" s="19">
        <f>(I119-Settings!$D$21)/Settings!$E$21</f>
        <v>0.388759684147791</v>
      </c>
      <c r="R119" s="19">
        <f>(J119-Settings!$D$22)/Settings!$E$22</f>
        <v>-6.3523870066132995E-3</v>
      </c>
      <c r="S119" s="19">
        <f>(K119-Settings!$D$23)/Settings!$E$23</f>
        <v>0.37779587519690766</v>
      </c>
      <c r="T119" s="19">
        <f>(L119-Settings!$D$24)/Settings!$E$24</f>
        <v>4.2760724203745023E-3</v>
      </c>
      <c r="U119" s="19">
        <f>(M119-Settings!$D$25)/Settings!$E$25</f>
        <v>-0.33531508338514754</v>
      </c>
      <c r="V119" s="31">
        <f>Settings!$B$18*(N119-F$6)^2</f>
        <v>7.0823692911969022E-2</v>
      </c>
      <c r="W119" s="31">
        <f>Settings!$B$19*(O119-G$6)^2</f>
        <v>8.8015987092724887E-3</v>
      </c>
      <c r="X119" s="31">
        <f>Settings!$B$20*(P119-H$6)^2</f>
        <v>0.21060427426115097</v>
      </c>
      <c r="Y119" s="31">
        <f>Settings!$B$21*(Q119-I$6)^2</f>
        <v>0.31174700563844876</v>
      </c>
      <c r="Z119" s="31">
        <f>Settings!$B$22*(R119-J$6)^2</f>
        <v>5.0701443396286884E-3</v>
      </c>
      <c r="AA119" s="31">
        <f>Settings!$B$23*(S119-K$6)^2</f>
        <v>1.8226229998062473</v>
      </c>
      <c r="AB119" s="31">
        <f>Settings!$B$24*(T119-L$6)^2</f>
        <v>2.3163006589244088</v>
      </c>
      <c r="AC119" s="31">
        <f>Settings!$B$25*(U119-M$6)^2</f>
        <v>2.3525481946858592E-2</v>
      </c>
      <c r="AD119" s="19">
        <f t="shared" si="4"/>
        <v>2.1839175480173205</v>
      </c>
      <c r="AE119" s="15">
        <f t="shared" si="5"/>
        <v>0.86443415903945997</v>
      </c>
      <c r="AF119" s="33">
        <f t="shared" si="6"/>
        <v>0.68823618510445339</v>
      </c>
      <c r="AG119" s="47">
        <f t="shared" si="7"/>
        <v>2.971390820418003E-3</v>
      </c>
      <c r="AH119" s="18">
        <v>-0.31770300946819829</v>
      </c>
      <c r="AI119" s="46">
        <v>0</v>
      </c>
      <c r="AJ119" s="18">
        <v>0.109052561854871</v>
      </c>
      <c r="AK119" s="46">
        <v>0</v>
      </c>
      <c r="AL119" s="18">
        <v>0.22685340369106519</v>
      </c>
      <c r="AM119" s="46">
        <v>1</v>
      </c>
      <c r="AN119" s="18">
        <v>1.100298913045398</v>
      </c>
      <c r="AO119" s="46">
        <v>1</v>
      </c>
      <c r="AP119" s="18">
        <v>9.6626033035558834E-2</v>
      </c>
      <c r="AQ119" s="46">
        <v>1</v>
      </c>
    </row>
    <row r="120" spans="1:43" ht="20" customHeight="1" x14ac:dyDescent="0.45">
      <c r="A120" s="26">
        <v>110</v>
      </c>
      <c r="B120" s="16" t="s">
        <v>336</v>
      </c>
      <c r="C120" s="16" t="s">
        <v>216</v>
      </c>
      <c r="D120" s="46">
        <v>26</v>
      </c>
      <c r="E120" s="46">
        <v>1</v>
      </c>
      <c r="F120" s="13">
        <v>0.47703529503691039</v>
      </c>
      <c r="G120" s="13">
        <v>0.37529757202343511</v>
      </c>
      <c r="H120" s="13">
        <v>5.9393113063838342E-2</v>
      </c>
      <c r="I120" s="13">
        <v>-6.8945625643301464E-2</v>
      </c>
      <c r="J120" s="13">
        <v>-1.9328394232514739E-2</v>
      </c>
      <c r="K120" s="13">
        <v>17.027615571776181</v>
      </c>
      <c r="L120" s="13">
        <v>1.7981546909110451</v>
      </c>
      <c r="M120" s="13">
        <v>0.81944323954368969</v>
      </c>
      <c r="N120" s="19">
        <f>(F120-Settings!$D$18)/Settings!$E$18</f>
        <v>1.018969515475767</v>
      </c>
      <c r="O120" s="19">
        <f>(G120-Settings!$D$19)/Settings!$E$19</f>
        <v>1.5912085058877479</v>
      </c>
      <c r="P120" s="19">
        <f>(H120-Settings!$D$20)/Settings!$E$20</f>
        <v>5.6770414770391853E-2</v>
      </c>
      <c r="Q120" s="19">
        <f>(I120-Settings!$D$21)/Settings!$E$21</f>
        <v>-0.81163643801415231</v>
      </c>
      <c r="R120" s="19">
        <f>(J120-Settings!$D$22)/Settings!$E$22</f>
        <v>-0.71888626156692481</v>
      </c>
      <c r="S120" s="19">
        <f>(K120-Settings!$D$23)/Settings!$E$23</f>
        <v>0.61551513023525162</v>
      </c>
      <c r="T120" s="19">
        <f>(L120-Settings!$D$24)/Settings!$E$24</f>
        <v>0.3386855221364049</v>
      </c>
      <c r="U120" s="19">
        <f>(M120-Settings!$D$25)/Settings!$E$25</f>
        <v>0.58861190531444252</v>
      </c>
      <c r="V120" s="31">
        <f>Settings!$B$18*(N120-F$6)^2</f>
        <v>0.18904611512193559</v>
      </c>
      <c r="W120" s="31">
        <f>Settings!$B$19*(O120-G$6)^2</f>
        <v>0.2363854392080123</v>
      </c>
      <c r="X120" s="31">
        <f>Settings!$B$20*(P120-H$6)^2</f>
        <v>0.97219651868041534</v>
      </c>
      <c r="Y120" s="31">
        <f>Settings!$B$21*(Q120-I$6)^2</f>
        <v>4.6266391279035311E-4</v>
      </c>
      <c r="Z120" s="31">
        <f>Settings!$B$22*(R120-J$6)^2</f>
        <v>0.15199064961414654</v>
      </c>
      <c r="AA120" s="31">
        <f>Settings!$B$23*(S120-K$6)^2</f>
        <v>1.2372697969527864</v>
      </c>
      <c r="AB120" s="31">
        <f>Settings!$B$24*(T120-L$6)^2</f>
        <v>1.4102282580175605</v>
      </c>
      <c r="AC120" s="31">
        <f>Settings!$B$25*(U120-M$6)^2</f>
        <v>0.59374237269160623</v>
      </c>
      <c r="AD120" s="19">
        <f t="shared" si="4"/>
        <v>2.1889088181555789</v>
      </c>
      <c r="AE120" s="15">
        <f t="shared" si="5"/>
        <v>0.86640979424987408</v>
      </c>
      <c r="AF120" s="33">
        <f t="shared" si="6"/>
        <v>0.68706047307036489</v>
      </c>
      <c r="AG120" s="47">
        <f t="shared" si="7"/>
        <v>2.9663148014274941E-3</v>
      </c>
      <c r="AH120" s="18">
        <v>0.69137963617839437</v>
      </c>
      <c r="AI120" s="46">
        <v>1</v>
      </c>
      <c r="AJ120" s="18">
        <v>0.13018876525883269</v>
      </c>
      <c r="AK120" s="46">
        <v>1</v>
      </c>
      <c r="AL120" s="48"/>
      <c r="AM120" s="48"/>
      <c r="AN120" s="48"/>
      <c r="AO120" s="48"/>
      <c r="AP120" s="48"/>
      <c r="AQ120" s="48"/>
    </row>
    <row r="121" spans="1:43" ht="20" customHeight="1" x14ac:dyDescent="0.45">
      <c r="A121" s="26">
        <v>111</v>
      </c>
      <c r="B121" s="16" t="s">
        <v>337</v>
      </c>
      <c r="C121" s="16" t="s">
        <v>236</v>
      </c>
      <c r="D121" s="46">
        <v>26</v>
      </c>
      <c r="E121" s="46">
        <v>0</v>
      </c>
      <c r="F121" s="13">
        <v>0.25235397545201871</v>
      </c>
      <c r="G121" s="13">
        <v>6.9417710601198584E-2</v>
      </c>
      <c r="H121" s="13">
        <v>0.1223974017297812</v>
      </c>
      <c r="I121" s="13">
        <v>0.12755066178186031</v>
      </c>
      <c r="J121" s="13">
        <v>0.42828025043514112</v>
      </c>
      <c r="K121" s="13">
        <v>17.815419501133739</v>
      </c>
      <c r="L121" s="13">
        <v>1.912965844951692</v>
      </c>
      <c r="M121" s="13">
        <v>1.261107195783409</v>
      </c>
      <c r="N121" s="19">
        <f>(F121-Settings!$D$18)/Settings!$E$18</f>
        <v>0.21484907894371152</v>
      </c>
      <c r="O121" s="19">
        <f>(G121-Settings!$D$19)/Settings!$E$19</f>
        <v>0.31687401689024419</v>
      </c>
      <c r="P121" s="19">
        <f>(H121-Settings!$D$20)/Settings!$E$20</f>
        <v>0.62760138569325785</v>
      </c>
      <c r="Q121" s="19">
        <f>(I121-Settings!$D$21)/Settings!$E$21</f>
        <v>1.6047388399285405</v>
      </c>
      <c r="R121" s="19">
        <f>(J121-Settings!$D$22)/Settings!$E$22</f>
        <v>0.48542587058818837</v>
      </c>
      <c r="S121" s="19">
        <f>(K121-Settings!$D$23)/Settings!$E$23</f>
        <v>0.88910131444183294</v>
      </c>
      <c r="T121" s="19">
        <f>(L121-Settings!$D$24)/Settings!$E$24</f>
        <v>0.41806075290913036</v>
      </c>
      <c r="U121" s="19">
        <f>(M121-Settings!$D$25)/Settings!$E$25</f>
        <v>0.88647499643602601</v>
      </c>
      <c r="V121" s="31">
        <f>Settings!$B$18*(N121-F$6)^2</f>
        <v>5.6521444102417126E-3</v>
      </c>
      <c r="W121" s="31">
        <f>Settings!$B$19*(O121-G$6)^2</f>
        <v>7.0065021567265271E-3</v>
      </c>
      <c r="X121" s="31">
        <f>Settings!$B$20*(P121-H$6)^2</f>
        <v>0.53394717639055156</v>
      </c>
      <c r="Y121" s="31">
        <f>Settings!$B$21*(Q121-I$6)^2</f>
        <v>1.2147247028416892</v>
      </c>
      <c r="Z121" s="31">
        <f>Settings!$B$22*(R121-J$6)^2</f>
        <v>2.2119118704591479E-2</v>
      </c>
      <c r="AA121" s="31">
        <f>Settings!$B$23*(S121-K$6)^2</f>
        <v>0.70348498129907444</v>
      </c>
      <c r="AB121" s="31">
        <f>Settings!$B$24*(T121-L$6)^2</f>
        <v>1.2280076990725213</v>
      </c>
      <c r="AC121" s="31">
        <f>Settings!$B$25*(U121-M$6)^2</f>
        <v>1.1414996978054817</v>
      </c>
      <c r="AD121" s="19">
        <f t="shared" si="4"/>
        <v>2.2037336551137203</v>
      </c>
      <c r="AE121" s="15">
        <f t="shared" si="5"/>
        <v>0.87227773348615267</v>
      </c>
      <c r="AF121" s="33">
        <f t="shared" si="6"/>
        <v>0.68356452589004979</v>
      </c>
      <c r="AG121" s="47">
        <f t="shared" si="7"/>
        <v>2.9512213995037378E-3</v>
      </c>
      <c r="AH121" s="18">
        <v>8.6036321425243312E-2</v>
      </c>
      <c r="AI121" s="46">
        <v>1</v>
      </c>
      <c r="AJ121" s="18">
        <v>-0.19368130736015129</v>
      </c>
      <c r="AK121" s="46">
        <v>1</v>
      </c>
      <c r="AL121" s="18">
        <v>-0.51153014637732785</v>
      </c>
      <c r="AM121" s="46">
        <v>1</v>
      </c>
      <c r="AN121" s="18">
        <v>-0.23656978076374099</v>
      </c>
      <c r="AO121" s="46">
        <v>1</v>
      </c>
      <c r="AP121" s="18">
        <v>0.6288527195581799</v>
      </c>
      <c r="AQ121" s="46">
        <v>1</v>
      </c>
    </row>
    <row r="122" spans="1:43" ht="20" customHeight="1" x14ac:dyDescent="0.45">
      <c r="A122" s="26">
        <v>112</v>
      </c>
      <c r="B122" s="16" t="s">
        <v>338</v>
      </c>
      <c r="C122" s="16" t="s">
        <v>258</v>
      </c>
      <c r="D122" s="46">
        <v>26</v>
      </c>
      <c r="E122" s="46">
        <v>0</v>
      </c>
      <c r="F122" s="13">
        <v>0.6395086777317609</v>
      </c>
      <c r="G122" s="13">
        <v>-0.18653956188247031</v>
      </c>
      <c r="H122" s="13">
        <v>3.772769375542865E-2</v>
      </c>
      <c r="I122" s="13">
        <v>-1.3829301736316191E-4</v>
      </c>
      <c r="J122" s="13">
        <v>0.13608577361297691</v>
      </c>
      <c r="K122" s="13">
        <v>18.53333333333336</v>
      </c>
      <c r="L122" s="13">
        <v>2.2641195876422442</v>
      </c>
      <c r="M122" s="13">
        <v>1.571988833076732</v>
      </c>
      <c r="N122" s="19">
        <f>(F122-Settings!$D$18)/Settings!$E$18</f>
        <v>1.6004516238183784</v>
      </c>
      <c r="O122" s="19">
        <f>(G122-Settings!$D$19)/Settings!$E$19</f>
        <v>-0.74947660364119018</v>
      </c>
      <c r="P122" s="19">
        <f>(H122-Settings!$D$20)/Settings!$E$20</f>
        <v>-0.13952245038428907</v>
      </c>
      <c r="Q122" s="19">
        <f>(I122-Settings!$D$21)/Settings!$E$21</f>
        <v>3.4508492646794516E-2</v>
      </c>
      <c r="R122" s="19">
        <f>(J122-Settings!$D$22)/Settings!$E$22</f>
        <v>-0.30073712598870983</v>
      </c>
      <c r="S122" s="19">
        <f>(K122-Settings!$D$23)/Settings!$E$23</f>
        <v>1.1384162754636551</v>
      </c>
      <c r="T122" s="19">
        <f>(L122-Settings!$D$24)/Settings!$E$24</f>
        <v>0.66083254277286552</v>
      </c>
      <c r="U122" s="19">
        <f>(M122-Settings!$D$25)/Settings!$E$25</f>
        <v>1.0961370350717259</v>
      </c>
      <c r="V122" s="31">
        <f>Settings!$B$18*(N122-F$6)^2</f>
        <v>0.482804072217208</v>
      </c>
      <c r="W122" s="31">
        <f>Settings!$B$19*(O122-G$6)^2</f>
        <v>0.3142626577978398</v>
      </c>
      <c r="X122" s="31">
        <f>Settings!$B$20*(P122-H$6)^2</f>
        <v>1.153014443171031</v>
      </c>
      <c r="Y122" s="31">
        <f>Settings!$B$21*(Q122-I$6)^2</f>
        <v>0.15993371924964223</v>
      </c>
      <c r="Z122" s="31">
        <f>Settings!$B$22*(R122-J$6)^2</f>
        <v>4.115128848708207E-2</v>
      </c>
      <c r="AA122" s="31">
        <f>Settings!$B$23*(S122-K$6)^2</f>
        <v>0.34742201269657141</v>
      </c>
      <c r="AB122" s="31">
        <f>Settings!$B$24*(T122-L$6)^2</f>
        <v>0.74888825270275272</v>
      </c>
      <c r="AC122" s="31">
        <f>Settings!$B$25*(U122-M$6)^2</f>
        <v>1.6334678604554873</v>
      </c>
      <c r="AD122" s="19">
        <f t="shared" si="4"/>
        <v>2.2092859268952978</v>
      </c>
      <c r="AE122" s="15">
        <f t="shared" si="5"/>
        <v>0.87447542331772332</v>
      </c>
      <c r="AF122" s="33">
        <f t="shared" si="6"/>
        <v>0.68225374310689557</v>
      </c>
      <c r="AG122" s="47">
        <f t="shared" si="7"/>
        <v>2.9455622260779243E-3</v>
      </c>
      <c r="AH122" s="18">
        <v>0.88395996226170581</v>
      </c>
      <c r="AI122" s="46">
        <v>0</v>
      </c>
      <c r="AJ122" s="18">
        <v>-0.36509777341975541</v>
      </c>
      <c r="AK122" s="46">
        <v>0</v>
      </c>
      <c r="AL122" s="18">
        <v>-0.38712469395703009</v>
      </c>
      <c r="AM122" s="46">
        <v>0</v>
      </c>
      <c r="AN122" s="18">
        <v>0.44799602473555522</v>
      </c>
      <c r="AO122" s="46">
        <v>0</v>
      </c>
      <c r="AP122" s="18">
        <v>-0.47610049296454632</v>
      </c>
      <c r="AQ122" s="46">
        <v>0</v>
      </c>
    </row>
    <row r="123" spans="1:43" ht="20" customHeight="1" x14ac:dyDescent="0.45">
      <c r="A123" s="26">
        <v>113</v>
      </c>
      <c r="B123" s="16" t="s">
        <v>339</v>
      </c>
      <c r="C123" s="16" t="s">
        <v>214</v>
      </c>
      <c r="D123" s="46">
        <v>26</v>
      </c>
      <c r="E123" s="46">
        <v>1</v>
      </c>
      <c r="F123" s="13">
        <v>0.45644030520120288</v>
      </c>
      <c r="G123" s="13">
        <v>0.17888272361065191</v>
      </c>
      <c r="H123" s="13">
        <v>-5.6341209765677653E-3</v>
      </c>
      <c r="I123" s="13">
        <v>5.9457094609428589E-3</v>
      </c>
      <c r="J123" s="13">
        <v>0.3530971407506347</v>
      </c>
      <c r="K123" s="13">
        <v>16.607916666666689</v>
      </c>
      <c r="L123" s="13">
        <v>1.8269380073481249</v>
      </c>
      <c r="M123" s="13">
        <v>-0.4628877141718406</v>
      </c>
      <c r="N123" s="19">
        <f>(F123-Settings!$D$18)/Settings!$E$18</f>
        <v>0.9452613307114115</v>
      </c>
      <c r="O123" s="19">
        <f>(G123-Settings!$D$19)/Settings!$E$19</f>
        <v>0.77291921309212119</v>
      </c>
      <c r="P123" s="19">
        <f>(H123-Settings!$D$20)/Settings!$E$20</f>
        <v>-0.53238883025380512</v>
      </c>
      <c r="Q123" s="19">
        <f>(I123-Settings!$D$21)/Settings!$E$21</f>
        <v>0.10932534222783256</v>
      </c>
      <c r="R123" s="19">
        <f>(J123-Settings!$D$22)/Settings!$E$22</f>
        <v>0.28314217431724731</v>
      </c>
      <c r="S123" s="19">
        <f>(K123-Settings!$D$23)/Settings!$E$23</f>
        <v>0.46976335408173214</v>
      </c>
      <c r="T123" s="19">
        <f>(L123-Settings!$D$24)/Settings!$E$24</f>
        <v>0.35858500319021214</v>
      </c>
      <c r="U123" s="19">
        <f>(M123-Settings!$D$25)/Settings!$E$25</f>
        <v>-0.27620637183580421</v>
      </c>
      <c r="V123" s="31">
        <f>Settings!$B$18*(N123-F$6)^2</f>
        <v>0.16146818008934571</v>
      </c>
      <c r="W123" s="31">
        <f>Settings!$B$19*(O123-G$6)^2</f>
        <v>1.44588024159611E-2</v>
      </c>
      <c r="X123" s="31">
        <f>Settings!$B$20*(P123-H$6)^2</f>
        <v>1.5612009883807783</v>
      </c>
      <c r="Y123" s="31">
        <f>Settings!$B$21*(Q123-I$6)^2</f>
        <v>0.18781497647800569</v>
      </c>
      <c r="Z123" s="31">
        <f>Settings!$B$22*(R123-J$6)^2</f>
        <v>3.3943391820841773E-3</v>
      </c>
      <c r="AA123" s="31">
        <f>Settings!$B$23*(S123-K$6)^2</f>
        <v>1.5827604448850372</v>
      </c>
      <c r="AB123" s="31">
        <f>Settings!$B$24*(T123-L$6)^2</f>
        <v>1.3633617732050722</v>
      </c>
      <c r="AC123" s="31">
        <f>Settings!$B$25*(U123-M$6)^2</f>
        <v>8.8871111959381906E-3</v>
      </c>
      <c r="AD123" s="19">
        <f t="shared" si="4"/>
        <v>2.2098295445197178</v>
      </c>
      <c r="AE123" s="15">
        <f t="shared" si="5"/>
        <v>0.87469059702903451</v>
      </c>
      <c r="AF123" s="33">
        <f t="shared" si="6"/>
        <v>0.68212536371612953</v>
      </c>
      <c r="AG123" s="47">
        <f t="shared" si="7"/>
        <v>2.9450079609121146E-3</v>
      </c>
      <c r="AH123" s="48"/>
      <c r="AI123" s="48"/>
      <c r="AJ123" s="48"/>
      <c r="AK123" s="48"/>
      <c r="AL123" s="48"/>
      <c r="AM123" s="48"/>
      <c r="AN123" s="48"/>
      <c r="AO123" s="48"/>
      <c r="AP123" s="48"/>
      <c r="AQ123" s="48"/>
    </row>
    <row r="124" spans="1:43" ht="20" customHeight="1" x14ac:dyDescent="0.45">
      <c r="A124" s="26">
        <v>114</v>
      </c>
      <c r="B124" s="16" t="s">
        <v>340</v>
      </c>
      <c r="C124" s="16" t="s">
        <v>232</v>
      </c>
      <c r="D124" s="46">
        <v>26</v>
      </c>
      <c r="E124" s="46">
        <v>0</v>
      </c>
      <c r="F124" s="13">
        <v>0.290788220483291</v>
      </c>
      <c r="G124" s="13">
        <v>0.2162581163169042</v>
      </c>
      <c r="H124" s="13">
        <v>1.1017190407631329E-2</v>
      </c>
      <c r="I124" s="13">
        <v>-6.3541534435557739E-2</v>
      </c>
      <c r="J124" s="13">
        <v>0.41839493835661568</v>
      </c>
      <c r="K124" s="13">
        <v>16.51915422885569</v>
      </c>
      <c r="L124" s="13">
        <v>1.6957492888874239</v>
      </c>
      <c r="M124" s="13">
        <v>0.33076672753219222</v>
      </c>
      <c r="N124" s="19">
        <f>(F124-Settings!$D$18)/Settings!$E$18</f>
        <v>0.35240284598329619</v>
      </c>
      <c r="O124" s="19">
        <f>(G124-Settings!$D$19)/Settings!$E$19</f>
        <v>0.92862986283527749</v>
      </c>
      <c r="P124" s="19">
        <f>(H124-Settings!$D$20)/Settings!$E$20</f>
        <v>-0.38152474709625112</v>
      </c>
      <c r="Q124" s="19">
        <f>(I124-Settings!$D$21)/Settings!$E$21</f>
        <v>-0.7451806664306162</v>
      </c>
      <c r="R124" s="19">
        <f>(J124-Settings!$D$22)/Settings!$E$22</f>
        <v>0.45882897303464132</v>
      </c>
      <c r="S124" s="19">
        <f>(K124-Settings!$D$23)/Settings!$E$23</f>
        <v>0.43893820107521114</v>
      </c>
      <c r="T124" s="19">
        <f>(L124-Settings!$D$24)/Settings!$E$24</f>
        <v>0.2678870663076191</v>
      </c>
      <c r="U124" s="19">
        <f>(M124-Settings!$D$25)/Settings!$E$25</f>
        <v>0.25904302297790377</v>
      </c>
      <c r="V124" s="31">
        <f>Settings!$B$18*(N124-F$6)^2</f>
        <v>1.8685976766498871E-2</v>
      </c>
      <c r="W124" s="31">
        <f>Settings!$B$19*(O124-G$6)^2</f>
        <v>3.6054672629837761E-2</v>
      </c>
      <c r="X124" s="31">
        <f>Settings!$B$20*(P124-H$6)^2</f>
        <v>1.3971519384852846</v>
      </c>
      <c r="Y124" s="31">
        <f>Settings!$B$21*(Q124-I$6)^2</f>
        <v>2.6244666166224564E-3</v>
      </c>
      <c r="Z124" s="31">
        <f>Settings!$B$22*(R124-J$6)^2</f>
        <v>1.8722580954905473E-2</v>
      </c>
      <c r="AA124" s="31">
        <f>Settings!$B$23*(S124-K$6)^2</f>
        <v>1.6612715333061536</v>
      </c>
      <c r="AB124" s="31">
        <f>Settings!$B$24*(T124-L$6)^2</f>
        <v>1.5833913050040318</v>
      </c>
      <c r="AC124" s="31">
        <f>Settings!$B$25*(U124-M$6)^2</f>
        <v>0.1944615248404811</v>
      </c>
      <c r="AD124" s="19">
        <f t="shared" si="4"/>
        <v>2.2163853452420712</v>
      </c>
      <c r="AE124" s="15">
        <f t="shared" si="5"/>
        <v>0.87728550180893461</v>
      </c>
      <c r="AF124" s="33">
        <f t="shared" si="6"/>
        <v>0.68057658168735891</v>
      </c>
      <c r="AG124" s="47">
        <f t="shared" si="7"/>
        <v>2.938321249572723E-3</v>
      </c>
      <c r="AH124" s="18">
        <v>6.6901784325416491E-2</v>
      </c>
      <c r="AI124" s="46">
        <v>0</v>
      </c>
      <c r="AJ124" s="18">
        <v>-1.68393205419924</v>
      </c>
      <c r="AK124" s="46">
        <v>0</v>
      </c>
      <c r="AL124" s="18">
        <v>-0.97882937291175443</v>
      </c>
      <c r="AM124" s="46">
        <v>1</v>
      </c>
      <c r="AN124" s="18">
        <v>0.67266186183461008</v>
      </c>
      <c r="AO124" s="46">
        <v>1</v>
      </c>
      <c r="AP124" s="18">
        <v>-8.4201340969423111E-3</v>
      </c>
      <c r="AQ124" s="46">
        <v>1</v>
      </c>
    </row>
    <row r="125" spans="1:43" ht="20" customHeight="1" x14ac:dyDescent="0.45">
      <c r="A125" s="26">
        <v>115</v>
      </c>
      <c r="B125" s="16" t="s">
        <v>341</v>
      </c>
      <c r="C125" s="16" t="s">
        <v>260</v>
      </c>
      <c r="D125" s="46">
        <v>26</v>
      </c>
      <c r="E125" s="46">
        <v>1</v>
      </c>
      <c r="F125" s="13">
        <v>0.24316897930331191</v>
      </c>
      <c r="G125" s="13">
        <v>8.329521917658643E-2</v>
      </c>
      <c r="H125" s="13">
        <v>5.3412386105656927E-2</v>
      </c>
      <c r="I125" s="13">
        <v>-4.018475626528048E-2</v>
      </c>
      <c r="J125" s="13">
        <v>0.5799386591491642</v>
      </c>
      <c r="K125" s="13">
        <v>16.837391304347829</v>
      </c>
      <c r="L125" s="13">
        <v>1.3992237324243619</v>
      </c>
      <c r="M125" s="13">
        <v>0.41838107061771529</v>
      </c>
      <c r="N125" s="19">
        <f>(F125-Settings!$D$18)/Settings!$E$18</f>
        <v>0.18197655030497548</v>
      </c>
      <c r="O125" s="19">
        <f>(G125-Settings!$D$19)/Settings!$E$19</f>
        <v>0.37468948639107391</v>
      </c>
      <c r="P125" s="19">
        <f>(H125-Settings!$D$20)/Settings!$E$20</f>
        <v>2.5838784464178523E-3</v>
      </c>
      <c r="Q125" s="19">
        <f>(I125-Settings!$D$21)/Settings!$E$21</f>
        <v>-0.45795518200743102</v>
      </c>
      <c r="R125" s="19">
        <f>(J125-Settings!$D$22)/Settings!$E$22</f>
        <v>0.89346995939985063</v>
      </c>
      <c r="S125" s="19">
        <f>(K125-Settings!$D$23)/Settings!$E$23</f>
        <v>0.54945461754949343</v>
      </c>
      <c r="T125" s="19">
        <f>(L125-Settings!$D$24)/Settings!$E$24</f>
        <v>6.2882729656376993E-2</v>
      </c>
      <c r="U125" s="19">
        <f>(M125-Settings!$D$25)/Settings!$E$25</f>
        <v>0.31813111175976555</v>
      </c>
      <c r="V125" s="31">
        <f>Settings!$B$18*(N125-F$6)^2</f>
        <v>3.6577945012982345E-3</v>
      </c>
      <c r="W125" s="31">
        <f>Settings!$B$19*(O125-G$6)^2</f>
        <v>3.3465053503512472E-3</v>
      </c>
      <c r="X125" s="31">
        <f>Settings!$B$20*(P125-H$6)^2</f>
        <v>1.0205711562854254</v>
      </c>
      <c r="Y125" s="31">
        <f>Settings!$B$21*(Q125-I$6)^2</f>
        <v>3.228515031743813E-2</v>
      </c>
      <c r="Z125" s="31">
        <f>Settings!$B$22*(R125-J$6)^2</f>
        <v>0.10969863381679004</v>
      </c>
      <c r="AA125" s="31">
        <f>Settings!$B$23*(S125-K$6)^2</f>
        <v>1.3885954795501014</v>
      </c>
      <c r="AB125" s="31">
        <f>Settings!$B$24*(T125-L$6)^2</f>
        <v>2.1413437945048175</v>
      </c>
      <c r="AC125" s="31">
        <f>Settings!$B$25*(U125-M$6)^2</f>
        <v>0.25006601190631894</v>
      </c>
      <c r="AD125" s="19">
        <f t="shared" si="4"/>
        <v>2.2247616785248123</v>
      </c>
      <c r="AE125" s="15">
        <f t="shared" si="5"/>
        <v>0.88060100638174876</v>
      </c>
      <c r="AF125" s="33">
        <f t="shared" si="6"/>
        <v>0.67859617298619335</v>
      </c>
      <c r="AG125" s="47">
        <f t="shared" si="7"/>
        <v>2.929771033291337E-3</v>
      </c>
      <c r="AH125" s="18">
        <v>0.55155970010498789</v>
      </c>
      <c r="AI125" s="46">
        <v>1</v>
      </c>
      <c r="AJ125" s="18">
        <v>-0.31281403057430612</v>
      </c>
      <c r="AK125" s="46">
        <v>1</v>
      </c>
      <c r="AL125" s="18">
        <v>-0.98770190080542797</v>
      </c>
      <c r="AM125" s="46">
        <v>1</v>
      </c>
      <c r="AN125" s="18">
        <v>1.415591066310746</v>
      </c>
      <c r="AO125" s="46">
        <v>1</v>
      </c>
      <c r="AP125" s="18">
        <v>1.498714225733869</v>
      </c>
      <c r="AQ125" s="46">
        <v>1</v>
      </c>
    </row>
    <row r="126" spans="1:43" ht="20" customHeight="1" x14ac:dyDescent="0.45">
      <c r="A126" s="26">
        <v>116</v>
      </c>
      <c r="B126" s="16" t="s">
        <v>342</v>
      </c>
      <c r="C126" s="16" t="s">
        <v>227</v>
      </c>
      <c r="D126" s="46">
        <v>26</v>
      </c>
      <c r="E126" s="46">
        <v>0</v>
      </c>
      <c r="F126" s="13">
        <v>0.24348084449583579</v>
      </c>
      <c r="G126" s="13">
        <v>2.0546643273635711E-2</v>
      </c>
      <c r="H126" s="13">
        <v>-1.844403959012051E-2</v>
      </c>
      <c r="I126" s="13">
        <v>5.0616546816119122E-2</v>
      </c>
      <c r="J126" s="13">
        <v>0.66691192582428893</v>
      </c>
      <c r="K126" s="13">
        <v>16.131027253668801</v>
      </c>
      <c r="L126" s="13">
        <v>2.5915027552136878</v>
      </c>
      <c r="M126" s="13">
        <v>-0.87289935612732261</v>
      </c>
      <c r="N126" s="19">
        <f>(F126-Settings!$D$18)/Settings!$E$18</f>
        <v>0.18309269638785755</v>
      </c>
      <c r="O126" s="19">
        <f>(G126-Settings!$D$19)/Settings!$E$19</f>
        <v>0.11327092147866434</v>
      </c>
      <c r="P126" s="19">
        <f>(H126-Settings!$D$20)/Settings!$E$20</f>
        <v>-0.64844915621650256</v>
      </c>
      <c r="Q126" s="19">
        <f>(I126-Settings!$D$21)/Settings!$E$21</f>
        <v>0.65865636748273881</v>
      </c>
      <c r="R126" s="19">
        <f>(J126-Settings!$D$22)/Settings!$E$22</f>
        <v>1.127475628141537</v>
      </c>
      <c r="S126" s="19">
        <f>(K126-Settings!$D$23)/Settings!$E$23</f>
        <v>0.30415062999059284</v>
      </c>
      <c r="T126" s="19">
        <f>(L126-Settings!$D$24)/Settings!$E$24</f>
        <v>0.88717043384474925</v>
      </c>
      <c r="U126" s="19">
        <f>(M126-Settings!$D$25)/Settings!$E$25</f>
        <v>-0.55272278967636135</v>
      </c>
      <c r="V126" s="31">
        <f>Settings!$B$18*(N126-F$6)^2</f>
        <v>3.7184212352469048E-3</v>
      </c>
      <c r="W126" s="31">
        <f>Settings!$B$19*(O126-G$6)^2</f>
        <v>3.0540681450069381E-2</v>
      </c>
      <c r="X126" s="31">
        <f>Settings!$B$20*(P126-H$6)^2</f>
        <v>1.6936004273242067</v>
      </c>
      <c r="Y126" s="31">
        <f>Settings!$B$21*(Q126-I$6)^2</f>
        <v>0.46110150863798993</v>
      </c>
      <c r="Z126" s="31">
        <f>Settings!$B$22*(R126-J$6)^2</f>
        <v>0.18997250762783593</v>
      </c>
      <c r="AA126" s="31">
        <f>Settings!$B$23*(S126-K$6)^2</f>
        <v>2.0268954937811365</v>
      </c>
      <c r="AB126" s="31">
        <f>Settings!$B$24*(T126-L$6)^2</f>
        <v>0.40837903229713518</v>
      </c>
      <c r="AC126" s="31">
        <f>Settings!$B$25*(U126-M$6)^2</f>
        <v>0.1374836622530122</v>
      </c>
      <c r="AD126" s="19">
        <f t="shared" si="4"/>
        <v>2.2252397027301649</v>
      </c>
      <c r="AE126" s="15">
        <f t="shared" si="5"/>
        <v>0.88079021702861116</v>
      </c>
      <c r="AF126" s="33">
        <f t="shared" si="6"/>
        <v>0.67848310318602523</v>
      </c>
      <c r="AG126" s="47">
        <f t="shared" si="7"/>
        <v>2.9292828657500806E-3</v>
      </c>
      <c r="AH126" s="18">
        <v>1.006542839904585</v>
      </c>
      <c r="AI126" s="46">
        <v>0</v>
      </c>
      <c r="AJ126" s="18">
        <v>1.0312177805003471</v>
      </c>
      <c r="AK126" s="46">
        <v>0</v>
      </c>
      <c r="AL126" s="18">
        <v>-0.15610106959554321</v>
      </c>
      <c r="AM126" s="46">
        <v>0</v>
      </c>
      <c r="AN126" s="18">
        <v>1.420788493832603E-2</v>
      </c>
      <c r="AO126" s="46">
        <v>1</v>
      </c>
      <c r="AP126" s="18">
        <v>-0.1687533547869737</v>
      </c>
      <c r="AQ126" s="46">
        <v>1</v>
      </c>
    </row>
    <row r="127" spans="1:43" ht="20" customHeight="1" x14ac:dyDescent="0.45">
      <c r="A127" s="26">
        <v>117</v>
      </c>
      <c r="B127" s="16" t="s">
        <v>343</v>
      </c>
      <c r="C127" s="16" t="s">
        <v>260</v>
      </c>
      <c r="D127" s="46">
        <v>26</v>
      </c>
      <c r="E127" s="46">
        <v>1</v>
      </c>
      <c r="F127" s="13">
        <v>0.37169838272503142</v>
      </c>
      <c r="G127" s="13">
        <v>-6.4503365953437169E-2</v>
      </c>
      <c r="H127" s="13">
        <v>3.8780120504080889E-2</v>
      </c>
      <c r="I127" s="13">
        <v>7.1136754430284452E-4</v>
      </c>
      <c r="J127" s="13">
        <v>0.52430676327314774</v>
      </c>
      <c r="K127" s="13">
        <v>19.758245614035129</v>
      </c>
      <c r="L127" s="13">
        <v>4.2068937664553872</v>
      </c>
      <c r="M127" s="13">
        <v>-3.0076977018909039</v>
      </c>
      <c r="N127" s="19">
        <f>(F127-Settings!$D$18)/Settings!$E$18</f>
        <v>0.64197527284064082</v>
      </c>
      <c r="O127" s="19">
        <f>(G127-Settings!$D$19)/Settings!$E$19</f>
        <v>-0.24105825712000187</v>
      </c>
      <c r="P127" s="19">
        <f>(H127-Settings!$D$20)/Settings!$E$20</f>
        <v>-0.12998726166176178</v>
      </c>
      <c r="Q127" s="19">
        <f>(I127-Settings!$D$21)/Settings!$E$21</f>
        <v>4.4957029882565912E-2</v>
      </c>
      <c r="R127" s="19">
        <f>(J127-Settings!$D$22)/Settings!$E$22</f>
        <v>0.74378972436323287</v>
      </c>
      <c r="S127" s="19">
        <f>(K127-Settings!$D$23)/Settings!$E$23</f>
        <v>1.5638001360623985</v>
      </c>
      <c r="T127" s="19">
        <f>(L127-Settings!$D$24)/Settings!$E$24</f>
        <v>2.003978599191659</v>
      </c>
      <c r="U127" s="19">
        <f>(M127-Settings!$D$25)/Settings!$E$25</f>
        <v>-1.9924545703817169</v>
      </c>
      <c r="V127" s="31">
        <f>Settings!$B$18*(N127-F$6)^2</f>
        <v>7.0861048232436205E-2</v>
      </c>
      <c r="W127" s="31">
        <f>Settings!$B$19*(O127-G$6)^2</f>
        <v>0.11103540162900899</v>
      </c>
      <c r="X127" s="31">
        <f>Settings!$B$20*(P127-H$6)^2</f>
        <v>1.1438748164711383</v>
      </c>
      <c r="Y127" s="31">
        <f>Settings!$B$21*(Q127-I$6)^2</f>
        <v>0.16369296159967203</v>
      </c>
      <c r="Z127" s="31">
        <f>Settings!$B$22*(R127-J$6)^2</f>
        <v>6.9838001152457571E-2</v>
      </c>
      <c r="AA127" s="31">
        <f>Settings!$B$23*(S127-K$6)^2</f>
        <v>2.6909546087883627E-2</v>
      </c>
      <c r="AB127" s="31">
        <f>Settings!$B$24*(T127-L$6)^2</f>
        <v>0.22825725319645571</v>
      </c>
      <c r="AC127" s="31">
        <f>Settings!$B$25*(U127-M$6)^2</f>
        <v>3.2779814920853014</v>
      </c>
      <c r="AD127" s="19">
        <f t="shared" si="4"/>
        <v>2.2566458562331739</v>
      </c>
      <c r="AE127" s="15">
        <f t="shared" si="5"/>
        <v>0.89322134196585279</v>
      </c>
      <c r="AF127" s="33">
        <f t="shared" si="6"/>
        <v>0.67104291795462845</v>
      </c>
      <c r="AG127" s="47">
        <f t="shared" si="7"/>
        <v>2.8971606109525843E-3</v>
      </c>
      <c r="AH127" s="18">
        <v>-1.6056992515916</v>
      </c>
      <c r="AI127" s="46">
        <v>1</v>
      </c>
      <c r="AJ127" s="18">
        <v>-0.76663851275857686</v>
      </c>
      <c r="AK127" s="46">
        <v>1</v>
      </c>
      <c r="AL127" s="18">
        <v>0.11549885170946129</v>
      </c>
      <c r="AM127" s="46">
        <v>1</v>
      </c>
      <c r="AN127" s="18">
        <v>2.081291944475065</v>
      </c>
      <c r="AO127" s="46">
        <v>1</v>
      </c>
      <c r="AP127" s="18">
        <v>0.48150131815902242</v>
      </c>
      <c r="AQ127" s="46">
        <v>1</v>
      </c>
    </row>
    <row r="128" spans="1:43" ht="20" customHeight="1" x14ac:dyDescent="0.45">
      <c r="A128" s="26">
        <v>118</v>
      </c>
      <c r="B128" s="16" t="s">
        <v>344</v>
      </c>
      <c r="C128" s="16" t="s">
        <v>271</v>
      </c>
      <c r="D128" s="46">
        <v>26</v>
      </c>
      <c r="E128" s="46">
        <v>1</v>
      </c>
      <c r="F128" s="13">
        <v>0.1606001270513904</v>
      </c>
      <c r="G128" s="13">
        <v>7.4633760163280619E-2</v>
      </c>
      <c r="H128" s="13">
        <v>0.14111993435630571</v>
      </c>
      <c r="I128" s="13">
        <v>2.272130963808559E-2</v>
      </c>
      <c r="J128" s="13">
        <v>0.60092486879093776</v>
      </c>
      <c r="K128" s="13">
        <v>18.29197154471543</v>
      </c>
      <c r="L128" s="13">
        <v>4.5760586846319304</v>
      </c>
      <c r="M128" s="13">
        <v>-3.0059160225164598</v>
      </c>
      <c r="N128" s="19">
        <f>(F128-Settings!$D$18)/Settings!$E$18</f>
        <v>-0.11353222469881237</v>
      </c>
      <c r="O128" s="19">
        <f>(G128-Settings!$D$19)/Settings!$E$19</f>
        <v>0.338604744184206</v>
      </c>
      <c r="P128" s="19">
        <f>(H128-Settings!$D$20)/Settings!$E$20</f>
        <v>0.79723113159833514</v>
      </c>
      <c r="Q128" s="19">
        <f>(I128-Settings!$D$21)/Settings!$E$21</f>
        <v>0.31562005686022726</v>
      </c>
      <c r="R128" s="19">
        <f>(J128-Settings!$D$22)/Settings!$E$22</f>
        <v>0.94993434448406655</v>
      </c>
      <c r="S128" s="19">
        <f>(K128-Settings!$D$23)/Settings!$E$23</f>
        <v>1.0545968778946384</v>
      </c>
      <c r="T128" s="19">
        <f>(L128-Settings!$D$24)/Settings!$E$24</f>
        <v>2.2592024998510269</v>
      </c>
      <c r="U128" s="19">
        <f>(M128-Settings!$D$25)/Settings!$E$25</f>
        <v>-1.9912529859681329</v>
      </c>
      <c r="V128" s="31">
        <f>Settings!$B$18*(N128-F$6)^2</f>
        <v>5.1374258323553567E-3</v>
      </c>
      <c r="W128" s="31">
        <f>Settings!$B$19*(O128-G$6)^2</f>
        <v>5.4740132457211828E-3</v>
      </c>
      <c r="X128" s="31">
        <f>Settings!$B$20*(P128-H$6)^2</f>
        <v>0.42883659490456938</v>
      </c>
      <c r="Y128" s="31">
        <f>Settings!$B$21*(Q128-I$6)^2</f>
        <v>0.27629115856513869</v>
      </c>
      <c r="Z128" s="31">
        <f>Settings!$B$22*(R128-J$6)^2</f>
        <v>0.12706336194082929</v>
      </c>
      <c r="AA128" s="31">
        <f>Settings!$B$23*(S128-K$6)^2</f>
        <v>0.4532582268211906</v>
      </c>
      <c r="AB128" s="31">
        <f>Settings!$B$24*(T128-L$6)^2</f>
        <v>0.53726944217871253</v>
      </c>
      <c r="AC128" s="31">
        <f>Settings!$B$25*(U128-M$6)^2</f>
        <v>3.2736319514474501</v>
      </c>
      <c r="AD128" s="19">
        <f t="shared" si="4"/>
        <v>2.2598588838544691</v>
      </c>
      <c r="AE128" s="15">
        <f t="shared" si="5"/>
        <v>0.89449311654924146</v>
      </c>
      <c r="AF128" s="33">
        <f t="shared" si="6"/>
        <v>0.6702805199180496</v>
      </c>
      <c r="AG128" s="47">
        <f t="shared" si="7"/>
        <v>2.8938690337637863E-3</v>
      </c>
      <c r="AH128" s="18">
        <v>-2.1961910712371342</v>
      </c>
      <c r="AI128" s="46">
        <v>1</v>
      </c>
      <c r="AJ128" s="18">
        <v>-0.61252641026812937</v>
      </c>
      <c r="AK128" s="46">
        <v>1</v>
      </c>
      <c r="AL128" s="18">
        <v>-0.37326505441789531</v>
      </c>
      <c r="AM128" s="46">
        <v>1</v>
      </c>
      <c r="AN128" s="18">
        <v>-0.1485577876895354</v>
      </c>
      <c r="AO128" s="46">
        <v>1</v>
      </c>
      <c r="AP128" s="18">
        <v>1.9218792291666069</v>
      </c>
      <c r="AQ128" s="46">
        <v>1</v>
      </c>
    </row>
    <row r="129" spans="1:43" ht="20" customHeight="1" x14ac:dyDescent="0.45">
      <c r="A129" s="26">
        <v>119</v>
      </c>
      <c r="B129" s="16" t="s">
        <v>345</v>
      </c>
      <c r="C129" s="16" t="s">
        <v>210</v>
      </c>
      <c r="D129" s="46">
        <v>26</v>
      </c>
      <c r="E129" s="46">
        <v>0</v>
      </c>
      <c r="F129" s="13">
        <v>0.25925590812135302</v>
      </c>
      <c r="G129" s="13">
        <v>-0.15092711291964531</v>
      </c>
      <c r="H129" s="13">
        <v>0.17507321969697209</v>
      </c>
      <c r="I129" s="13">
        <v>-1.348483544910736E-2</v>
      </c>
      <c r="J129" s="13">
        <v>0.40125892381292227</v>
      </c>
      <c r="K129" s="13">
        <v>17.119333333333358</v>
      </c>
      <c r="L129" s="13">
        <v>1.8242205654586661</v>
      </c>
      <c r="M129" s="13">
        <v>1.7453631729632479</v>
      </c>
      <c r="N129" s="19">
        <f>(F129-Settings!$D$18)/Settings!$E$18</f>
        <v>0.23955066571217892</v>
      </c>
      <c r="O129" s="19">
        <f>(G129-Settings!$D$19)/Settings!$E$19</f>
        <v>-0.60111060223142188</v>
      </c>
      <c r="P129" s="19">
        <f>(H129-Settings!$D$20)/Settings!$E$20</f>
        <v>1.1048544259394151</v>
      </c>
      <c r="Q129" s="19">
        <f>(I129-Settings!$D$21)/Settings!$E$21</f>
        <v>-0.12961804430043797</v>
      </c>
      <c r="R129" s="19">
        <f>(J129-Settings!$D$22)/Settings!$E$22</f>
        <v>0.41272371913124711</v>
      </c>
      <c r="S129" s="19">
        <f>(K129-Settings!$D$23)/Settings!$E$23</f>
        <v>0.64736659920273942</v>
      </c>
      <c r="T129" s="19">
        <f>(L129-Settings!$D$24)/Settings!$E$24</f>
        <v>0.35670628697235313</v>
      </c>
      <c r="U129" s="19">
        <f>(M129-Settings!$D$25)/Settings!$E$25</f>
        <v>1.2130626208483755</v>
      </c>
      <c r="V129" s="31">
        <f>Settings!$B$18*(N129-F$6)^2</f>
        <v>7.4352042403741606E-3</v>
      </c>
      <c r="W129" s="31">
        <f>Settings!$B$19*(O129-G$6)^2</f>
        <v>0.2442732305665247</v>
      </c>
      <c r="X129" s="31">
        <f>Settings!$B$20*(P129-H$6)^2</f>
        <v>0.26758154069835366</v>
      </c>
      <c r="Y129" s="31">
        <f>Settings!$B$21*(Q129-I$6)^2</f>
        <v>0.10661369202595644</v>
      </c>
      <c r="Z129" s="31">
        <f>Settings!$B$22*(R129-J$6)^2</f>
        <v>1.3505132762603903E-2</v>
      </c>
      <c r="AA129" s="31">
        <f>Settings!$B$23*(S129-K$6)^2</f>
        <v>1.1674258597964184</v>
      </c>
      <c r="AB129" s="31">
        <f>Settings!$B$24*(T129-L$6)^2</f>
        <v>1.3677525967623101</v>
      </c>
      <c r="AC129" s="31">
        <f>Settings!$B$25*(U129-M$6)^2</f>
        <v>1.946018071425998</v>
      </c>
      <c r="AD129" s="19">
        <f t="shared" si="4"/>
        <v>2.2628754557594504</v>
      </c>
      <c r="AE129" s="15">
        <f t="shared" si="5"/>
        <v>0.89568713039845105</v>
      </c>
      <c r="AF129" s="33">
        <f t="shared" si="6"/>
        <v>0.66956454027966616</v>
      </c>
      <c r="AG129" s="47">
        <f t="shared" si="7"/>
        <v>2.8907778633616146E-3</v>
      </c>
      <c r="AH129" s="18">
        <v>0.48318536349283581</v>
      </c>
      <c r="AI129" s="46">
        <v>0</v>
      </c>
      <c r="AJ129" s="18">
        <v>-0.86376209325384901</v>
      </c>
      <c r="AK129" s="46">
        <v>0</v>
      </c>
      <c r="AL129" s="18">
        <v>0.87890988129394909</v>
      </c>
      <c r="AM129" s="46">
        <v>0</v>
      </c>
      <c r="AN129" s="18">
        <v>-0.36616184352379189</v>
      </c>
      <c r="AO129" s="46">
        <v>0</v>
      </c>
      <c r="AP129" s="18">
        <v>-2.1760416702245591</v>
      </c>
      <c r="AQ129" s="46">
        <v>0</v>
      </c>
    </row>
    <row r="130" spans="1:43" ht="20" customHeight="1" x14ac:dyDescent="0.45">
      <c r="A130" s="26">
        <v>120</v>
      </c>
      <c r="B130" s="16" t="s">
        <v>346</v>
      </c>
      <c r="C130" s="16" t="s">
        <v>212</v>
      </c>
      <c r="D130" s="46">
        <v>26</v>
      </c>
      <c r="E130" s="46">
        <v>0</v>
      </c>
      <c r="F130" s="13">
        <v>9.1630389101555423E-2</v>
      </c>
      <c r="G130" s="13">
        <v>0.1040977918642681</v>
      </c>
      <c r="H130" s="13">
        <v>0.23850430482902341</v>
      </c>
      <c r="I130" s="13">
        <v>-1.011587051231806E-2</v>
      </c>
      <c r="J130" s="13">
        <v>0.55565164369283504</v>
      </c>
      <c r="K130" s="13">
        <v>14.72116402116402</v>
      </c>
      <c r="L130" s="13">
        <v>1.9475207253754361</v>
      </c>
      <c r="M130" s="13">
        <v>-0.47699027928303178</v>
      </c>
      <c r="N130" s="19">
        <f>(F130-Settings!$D$18)/Settings!$E$18</f>
        <v>-0.3603706173617513</v>
      </c>
      <c r="O130" s="19">
        <f>(G130-Settings!$D$19)/Settings!$E$19</f>
        <v>0.46135565562670278</v>
      </c>
      <c r="P130" s="19">
        <f>(H130-Settings!$D$20)/Settings!$E$20</f>
        <v>1.6795522549174031</v>
      </c>
      <c r="Q130" s="19">
        <f>(I130-Settings!$D$21)/Settings!$E$21</f>
        <v>-8.818884636399392E-2</v>
      </c>
      <c r="R130" s="19">
        <f>(J130-Settings!$D$22)/Settings!$E$22</f>
        <v>0.82812460086770445</v>
      </c>
      <c r="S130" s="19">
        <f>(K130-Settings!$D$23)/Settings!$E$23</f>
        <v>-0.1854624420699732</v>
      </c>
      <c r="T130" s="19">
        <f>(L130-Settings!$D$24)/Settings!$E$24</f>
        <v>0.44195043184213356</v>
      </c>
      <c r="U130" s="19">
        <f>(M130-Settings!$D$25)/Settings!$E$25</f>
        <v>-0.28571729881414892</v>
      </c>
      <c r="V130" s="31">
        <f>Settings!$B$18*(N130-F$6)^2</f>
        <v>3.3147782073513953E-2</v>
      </c>
      <c r="W130" s="31">
        <f>Settings!$B$19*(O130-G$6)^2</f>
        <v>3.6445476195159563E-4</v>
      </c>
      <c r="X130" s="31">
        <f>Settings!$B$20*(P130-H$6)^2</f>
        <v>6.774055700799704E-2</v>
      </c>
      <c r="Y130" s="31">
        <f>Settings!$B$21*(Q130-I$6)^2</f>
        <v>0.11905620546147891</v>
      </c>
      <c r="Z130" s="31">
        <f>Settings!$B$22*(R130-J$6)^2</f>
        <v>9.1194643117772839E-2</v>
      </c>
      <c r="AA130" s="31">
        <f>Settings!$B$23*(S130-K$6)^2</f>
        <v>3.6607317065415885</v>
      </c>
      <c r="AB130" s="31">
        <f>Settings!$B$24*(T130-L$6)^2</f>
        <v>1.1756314773111918</v>
      </c>
      <c r="AC130" s="31">
        <f>Settings!$B$25*(U130-M$6)^2</f>
        <v>1.0770787177558859E-2</v>
      </c>
      <c r="AD130" s="19">
        <f t="shared" si="4"/>
        <v>2.2712634399058715</v>
      </c>
      <c r="AE130" s="15">
        <f t="shared" si="5"/>
        <v>0.89900724659433517</v>
      </c>
      <c r="AF130" s="33">
        <f t="shared" si="6"/>
        <v>0.66757267734670467</v>
      </c>
      <c r="AG130" s="47">
        <f t="shared" si="7"/>
        <v>2.8821781945812894E-3</v>
      </c>
      <c r="AH130" s="18">
        <v>0.55564224390766093</v>
      </c>
      <c r="AI130" s="46">
        <v>0</v>
      </c>
      <c r="AJ130" s="18">
        <v>-0.55249230818716288</v>
      </c>
      <c r="AK130" s="46">
        <v>0</v>
      </c>
      <c r="AL130" s="18">
        <v>-1.1417948205904811</v>
      </c>
      <c r="AM130" s="46">
        <v>0</v>
      </c>
      <c r="AN130" s="18">
        <v>-0.14103874351632689</v>
      </c>
      <c r="AO130" s="46">
        <v>0</v>
      </c>
      <c r="AP130" s="18">
        <v>0.1899213229736052</v>
      </c>
      <c r="AQ130" s="46">
        <v>0</v>
      </c>
    </row>
    <row r="131" spans="1:43" ht="20" customHeight="1" x14ac:dyDescent="0.45">
      <c r="A131" s="26">
        <v>121</v>
      </c>
      <c r="B131" s="16" t="s">
        <v>347</v>
      </c>
      <c r="C131" s="16" t="s">
        <v>229</v>
      </c>
      <c r="D131" s="46">
        <v>26</v>
      </c>
      <c r="E131" s="46">
        <v>1</v>
      </c>
      <c r="F131" s="13">
        <v>0.30691021377592759</v>
      </c>
      <c r="G131" s="13">
        <v>7.6454531331083667E-2</v>
      </c>
      <c r="H131" s="13">
        <v>0.1157156591006846</v>
      </c>
      <c r="I131" s="13">
        <v>2.4919403447839591E-2</v>
      </c>
      <c r="J131" s="13">
        <v>0.47600019234446461</v>
      </c>
      <c r="K131" s="13">
        <v>15.483333333333331</v>
      </c>
      <c r="L131" s="13">
        <v>3.5718597413359929</v>
      </c>
      <c r="M131" s="13">
        <v>1.513481750197188</v>
      </c>
      <c r="N131" s="19">
        <f>(F131-Settings!$D$18)/Settings!$E$18</f>
        <v>0.41010245495921543</v>
      </c>
      <c r="O131" s="19">
        <f>(G131-Settings!$D$19)/Settings!$E$19</f>
        <v>0.34619030893801239</v>
      </c>
      <c r="P131" s="19">
        <f>(H131-Settings!$D$20)/Settings!$E$20</f>
        <v>0.56706351258676146</v>
      </c>
      <c r="Q131" s="19">
        <f>(I131-Settings!$D$21)/Settings!$E$21</f>
        <v>0.3426506924518099</v>
      </c>
      <c r="R131" s="19">
        <f>(J131-Settings!$D$22)/Settings!$E$22</f>
        <v>0.61381862097799844</v>
      </c>
      <c r="S131" s="19">
        <f>(K131-Settings!$D$23)/Settings!$E$23</f>
        <v>7.922142921485327E-2</v>
      </c>
      <c r="T131" s="19">
        <f>(L131-Settings!$D$24)/Settings!$E$24</f>
        <v>1.5649448422925747</v>
      </c>
      <c r="U131" s="19">
        <f>(M131-Settings!$D$25)/Settings!$E$25</f>
        <v>1.0566792067549664</v>
      </c>
      <c r="V131" s="31">
        <f>Settings!$B$18*(N131-F$6)^2</f>
        <v>2.6406480511556481E-2</v>
      </c>
      <c r="W131" s="31">
        <f>Settings!$B$19*(O131-G$6)^2</f>
        <v>4.9835420731604938E-3</v>
      </c>
      <c r="X131" s="31">
        <f>Settings!$B$20*(P131-H$6)^2</f>
        <v>0.57424606600988193</v>
      </c>
      <c r="Y131" s="31">
        <f>Settings!$B$21*(Q131-I$6)^2</f>
        <v>0.28914551021434826</v>
      </c>
      <c r="Z131" s="31">
        <f>Settings!$B$22*(R131-J$6)^2</f>
        <v>4.2495332356692422E-2</v>
      </c>
      <c r="AA131" s="31">
        <f>Settings!$B$23*(S131-K$6)^2</f>
        <v>2.7179479066989853</v>
      </c>
      <c r="AB131" s="31">
        <f>Settings!$B$24*(T131-L$6)^2</f>
        <v>1.4999355477312915E-3</v>
      </c>
      <c r="AC131" s="31">
        <f>Settings!$B$25*(U131-M$6)^2</f>
        <v>1.5341648950221747</v>
      </c>
      <c r="AD131" s="19">
        <f t="shared" si="4"/>
        <v>2.2783524021613801</v>
      </c>
      <c r="AE131" s="15">
        <f t="shared" si="5"/>
        <v>0.90181318637505925</v>
      </c>
      <c r="AF131" s="33">
        <f t="shared" si="6"/>
        <v>0.66588818591049481</v>
      </c>
      <c r="AG131" s="47">
        <f t="shared" si="7"/>
        <v>2.8749055714630107E-3</v>
      </c>
      <c r="AH131" s="18">
        <v>-0.69665519119118891</v>
      </c>
      <c r="AI131" s="46">
        <v>1</v>
      </c>
      <c r="AJ131" s="18">
        <v>-1.187779935730384</v>
      </c>
      <c r="AK131" s="46">
        <v>1</v>
      </c>
      <c r="AL131" s="18">
        <v>-0.13434234252506069</v>
      </c>
      <c r="AM131" s="46">
        <v>1</v>
      </c>
      <c r="AN131" s="48"/>
      <c r="AO131" s="48"/>
      <c r="AP131" s="48"/>
      <c r="AQ131" s="48"/>
    </row>
    <row r="132" spans="1:43" ht="20" customHeight="1" x14ac:dyDescent="0.45">
      <c r="A132" s="26">
        <v>122</v>
      </c>
      <c r="B132" s="16" t="s">
        <v>348</v>
      </c>
      <c r="C132" s="16" t="s">
        <v>260</v>
      </c>
      <c r="D132" s="46">
        <v>26</v>
      </c>
      <c r="E132" s="46">
        <v>1</v>
      </c>
      <c r="F132" s="13">
        <v>0.19809859745540689</v>
      </c>
      <c r="G132" s="13">
        <v>0.16101751170718501</v>
      </c>
      <c r="H132" s="13">
        <v>0.37456437684892302</v>
      </c>
      <c r="I132" s="13">
        <v>0.1229728889980478</v>
      </c>
      <c r="J132" s="13">
        <v>-0.1433466249904374</v>
      </c>
      <c r="K132" s="13">
        <v>17.76685393258424</v>
      </c>
      <c r="L132" s="13">
        <v>1.0824118157426701</v>
      </c>
      <c r="M132" s="13">
        <v>0.1160660822476829</v>
      </c>
      <c r="N132" s="19">
        <f>(F132-Settings!$D$18)/Settings!$E$18</f>
        <v>2.0672463284468052E-2</v>
      </c>
      <c r="O132" s="19">
        <f>(G132-Settings!$D$19)/Settings!$E$19</f>
        <v>0.69849046326864039</v>
      </c>
      <c r="P132" s="19">
        <f>(H132-Settings!$D$20)/Settings!$E$20</f>
        <v>2.9122826715205772</v>
      </c>
      <c r="Q132" s="19">
        <f>(I132-Settings!$D$21)/Settings!$E$21</f>
        <v>1.5484445601342907</v>
      </c>
      <c r="R132" s="19">
        <f>(J132-Settings!$D$22)/Settings!$E$22</f>
        <v>-1.0525631502719546</v>
      </c>
      <c r="S132" s="19">
        <f>(K132-Settings!$D$23)/Settings!$E$23</f>
        <v>0.87223560955239954</v>
      </c>
      <c r="T132" s="19">
        <f>(L132-Settings!$D$24)/Settings!$E$24</f>
        <v>-0.15614667744509597</v>
      </c>
      <c r="U132" s="19">
        <f>(M132-Settings!$D$25)/Settings!$E$25</f>
        <v>0.11424651656900853</v>
      </c>
      <c r="V132" s="31">
        <f>Settings!$B$18*(N132-F$6)^2</f>
        <v>1.3590144487126552E-4</v>
      </c>
      <c r="W132" s="31">
        <f>Settings!$B$19*(O132-G$6)^2</f>
        <v>7.5619044880158373E-3</v>
      </c>
      <c r="X132" s="31">
        <f>Settings!$B$20*(P132-H$6)^2</f>
        <v>8.4694759221007956E-2</v>
      </c>
      <c r="Y132" s="31">
        <f>Settings!$B$21*(Q132-I$6)^2</f>
        <v>1.1598642356772295</v>
      </c>
      <c r="Z132" s="31">
        <f>Settings!$B$22*(R132-J$6)^2</f>
        <v>0.29061223088886784</v>
      </c>
      <c r="AA132" s="31">
        <f>Settings!$B$23*(S132-K$6)^2</f>
        <v>0.73206131983339351</v>
      </c>
      <c r="AB132" s="31">
        <f>Settings!$B$24*(T132-L$6)^2</f>
        <v>2.8303436431817466</v>
      </c>
      <c r="AC132" s="31">
        <f>Settings!$B$25*(U132-M$6)^2</f>
        <v>8.7723429026714539E-2</v>
      </c>
      <c r="AD132" s="19">
        <f t="shared" si="4"/>
        <v>2.2788149165217098</v>
      </c>
      <c r="AE132" s="15">
        <f t="shared" si="5"/>
        <v>0.90199625794407434</v>
      </c>
      <c r="AF132" s="33">
        <f t="shared" si="6"/>
        <v>0.66577824811581909</v>
      </c>
      <c r="AG132" s="47">
        <f t="shared" si="7"/>
        <v>2.8744309260418798E-3</v>
      </c>
      <c r="AH132" s="18">
        <v>0.41431504131664432</v>
      </c>
      <c r="AI132" s="46">
        <v>1</v>
      </c>
      <c r="AJ132" s="18">
        <v>-0.9021357047539138</v>
      </c>
      <c r="AK132" s="46">
        <v>1</v>
      </c>
      <c r="AL132" s="18">
        <v>0.61636923713766323</v>
      </c>
      <c r="AM132" s="46">
        <v>1</v>
      </c>
      <c r="AN132" s="18">
        <v>1.2673852080086681</v>
      </c>
      <c r="AO132" s="46">
        <v>1</v>
      </c>
      <c r="AP132" s="18">
        <v>-0.70057948747131515</v>
      </c>
      <c r="AQ132" s="46">
        <v>1</v>
      </c>
    </row>
    <row r="133" spans="1:43" ht="20" customHeight="1" x14ac:dyDescent="0.45">
      <c r="A133" s="26">
        <v>123</v>
      </c>
      <c r="B133" s="16" t="s">
        <v>349</v>
      </c>
      <c r="C133" s="16" t="s">
        <v>212</v>
      </c>
      <c r="D133" s="46">
        <v>26</v>
      </c>
      <c r="E133" s="46">
        <v>0</v>
      </c>
      <c r="F133" s="13">
        <v>0.5002778789178508</v>
      </c>
      <c r="G133" s="13">
        <v>0.17922030350505791</v>
      </c>
      <c r="H133" s="13">
        <v>-4.0755487011915753E-2</v>
      </c>
      <c r="I133" s="13">
        <v>-2.747221454082063E-2</v>
      </c>
      <c r="J133" s="13">
        <v>0.25227411602435512</v>
      </c>
      <c r="K133" s="13">
        <v>17.8041407867495</v>
      </c>
      <c r="L133" s="13">
        <v>2.4230507365909482</v>
      </c>
      <c r="M133" s="13">
        <v>1.6092338862309019</v>
      </c>
      <c r="N133" s="19">
        <f>(F133-Settings!$D$18)/Settings!$E$18</f>
        <v>1.102153274281372</v>
      </c>
      <c r="O133" s="19">
        <f>(G133-Settings!$D$19)/Settings!$E$19</f>
        <v>0.77432561395889765</v>
      </c>
      <c r="P133" s="19">
        <f>(H133-Settings!$D$20)/Settings!$E$20</f>
        <v>-0.85059516030848059</v>
      </c>
      <c r="Q133" s="19">
        <f>(I133-Settings!$D$21)/Settings!$E$21</f>
        <v>-0.30162514674150154</v>
      </c>
      <c r="R133" s="19">
        <f>(J133-Settings!$D$22)/Settings!$E$22</f>
        <v>1.1873079484219366E-2</v>
      </c>
      <c r="S133" s="19">
        <f>(K133-Settings!$D$23)/Settings!$E$23</f>
        <v>0.88518447636048903</v>
      </c>
      <c r="T133" s="19">
        <f>(L133-Settings!$D$24)/Settings!$E$24</f>
        <v>0.77071033931789101</v>
      </c>
      <c r="U133" s="19">
        <f>(M133-Settings!$D$25)/Settings!$E$25</f>
        <v>1.1212555137357791</v>
      </c>
      <c r="V133" s="31">
        <f>Settings!$B$18*(N133-F$6)^2</f>
        <v>0.22277951077636671</v>
      </c>
      <c r="W133" s="31">
        <f>Settings!$B$19*(O133-G$6)^2</f>
        <v>1.4610456679687873E-2</v>
      </c>
      <c r="X133" s="31">
        <f>Settings!$B$20*(P133-H$6)^2</f>
        <v>1.9370696178422908</v>
      </c>
      <c r="Y133" s="31">
        <f>Settings!$B$21*(Q133-I$6)^2</f>
        <v>6.2296968675538203E-2</v>
      </c>
      <c r="Z133" s="31">
        <f>Settings!$B$22*(R133-J$6)^2</f>
        <v>3.9758409191321441E-3</v>
      </c>
      <c r="AA133" s="31">
        <f>Settings!$B$23*(S133-K$6)^2</f>
        <v>0.71007074136887938</v>
      </c>
      <c r="AB133" s="31">
        <f>Settings!$B$24*(T133-L$6)^2</f>
        <v>0.57078856294297042</v>
      </c>
      <c r="AC133" s="31">
        <f>Settings!$B$25*(U133-M$6)^2</f>
        <v>1.6983052434788128</v>
      </c>
      <c r="AD133" s="19">
        <f t="shared" si="4"/>
        <v>2.2847093781668772</v>
      </c>
      <c r="AE133" s="15">
        <f t="shared" si="5"/>
        <v>0.90432939272741664</v>
      </c>
      <c r="AF133" s="33">
        <f t="shared" si="6"/>
        <v>0.66437679687806783</v>
      </c>
      <c r="AG133" s="47">
        <f t="shared" si="7"/>
        <v>2.868380300641407E-3</v>
      </c>
      <c r="AH133" s="18">
        <v>0.12323818852572629</v>
      </c>
      <c r="AI133" s="46">
        <v>0</v>
      </c>
      <c r="AJ133" s="18">
        <v>0.31975965013447821</v>
      </c>
      <c r="AK133" s="46">
        <v>0</v>
      </c>
      <c r="AL133" s="18">
        <v>0.62419537090043509</v>
      </c>
      <c r="AM133" s="46">
        <v>0</v>
      </c>
      <c r="AN133" s="18">
        <v>0.29532572455350969</v>
      </c>
      <c r="AO133" s="46">
        <v>0</v>
      </c>
      <c r="AP133" s="18">
        <v>-0.405988425323069</v>
      </c>
      <c r="AQ133" s="46">
        <v>0</v>
      </c>
    </row>
    <row r="134" spans="1:43" ht="20" customHeight="1" x14ac:dyDescent="0.45">
      <c r="A134" s="26">
        <v>124</v>
      </c>
      <c r="B134" s="16" t="s">
        <v>350</v>
      </c>
      <c r="C134" s="16" t="s">
        <v>242</v>
      </c>
      <c r="D134" s="46">
        <v>26</v>
      </c>
      <c r="E134" s="46">
        <v>0</v>
      </c>
      <c r="F134" s="13">
        <v>9.0175244657911047E-2</v>
      </c>
      <c r="G134" s="13">
        <v>-0.1926156716702481</v>
      </c>
      <c r="H134" s="13">
        <v>-1.7740064365146271E-2</v>
      </c>
      <c r="I134" s="13">
        <v>1.689730939001482E-3</v>
      </c>
      <c r="J134" s="13">
        <v>0.6977792883676931</v>
      </c>
      <c r="K134" s="13">
        <v>21.260389610389609</v>
      </c>
      <c r="L134" s="13">
        <v>3.6434252359179928</v>
      </c>
      <c r="M134" s="13">
        <v>2.0984536762209172</v>
      </c>
      <c r="N134" s="19">
        <f>(F134-Settings!$D$18)/Settings!$E$18</f>
        <v>-0.3655784886142539</v>
      </c>
      <c r="O134" s="19">
        <f>(G134-Settings!$D$19)/Settings!$E$19</f>
        <v>-0.77479045145548642</v>
      </c>
      <c r="P134" s="19">
        <f>(H134-Settings!$D$20)/Settings!$E$20</f>
        <v>-0.64207100530508832</v>
      </c>
      <c r="Q134" s="19">
        <f>(I134-Settings!$D$21)/Settings!$E$21</f>
        <v>5.6988265438068571E-2</v>
      </c>
      <c r="R134" s="19">
        <f>(J134-Settings!$D$22)/Settings!$E$22</f>
        <v>1.2105257203180479</v>
      </c>
      <c r="S134" s="19">
        <f>(K134-Settings!$D$23)/Settings!$E$23</f>
        <v>2.0854601948368998</v>
      </c>
      <c r="T134" s="19">
        <f>(L134-Settings!$D$24)/Settings!$E$24</f>
        <v>1.6144219832139122</v>
      </c>
      <c r="U134" s="19">
        <f>(M134-Settings!$D$25)/Settings!$E$25</f>
        <v>1.4511907887917901</v>
      </c>
      <c r="V134" s="31">
        <f>Settings!$B$18*(N134-F$6)^2</f>
        <v>3.4001277960965415E-2</v>
      </c>
      <c r="W134" s="31">
        <f>Settings!$B$19*(O134-G$6)^2</f>
        <v>0.32708338541020304</v>
      </c>
      <c r="X134" s="31">
        <f>Settings!$B$20*(P134-H$6)^2</f>
        <v>1.6861844387247318</v>
      </c>
      <c r="Y134" s="31">
        <f>Settings!$B$21*(Q134-I$6)^2</f>
        <v>0.16807572928279774</v>
      </c>
      <c r="Z134" s="31">
        <f>Settings!$B$22*(R134-J$6)^2</f>
        <v>0.22372851529671026</v>
      </c>
      <c r="AA134" s="31">
        <f>Settings!$B$23*(S134-K$6)^2</f>
        <v>0.12789118102634028</v>
      </c>
      <c r="AB134" s="31">
        <f>Settings!$B$24*(T134-L$6)^2</f>
        <v>7.7803235393176847E-3</v>
      </c>
      <c r="AC134" s="31">
        <f>Settings!$B$25*(U134-M$6)^2</f>
        <v>2.6670995016392931</v>
      </c>
      <c r="AD134" s="19">
        <f t="shared" si="4"/>
        <v>2.2895074476577619</v>
      </c>
      <c r="AE134" s="15">
        <f t="shared" si="5"/>
        <v>0.90622855561895121</v>
      </c>
      <c r="AF134" s="33">
        <f t="shared" si="6"/>
        <v>0.66323553365033561</v>
      </c>
      <c r="AG134" s="47">
        <f t="shared" si="7"/>
        <v>2.8634530109231983E-3</v>
      </c>
      <c r="AH134" s="18">
        <v>-0.30849983819296162</v>
      </c>
      <c r="AI134" s="46">
        <v>0</v>
      </c>
      <c r="AJ134" s="18">
        <v>-1.125274228554791</v>
      </c>
      <c r="AK134" s="46">
        <v>0</v>
      </c>
      <c r="AL134" s="18">
        <v>-0.40800269926514038</v>
      </c>
      <c r="AM134" s="46">
        <v>0</v>
      </c>
      <c r="AN134" s="48"/>
      <c r="AO134" s="48"/>
      <c r="AP134" s="48"/>
      <c r="AQ134" s="48"/>
    </row>
    <row r="135" spans="1:43" ht="20" customHeight="1" x14ac:dyDescent="0.45">
      <c r="A135" s="26">
        <v>125</v>
      </c>
      <c r="B135" s="16" t="s">
        <v>351</v>
      </c>
      <c r="C135" s="16" t="s">
        <v>212</v>
      </c>
      <c r="D135" s="46">
        <v>26</v>
      </c>
      <c r="E135" s="46">
        <v>0</v>
      </c>
      <c r="F135" s="13">
        <v>0.1652489898269057</v>
      </c>
      <c r="G135" s="13">
        <v>0.2357591244042869</v>
      </c>
      <c r="H135" s="13">
        <v>1.120139522775747E-2</v>
      </c>
      <c r="I135" s="13">
        <v>3.814022172667355E-2</v>
      </c>
      <c r="J135" s="13">
        <v>0.54965026881437651</v>
      </c>
      <c r="K135" s="13">
        <v>15.8738095238095</v>
      </c>
      <c r="L135" s="13">
        <v>2.04427623366943</v>
      </c>
      <c r="M135" s="13">
        <v>-3.9285591598601233E-2</v>
      </c>
      <c r="N135" s="19">
        <f>(F135-Settings!$D$18)/Settings!$E$18</f>
        <v>-9.6894234627668274E-2</v>
      </c>
      <c r="O135" s="19">
        <f>(G135-Settings!$D$19)/Settings!$E$19</f>
        <v>1.0098735480534651</v>
      </c>
      <c r="P135" s="19">
        <f>(H135-Settings!$D$20)/Settings!$E$20</f>
        <v>-0.37985581600365842</v>
      </c>
      <c r="Q135" s="19">
        <f>(I135-Settings!$D$21)/Settings!$E$21</f>
        <v>0.50523116082485475</v>
      </c>
      <c r="R135" s="19">
        <f>(J135-Settings!$D$22)/Settings!$E$22</f>
        <v>0.81197761920897249</v>
      </c>
      <c r="S135" s="19">
        <f>(K135-Settings!$D$23)/Settings!$E$23</f>
        <v>0.21482482873459766</v>
      </c>
      <c r="T135" s="19">
        <f>(L135-Settings!$D$24)/Settings!$E$24</f>
        <v>0.50884280709557939</v>
      </c>
      <c r="U135" s="19">
        <f>(M135-Settings!$D$25)/Settings!$E$25</f>
        <v>9.475617497383482E-3</v>
      </c>
      <c r="V135" s="31">
        <f>Settings!$B$18*(N135-F$6)^2</f>
        <v>4.126148482080024E-3</v>
      </c>
      <c r="W135" s="31">
        <f>Settings!$B$19*(O135-G$6)^2</f>
        <v>5.1172755951581439E-2</v>
      </c>
      <c r="X135" s="31">
        <f>Settings!$B$20*(P135-H$6)^2</f>
        <v>1.3953880623632779</v>
      </c>
      <c r="Y135" s="31">
        <f>Settings!$B$21*(Q135-I$6)^2</f>
        <v>0.3726256607444674</v>
      </c>
      <c r="Z135" s="31">
        <f>Settings!$B$22*(R135-J$6)^2</f>
        <v>8.6885437426778525E-2</v>
      </c>
      <c r="AA135" s="31">
        <f>Settings!$B$23*(S135-K$6)^2</f>
        <v>2.2892192354387166</v>
      </c>
      <c r="AB135" s="31">
        <f>Settings!$B$24*(T135-L$6)^2</f>
        <v>1.03504788994222</v>
      </c>
      <c r="AC135" s="31">
        <f>Settings!$B$25*(U135-M$6)^2</f>
        <v>3.6637984596769965E-2</v>
      </c>
      <c r="AD135" s="19">
        <f t="shared" si="4"/>
        <v>2.295888319353947</v>
      </c>
      <c r="AE135" s="15">
        <f t="shared" si="5"/>
        <v>0.90875422031890207</v>
      </c>
      <c r="AF135" s="33">
        <f t="shared" si="6"/>
        <v>0.66171712600383015</v>
      </c>
      <c r="AG135" s="47">
        <f t="shared" si="7"/>
        <v>2.8568974379380406E-3</v>
      </c>
      <c r="AH135" s="18">
        <v>0.28667106948727561</v>
      </c>
      <c r="AI135" s="46">
        <v>0</v>
      </c>
      <c r="AJ135" s="18">
        <v>-5.801492844671019E-2</v>
      </c>
      <c r="AK135" s="46">
        <v>0</v>
      </c>
      <c r="AL135" s="18">
        <v>-0.59574336463684086</v>
      </c>
      <c r="AM135" s="46">
        <v>0</v>
      </c>
      <c r="AN135" s="18">
        <v>-0.37028785064356518</v>
      </c>
      <c r="AO135" s="46">
        <v>0</v>
      </c>
      <c r="AP135" s="18">
        <v>-0.70280076695599225</v>
      </c>
      <c r="AQ135" s="46">
        <v>0</v>
      </c>
    </row>
    <row r="136" spans="1:43" ht="20" customHeight="1" x14ac:dyDescent="0.45">
      <c r="A136" s="26">
        <v>126</v>
      </c>
      <c r="B136" s="16" t="s">
        <v>352</v>
      </c>
      <c r="C136" s="16" t="s">
        <v>234</v>
      </c>
      <c r="D136" s="46">
        <v>26</v>
      </c>
      <c r="E136" s="46">
        <v>1</v>
      </c>
      <c r="F136" s="13">
        <v>0.25814355690277302</v>
      </c>
      <c r="G136" s="13">
        <v>-9.0279615864897102E-3</v>
      </c>
      <c r="H136" s="13">
        <v>6.4232060831462212E-2</v>
      </c>
      <c r="I136" s="13">
        <v>-8.3571987187223556E-3</v>
      </c>
      <c r="J136" s="13">
        <v>0.66023922196055285</v>
      </c>
      <c r="K136" s="13">
        <v>16.717129629629579</v>
      </c>
      <c r="L136" s="13">
        <v>2.2011244560881509</v>
      </c>
      <c r="M136" s="13">
        <v>1.6209144668665001</v>
      </c>
      <c r="N136" s="19">
        <f>(F136-Settings!$D$18)/Settings!$E$18</f>
        <v>0.2355696300430184</v>
      </c>
      <c r="O136" s="19">
        <f>(G136-Settings!$D$19)/Settings!$E$19</f>
        <v>-9.9406518380457786E-3</v>
      </c>
      <c r="P136" s="19">
        <f>(H136-Settings!$D$20)/Settings!$E$20</f>
        <v>0.10061221206586542</v>
      </c>
      <c r="Q136" s="19">
        <f>(I136-Settings!$D$21)/Settings!$E$21</f>
        <v>-6.6561918447209156E-2</v>
      </c>
      <c r="R136" s="19">
        <f>(J136-Settings!$D$22)/Settings!$E$22</f>
        <v>1.1095224042413545</v>
      </c>
      <c r="S136" s="19">
        <f>(K136-Settings!$D$23)/Settings!$E$23</f>
        <v>0.50769050408627392</v>
      </c>
      <c r="T136" s="19">
        <f>(L136-Settings!$D$24)/Settings!$E$24</f>
        <v>0.61728056259771547</v>
      </c>
      <c r="U136" s="19">
        <f>(M136-Settings!$D$25)/Settings!$E$25</f>
        <v>1.1291330274089253</v>
      </c>
      <c r="V136" s="31">
        <f>Settings!$B$18*(N136-F$6)^2</f>
        <v>7.1313392319233802E-3</v>
      </c>
      <c r="W136" s="31">
        <f>Settings!$B$19*(O136-G$6)^2</f>
        <v>5.2835994050351442E-2</v>
      </c>
      <c r="X136" s="31">
        <f>Settings!$B$20*(P136-H$6)^2</f>
        <v>0.93391661953952587</v>
      </c>
      <c r="Y136" s="31">
        <f>Settings!$B$21*(Q136-I$6)^2</f>
        <v>0.12582420580505765</v>
      </c>
      <c r="Z136" s="31">
        <f>Settings!$B$22*(R136-J$6)^2</f>
        <v>0.18303802244760498</v>
      </c>
      <c r="AA136" s="31">
        <f>Settings!$B$23*(S136-K$6)^2</f>
        <v>1.4887682817936172</v>
      </c>
      <c r="AB136" s="31">
        <f>Settings!$B$24*(T136-L$6)^2</f>
        <v>0.82616334016908322</v>
      </c>
      <c r="AC136" s="31">
        <f>Settings!$B$25*(U136-M$6)^2</f>
        <v>1.7188990992399809</v>
      </c>
      <c r="AD136" s="19">
        <f t="shared" si="4"/>
        <v>2.310103223294826</v>
      </c>
      <c r="AE136" s="15">
        <f t="shared" si="5"/>
        <v>0.91438073700911138</v>
      </c>
      <c r="AF136" s="33">
        <f t="shared" si="6"/>
        <v>0.65833190093872973</v>
      </c>
      <c r="AG136" s="47">
        <f t="shared" si="7"/>
        <v>2.8422820676608129E-3</v>
      </c>
      <c r="AH136" s="18">
        <v>-0.68595353076092658</v>
      </c>
      <c r="AI136" s="46">
        <v>1</v>
      </c>
      <c r="AJ136" s="18">
        <v>-0.13085595602660319</v>
      </c>
      <c r="AK136" s="46">
        <v>1</v>
      </c>
      <c r="AL136" s="18">
        <v>0.93612419378378209</v>
      </c>
      <c r="AM136" s="46">
        <v>1</v>
      </c>
      <c r="AN136" s="18">
        <v>0.6900950090012139</v>
      </c>
      <c r="AO136" s="46">
        <v>1</v>
      </c>
      <c r="AP136" s="18">
        <v>-0.28994968953503258</v>
      </c>
      <c r="AQ136" s="46">
        <v>1</v>
      </c>
    </row>
    <row r="137" spans="1:43" ht="20" customHeight="1" x14ac:dyDescent="0.45">
      <c r="A137" s="26">
        <v>127</v>
      </c>
      <c r="B137" s="16" t="s">
        <v>353</v>
      </c>
      <c r="C137" s="16" t="s">
        <v>216</v>
      </c>
      <c r="D137" s="46">
        <v>26</v>
      </c>
      <c r="E137" s="46">
        <v>1</v>
      </c>
      <c r="F137" s="13">
        <v>0.13561236168349219</v>
      </c>
      <c r="G137" s="13">
        <v>-0.1602721673858418</v>
      </c>
      <c r="H137" s="13">
        <v>0.10348815390997031</v>
      </c>
      <c r="I137" s="13">
        <v>4.8062667683464559E-2</v>
      </c>
      <c r="J137" s="13">
        <v>0.55256464933723104</v>
      </c>
      <c r="K137" s="13">
        <v>16.667083333333309</v>
      </c>
      <c r="L137" s="13">
        <v>1.403165069357118</v>
      </c>
      <c r="M137" s="13">
        <v>-1.049163506062184</v>
      </c>
      <c r="N137" s="19">
        <f>(F137-Settings!$D$18)/Settings!$E$18</f>
        <v>-0.20296187925450873</v>
      </c>
      <c r="O137" s="19">
        <f>(G137-Settings!$D$19)/Settings!$E$19</f>
        <v>-0.64004329022357287</v>
      </c>
      <c r="P137" s="19">
        <f>(H137-Settings!$D$20)/Settings!$E$20</f>
        <v>0.45627996423201606</v>
      </c>
      <c r="Q137" s="19">
        <f>(I137-Settings!$D$21)/Settings!$E$21</f>
        <v>0.62725053035540601</v>
      </c>
      <c r="R137" s="19">
        <f>(J137-Settings!$D$22)/Settings!$E$22</f>
        <v>0.81981889721645218</v>
      </c>
      <c r="S137" s="19">
        <f>(K137-Settings!$D$23)/Settings!$E$23</f>
        <v>0.49031057650894655</v>
      </c>
      <c r="T137" s="19">
        <f>(L137-Settings!$D$24)/Settings!$E$24</f>
        <v>6.5607591462746667E-2</v>
      </c>
      <c r="U137" s="19">
        <f>(M137-Settings!$D$25)/Settings!$E$25</f>
        <v>-0.67159729553488234</v>
      </c>
      <c r="V137" s="31">
        <f>Settings!$B$18*(N137-F$6)^2</f>
        <v>1.2470187986925278E-2</v>
      </c>
      <c r="W137" s="31">
        <f>Settings!$B$19*(O137-G$6)^2</f>
        <v>0.26178703331133979</v>
      </c>
      <c r="X137" s="31">
        <f>Settings!$B$20*(P137-H$6)^2</f>
        <v>0.65178844747105003</v>
      </c>
      <c r="Y137" s="31">
        <f>Settings!$B$21*(Q137-I$6)^2</f>
        <v>0.44222425302918017</v>
      </c>
      <c r="Z137" s="31">
        <f>Settings!$B$22*(R137-J$6)^2</f>
        <v>8.8965043297346585E-2</v>
      </c>
      <c r="AA137" s="31">
        <f>Settings!$B$23*(S137-K$6)^2</f>
        <v>1.5314826131247334</v>
      </c>
      <c r="AB137" s="31">
        <f>Settings!$B$24*(T137-L$6)^2</f>
        <v>2.1333764583669534</v>
      </c>
      <c r="AC137" s="31">
        <f>Settings!$B$25*(U137-M$6)^2</f>
        <v>0.23976926572435095</v>
      </c>
      <c r="AD137" s="19">
        <f t="shared" si="4"/>
        <v>2.3155697576000338</v>
      </c>
      <c r="AE137" s="15">
        <f t="shared" si="5"/>
        <v>0.91654449039314945</v>
      </c>
      <c r="AF137" s="33">
        <f t="shared" si="6"/>
        <v>0.65702914455047512</v>
      </c>
      <c r="AG137" s="47">
        <f t="shared" si="7"/>
        <v>2.8366575473913456E-3</v>
      </c>
      <c r="AH137" s="18">
        <v>-1.013560727005032</v>
      </c>
      <c r="AI137" s="46">
        <v>1</v>
      </c>
      <c r="AJ137" s="18">
        <v>0.94654970809896488</v>
      </c>
      <c r="AK137" s="46">
        <v>1</v>
      </c>
      <c r="AL137" s="48"/>
      <c r="AM137" s="48"/>
      <c r="AN137" s="48"/>
      <c r="AO137" s="48"/>
      <c r="AP137" s="48"/>
      <c r="AQ137" s="48"/>
    </row>
    <row r="138" spans="1:43" ht="20" customHeight="1" x14ac:dyDescent="0.45">
      <c r="A138" s="26">
        <v>128</v>
      </c>
      <c r="B138" s="16" t="s">
        <v>354</v>
      </c>
      <c r="C138" s="16" t="s">
        <v>227</v>
      </c>
      <c r="D138" s="46">
        <v>26</v>
      </c>
      <c r="E138" s="46">
        <v>0</v>
      </c>
      <c r="F138" s="13">
        <v>0.13415286024239359</v>
      </c>
      <c r="G138" s="13">
        <v>0.15768807467400861</v>
      </c>
      <c r="H138" s="13">
        <v>0.13196737543157369</v>
      </c>
      <c r="I138" s="13">
        <v>-0.1568296157176638</v>
      </c>
      <c r="J138" s="13">
        <v>0.41936207393436048</v>
      </c>
      <c r="K138" s="13">
        <v>16.265413533834611</v>
      </c>
      <c r="L138" s="13">
        <v>1.4015882086289679</v>
      </c>
      <c r="M138" s="13">
        <v>-1.522241938532531</v>
      </c>
      <c r="N138" s="19">
        <f>(F138-Settings!$D$18)/Settings!$E$18</f>
        <v>-0.20818534392929203</v>
      </c>
      <c r="O138" s="19">
        <f>(G138-Settings!$D$19)/Settings!$E$19</f>
        <v>0.68461960423073398</v>
      </c>
      <c r="P138" s="19">
        <f>(H138-Settings!$D$20)/Settings!$E$20</f>
        <v>0.7143071877199294</v>
      </c>
      <c r="Q138" s="19">
        <f>(I138-Settings!$D$21)/Settings!$E$21</f>
        <v>-1.8923728922513885</v>
      </c>
      <c r="R138" s="19">
        <f>(J138-Settings!$D$22)/Settings!$E$22</f>
        <v>0.46143109683987238</v>
      </c>
      <c r="S138" s="19">
        <f>(K138-Settings!$D$23)/Settings!$E$23</f>
        <v>0.35081989404245251</v>
      </c>
      <c r="T138" s="19">
        <f>(L138-Settings!$D$24)/Settings!$E$24</f>
        <v>6.4517421389645127E-2</v>
      </c>
      <c r="U138" s="19">
        <f>(M138-Settings!$D$25)/Settings!$E$25</f>
        <v>-0.99064665930521578</v>
      </c>
      <c r="V138" s="31">
        <f>Settings!$B$18*(N138-F$6)^2</f>
        <v>1.2997368111222193E-2</v>
      </c>
      <c r="W138" s="31">
        <f>Settings!$B$19*(O138-G$6)^2</f>
        <v>6.5215274806017564E-3</v>
      </c>
      <c r="X138" s="31">
        <f>Settings!$B$20*(P138-H$6)^2</f>
        <v>0.47878217950304536</v>
      </c>
      <c r="Y138" s="31">
        <f>Settings!$B$21*(Q138-I$6)^2</f>
        <v>0.21326885641209006</v>
      </c>
      <c r="Z138" s="31">
        <f>Settings!$B$22*(R138-J$6)^2</f>
        <v>1.9042395837055932E-2</v>
      </c>
      <c r="AA138" s="31">
        <f>Settings!$B$23*(S138-K$6)^2</f>
        <v>1.8961883102487989</v>
      </c>
      <c r="AB138" s="31">
        <f>Settings!$B$24*(T138-L$6)^2</f>
        <v>2.1365622696418973</v>
      </c>
      <c r="AC138" s="31">
        <f>Settings!$B$25*(U138-M$6)^2</f>
        <v>0.65401471644860698</v>
      </c>
      <c r="AD138" s="19">
        <f t="shared" si="4"/>
        <v>2.3275260736849583</v>
      </c>
      <c r="AE138" s="15">
        <f t="shared" si="5"/>
        <v>0.92127701706269549</v>
      </c>
      <c r="AF138" s="33">
        <f t="shared" si="6"/>
        <v>0.65417807995300103</v>
      </c>
      <c r="AG138" s="47">
        <f t="shared" si="7"/>
        <v>2.824348361450959E-3</v>
      </c>
      <c r="AH138" s="18">
        <v>-0.62274574637008118</v>
      </c>
      <c r="AI138" s="46">
        <v>0</v>
      </c>
      <c r="AJ138" s="18">
        <v>0.30855346247996879</v>
      </c>
      <c r="AK138" s="46">
        <v>0</v>
      </c>
      <c r="AL138" s="18">
        <v>6.8625659590402677E-2</v>
      </c>
      <c r="AM138" s="46">
        <v>0</v>
      </c>
      <c r="AN138" s="18">
        <v>-0.71724064316604141</v>
      </c>
      <c r="AO138" s="46">
        <v>1</v>
      </c>
      <c r="AP138" s="18">
        <v>-4.2929236356685767E-2</v>
      </c>
      <c r="AQ138" s="46">
        <v>1</v>
      </c>
    </row>
    <row r="139" spans="1:43" ht="20" customHeight="1" x14ac:dyDescent="0.45">
      <c r="A139" s="26">
        <v>129</v>
      </c>
      <c r="B139" s="16" t="s">
        <v>355</v>
      </c>
      <c r="C139" s="16" t="s">
        <v>258</v>
      </c>
      <c r="D139" s="46">
        <v>26</v>
      </c>
      <c r="E139" s="46">
        <v>0</v>
      </c>
      <c r="F139" s="13">
        <v>-1.1050202131388119E-2</v>
      </c>
      <c r="G139" s="13">
        <v>-0.1210152604089358</v>
      </c>
      <c r="H139" s="13">
        <v>-3.1543032050180768E-2</v>
      </c>
      <c r="I139" s="13">
        <v>5.4364766789627907E-2</v>
      </c>
      <c r="J139" s="13">
        <v>0.78202673861986738</v>
      </c>
      <c r="K139" s="13">
        <v>17.161983471074411</v>
      </c>
      <c r="L139" s="13">
        <v>2.028219324212289</v>
      </c>
      <c r="M139" s="13">
        <v>0.4460815169849135</v>
      </c>
      <c r="N139" s="19">
        <f>(F139-Settings!$D$18)/Settings!$E$18</f>
        <v>-0.72785805244603508</v>
      </c>
      <c r="O139" s="19">
        <f>(G139-Settings!$D$19)/Settings!$E$19</f>
        <v>-0.47649401221804394</v>
      </c>
      <c r="P139" s="19">
        <f>(H139-Settings!$D$20)/Settings!$E$20</f>
        <v>-0.76712854681692955</v>
      </c>
      <c r="Q139" s="19">
        <f>(I139-Settings!$D$21)/Settings!$E$21</f>
        <v>0.70474938124376052</v>
      </c>
      <c r="R139" s="19">
        <f>(J139-Settings!$D$22)/Settings!$E$22</f>
        <v>1.4371974516407549</v>
      </c>
      <c r="S139" s="19">
        <f>(K139-Settings!$D$23)/Settings!$E$23</f>
        <v>0.66217801103458329</v>
      </c>
      <c r="T139" s="19">
        <f>(L139-Settings!$D$24)/Settings!$E$24</f>
        <v>0.49774178730088153</v>
      </c>
      <c r="U139" s="19">
        <f>(M139-Settings!$D$25)/Settings!$E$25</f>
        <v>0.33681260130360097</v>
      </c>
      <c r="V139" s="31">
        <f>Settings!$B$18*(N139-F$6)^2</f>
        <v>0.12000037362104213</v>
      </c>
      <c r="W139" s="31">
        <f>Settings!$B$19*(O139-G$6)^2</f>
        <v>0.19229086250390617</v>
      </c>
      <c r="X139" s="31">
        <f>Settings!$B$20*(P139-H$6)^2</f>
        <v>1.8345593992932299</v>
      </c>
      <c r="Y139" s="31">
        <f>Settings!$B$21*(Q139-I$6)^2</f>
        <v>0.4895212863476151</v>
      </c>
      <c r="Z139" s="31">
        <f>Settings!$B$22*(R139-J$6)^2</f>
        <v>0.32990108941898266</v>
      </c>
      <c r="AA139" s="31">
        <f>Settings!$B$23*(S139-K$6)^2</f>
        <v>1.1356385223337142</v>
      </c>
      <c r="AB139" s="31">
        <f>Settings!$B$24*(T139-L$6)^2</f>
        <v>1.0577588789567367</v>
      </c>
      <c r="AC139" s="31">
        <f>Settings!$B$25*(U139-M$6)^2</f>
        <v>0.26909896574041575</v>
      </c>
      <c r="AD139" s="19">
        <f t="shared" ref="AD139:AD202" si="8">SQRT(SUM(V139:AC139))</f>
        <v>2.3299719694055643</v>
      </c>
      <c r="AE139" s="15">
        <f t="shared" ref="AE139:AE202" si="9">AD139/Yardstick</f>
        <v>0.92224514693200299</v>
      </c>
      <c r="AF139" s="33">
        <f t="shared" ref="AF139:AF202" si="10">EXP(-(AD139^2)/(2*Yardstick^2))</f>
        <v>0.65359456201606503</v>
      </c>
      <c r="AG139" s="47">
        <f t="shared" ref="AG139:AG202" si="11">AF139/$E$7</f>
        <v>2.8218290811822273E-3</v>
      </c>
      <c r="AH139" s="18">
        <v>0.1144282518305131</v>
      </c>
      <c r="AI139" s="46">
        <v>0</v>
      </c>
      <c r="AJ139" s="18">
        <v>-1.5101151837830971</v>
      </c>
      <c r="AK139" s="46">
        <v>0</v>
      </c>
      <c r="AL139" s="18">
        <v>-0.99599626098821958</v>
      </c>
      <c r="AM139" s="46">
        <v>0</v>
      </c>
      <c r="AN139" s="18">
        <v>0.7653082685456436</v>
      </c>
      <c r="AO139" s="46">
        <v>0</v>
      </c>
      <c r="AP139" s="48"/>
      <c r="AQ139" s="48"/>
    </row>
    <row r="140" spans="1:43" ht="20" customHeight="1" x14ac:dyDescent="0.45">
      <c r="A140" s="26">
        <v>130</v>
      </c>
      <c r="B140" s="16" t="s">
        <v>356</v>
      </c>
      <c r="C140" s="16" t="s">
        <v>216</v>
      </c>
      <c r="D140" s="46">
        <v>26</v>
      </c>
      <c r="E140" s="46">
        <v>1</v>
      </c>
      <c r="F140" s="13">
        <v>0.26067718423758018</v>
      </c>
      <c r="G140" s="13">
        <v>5.965694396064837E-2</v>
      </c>
      <c r="H140" s="13">
        <v>0.1920545582625752</v>
      </c>
      <c r="I140" s="13">
        <v>-9.87743946741325E-5</v>
      </c>
      <c r="J140" s="13">
        <v>0.48751253914452208</v>
      </c>
      <c r="K140" s="13">
        <v>20.609976525821619</v>
      </c>
      <c r="L140" s="13">
        <v>5.944835092990262</v>
      </c>
      <c r="M140" s="13">
        <v>1.8615279864376171</v>
      </c>
      <c r="N140" s="19">
        <f>(F140-Settings!$D$18)/Settings!$E$18</f>
        <v>0.24463732433215093</v>
      </c>
      <c r="O140" s="19">
        <f>(G140-Settings!$D$19)/Settings!$E$19</f>
        <v>0.27620941899460383</v>
      </c>
      <c r="P140" s="19">
        <f>(H140-Settings!$D$20)/Settings!$E$20</f>
        <v>1.2587086188241126</v>
      </c>
      <c r="Q140" s="19">
        <f>(I140-Settings!$D$21)/Settings!$E$21</f>
        <v>3.499446530376131E-2</v>
      </c>
      <c r="R140" s="19">
        <f>(J140-Settings!$D$22)/Settings!$E$22</f>
        <v>0.64479313205157363</v>
      </c>
      <c r="S140" s="19">
        <f>(K140-Settings!$D$23)/Settings!$E$23</f>
        <v>1.8595866908673278</v>
      </c>
      <c r="T140" s="19">
        <f>(L140-Settings!$D$24)/Settings!$E$24</f>
        <v>3.2055125008047702</v>
      </c>
      <c r="U140" s="19">
        <f>(M140-Settings!$D$25)/Settings!$E$25</f>
        <v>1.2914054648414168</v>
      </c>
      <c r="V140" s="31">
        <f>Settings!$B$18*(N140-F$6)^2</f>
        <v>7.8326842343093908E-3</v>
      </c>
      <c r="W140" s="31">
        <f>Settings!$B$19*(O140-G$6)^2</f>
        <v>1.0381696913020193E-2</v>
      </c>
      <c r="X140" s="31">
        <f>Settings!$B$20*(P140-H$6)^2</f>
        <v>0.20113176054711135</v>
      </c>
      <c r="Y140" s="31">
        <f>Settings!$B$21*(Q140-I$6)^2</f>
        <v>0.16010759733060415</v>
      </c>
      <c r="Z140" s="31">
        <f>Settings!$B$22*(R140-J$6)^2</f>
        <v>4.8398320419394007E-2</v>
      </c>
      <c r="AA140" s="31">
        <f>Settings!$B$23*(S140-K$6)^2</f>
        <v>1.7356813784161439E-2</v>
      </c>
      <c r="AB140" s="31">
        <f>Settings!$B$24*(T140-L$6)^2</f>
        <v>2.8200372719181139</v>
      </c>
      <c r="AC140" s="31">
        <f>Settings!$B$25*(U140-M$6)^2</f>
        <v>2.1707318182642075</v>
      </c>
      <c r="AD140" s="19">
        <f t="shared" si="8"/>
        <v>2.3315183815297109</v>
      </c>
      <c r="AE140" s="15">
        <f t="shared" si="9"/>
        <v>0.92285724488656118</v>
      </c>
      <c r="AF140" s="33">
        <f t="shared" si="10"/>
        <v>0.65322558678016651</v>
      </c>
      <c r="AG140" s="47">
        <f t="shared" si="11"/>
        <v>2.8202360675444104E-3</v>
      </c>
      <c r="AH140" s="18">
        <v>-0.14065028567594681</v>
      </c>
      <c r="AI140" s="46">
        <v>1</v>
      </c>
      <c r="AJ140" s="18">
        <v>-1.2260338786527989</v>
      </c>
      <c r="AK140" s="46">
        <v>1</v>
      </c>
      <c r="AL140" s="48"/>
      <c r="AM140" s="48"/>
      <c r="AN140" s="48"/>
      <c r="AO140" s="48"/>
      <c r="AP140" s="48"/>
      <c r="AQ140" s="48"/>
    </row>
    <row r="141" spans="1:43" ht="20" customHeight="1" x14ac:dyDescent="0.45">
      <c r="A141" s="26">
        <v>131</v>
      </c>
      <c r="B141" s="16" t="s">
        <v>357</v>
      </c>
      <c r="C141" s="16" t="s">
        <v>220</v>
      </c>
      <c r="D141" s="46">
        <v>26</v>
      </c>
      <c r="E141" s="46">
        <v>1</v>
      </c>
      <c r="F141" s="13">
        <v>0.30200406854866207</v>
      </c>
      <c r="G141" s="13">
        <v>3.405489831413773E-2</v>
      </c>
      <c r="H141" s="13">
        <v>3.8579488976489752E-2</v>
      </c>
      <c r="I141" s="13">
        <v>-8.081122423998305E-5</v>
      </c>
      <c r="J141" s="13">
        <v>0.62528073293647035</v>
      </c>
      <c r="K141" s="13">
        <v>15.332333333333329</v>
      </c>
      <c r="L141" s="13">
        <v>3.3016807535969508</v>
      </c>
      <c r="M141" s="13">
        <v>-1.906911746614663</v>
      </c>
      <c r="N141" s="19">
        <f>(F141-Settings!$D$18)/Settings!$E$18</f>
        <v>0.39254366703182025</v>
      </c>
      <c r="O141" s="19">
        <f>(G141-Settings!$D$19)/Settings!$E$19</f>
        <v>0.16954803368947394</v>
      </c>
      <c r="P141" s="19">
        <f>(H141-Settings!$D$20)/Settings!$E$20</f>
        <v>-0.13180502188281309</v>
      </c>
      <c r="Q141" s="19">
        <f>(I141-Settings!$D$21)/Settings!$E$21</f>
        <v>3.5215363935075558E-2</v>
      </c>
      <c r="R141" s="19">
        <f>(J141-Settings!$D$22)/Settings!$E$22</f>
        <v>1.0154649436559511</v>
      </c>
      <c r="S141" s="19">
        <f>(K141-Settings!$D$23)/Settings!$E$23</f>
        <v>2.6782602400568276E-2</v>
      </c>
      <c r="T141" s="19">
        <f>(L141-Settings!$D$24)/Settings!$E$24</f>
        <v>1.3781553297149429</v>
      </c>
      <c r="U141" s="19">
        <f>(M141-Settings!$D$25)/Settings!$E$25</f>
        <v>-1.2500722621368419</v>
      </c>
      <c r="V141" s="31">
        <f>Settings!$B$18*(N141-F$6)^2</f>
        <v>2.3916059757677993E-2</v>
      </c>
      <c r="W141" s="31">
        <f>Settings!$B$19*(O141-G$6)^2</f>
        <v>2.2377477486257871E-2</v>
      </c>
      <c r="X141" s="31">
        <f>Settings!$B$20*(P141-H$6)^2</f>
        <v>1.1456143622293649</v>
      </c>
      <c r="Y141" s="31">
        <f>Settings!$B$21*(Q141-I$6)^2</f>
        <v>0.16018666475584709</v>
      </c>
      <c r="Z141" s="31">
        <f>Settings!$B$22*(R141-J$6)^2</f>
        <v>0.14881514162401441</v>
      </c>
      <c r="AA141" s="31">
        <f>Settings!$B$23*(S141-K$6)^2</f>
        <v>2.8936011346549022</v>
      </c>
      <c r="AB141" s="31">
        <f>Settings!$B$24*(T141-L$6)^2</f>
        <v>2.1921914976718589E-2</v>
      </c>
      <c r="AC141" s="31">
        <f>Settings!$B$25*(U141-M$6)^2</f>
        <v>1.1409174333873142</v>
      </c>
      <c r="AD141" s="19">
        <f t="shared" si="8"/>
        <v>2.3574032724317866</v>
      </c>
      <c r="AE141" s="15">
        <f t="shared" si="9"/>
        <v>0.93310295398811494</v>
      </c>
      <c r="AF141" s="33">
        <f t="shared" si="10"/>
        <v>0.64704427126710617</v>
      </c>
      <c r="AG141" s="47">
        <f t="shared" si="11"/>
        <v>2.7935488567131061E-3</v>
      </c>
      <c r="AH141" s="18">
        <v>-1.9098111764572161</v>
      </c>
      <c r="AI141" s="46">
        <v>1</v>
      </c>
      <c r="AJ141" s="18">
        <v>-1.2259231152835379</v>
      </c>
      <c r="AK141" s="46">
        <v>1</v>
      </c>
      <c r="AL141" s="18">
        <v>0.41146767233915099</v>
      </c>
      <c r="AM141" s="46">
        <v>1</v>
      </c>
      <c r="AN141" s="18">
        <v>0.70544762457944388</v>
      </c>
      <c r="AO141" s="46">
        <v>1</v>
      </c>
      <c r="AP141" s="48"/>
      <c r="AQ141" s="48"/>
    </row>
    <row r="142" spans="1:43" ht="20" customHeight="1" x14ac:dyDescent="0.45">
      <c r="A142" s="26">
        <v>132</v>
      </c>
      <c r="B142" s="16" t="s">
        <v>358</v>
      </c>
      <c r="C142" s="16" t="s">
        <v>214</v>
      </c>
      <c r="D142" s="46">
        <v>26</v>
      </c>
      <c r="E142" s="46">
        <v>1</v>
      </c>
      <c r="F142" s="13">
        <v>0.28682298472102119</v>
      </c>
      <c r="G142" s="13">
        <v>0.1780228853213752</v>
      </c>
      <c r="H142" s="13">
        <v>-3.4640217598981858E-2</v>
      </c>
      <c r="I142" s="13">
        <v>-2.8819649280194311E-3</v>
      </c>
      <c r="J142" s="13">
        <v>0.49763194743060229</v>
      </c>
      <c r="K142" s="13">
        <v>15.86054852320677</v>
      </c>
      <c r="L142" s="13">
        <v>1.929496626327559</v>
      </c>
      <c r="M142" s="13">
        <v>-0.15678682043271761</v>
      </c>
      <c r="N142" s="19">
        <f>(F142-Settings!$D$18)/Settings!$E$18</f>
        <v>0.33821151437637903</v>
      </c>
      <c r="O142" s="19">
        <f>(G142-Settings!$D$19)/Settings!$E$19</f>
        <v>0.76933701718719572</v>
      </c>
      <c r="P142" s="19">
        <f>(H142-Settings!$D$20)/Settings!$E$20</f>
        <v>-0.79518964347218113</v>
      </c>
      <c r="Q142" s="19">
        <f>(I142-Settings!$D$21)/Settings!$E$21</f>
        <v>7.6871535853085659E-4</v>
      </c>
      <c r="R142" s="19">
        <f>(J142-Settings!$D$22)/Settings!$E$22</f>
        <v>0.67201987647293315</v>
      </c>
      <c r="S142" s="19">
        <f>(K142-Settings!$D$23)/Settings!$E$23</f>
        <v>0.21021958824459305</v>
      </c>
      <c r="T142" s="19">
        <f>(L142-Settings!$D$24)/Settings!$E$24</f>
        <v>0.42948938628127104</v>
      </c>
      <c r="U142" s="19">
        <f>(M142-Settings!$D$25)/Settings!$E$25</f>
        <v>-6.9768519898601097E-2</v>
      </c>
      <c r="V142" s="31">
        <f>Settings!$B$18*(N142-F$6)^2</f>
        <v>1.699114941542313E-2</v>
      </c>
      <c r="W142" s="31">
        <f>Settings!$B$19*(O142-G$6)^2</f>
        <v>1.4076103015188419E-2</v>
      </c>
      <c r="X142" s="31">
        <f>Settings!$B$20*(P142-H$6)^2</f>
        <v>1.8687119216296577</v>
      </c>
      <c r="Y142" s="31">
        <f>Settings!$B$21*(Q142-I$6)^2</f>
        <v>0.14809278458986189</v>
      </c>
      <c r="Z142" s="31">
        <f>Settings!$B$22*(R142-J$6)^2</f>
        <v>5.3904001499723998E-2</v>
      </c>
      <c r="AA142" s="31">
        <f>Settings!$B$23*(S142-K$6)^2</f>
        <v>2.3031760543062711</v>
      </c>
      <c r="AB142" s="31">
        <f>Settings!$B$24*(T142-L$6)^2</f>
        <v>1.2028089162927011</v>
      </c>
      <c r="AC142" s="31">
        <f>Settings!$B$25*(U142-M$6)^2</f>
        <v>1.2581295880511181E-2</v>
      </c>
      <c r="AD142" s="19">
        <f t="shared" si="8"/>
        <v>2.370726096922489</v>
      </c>
      <c r="AE142" s="15">
        <f t="shared" si="9"/>
        <v>0.93837636945890779</v>
      </c>
      <c r="AF142" s="33">
        <f t="shared" si="10"/>
        <v>0.64385926756820566</v>
      </c>
      <c r="AG142" s="47">
        <f t="shared" si="11"/>
        <v>2.7797979221375374E-3</v>
      </c>
      <c r="AH142" s="48"/>
      <c r="AI142" s="48"/>
      <c r="AJ142" s="48"/>
      <c r="AK142" s="48"/>
      <c r="AL142" s="48"/>
      <c r="AM142" s="48"/>
      <c r="AN142" s="48"/>
      <c r="AO142" s="48"/>
      <c r="AP142" s="48"/>
      <c r="AQ142" s="48"/>
    </row>
    <row r="143" spans="1:43" ht="20" customHeight="1" x14ac:dyDescent="0.45">
      <c r="A143" s="26">
        <v>133</v>
      </c>
      <c r="B143" s="16" t="s">
        <v>359</v>
      </c>
      <c r="C143" s="16" t="s">
        <v>210</v>
      </c>
      <c r="D143" s="46">
        <v>26</v>
      </c>
      <c r="E143" s="46">
        <v>0</v>
      </c>
      <c r="F143" s="13">
        <v>0.31290803464852951</v>
      </c>
      <c r="G143" s="13">
        <v>0.18265096718026419</v>
      </c>
      <c r="H143" s="13">
        <v>1.168198165009772E-2</v>
      </c>
      <c r="I143" s="13">
        <v>3.5753190341811188E-2</v>
      </c>
      <c r="J143" s="13">
        <v>0.4570058261792973</v>
      </c>
      <c r="K143" s="13">
        <v>18.510248447204969</v>
      </c>
      <c r="L143" s="13">
        <v>1.8996378917853849</v>
      </c>
      <c r="M143" s="13">
        <v>1.876446735721951</v>
      </c>
      <c r="N143" s="19">
        <f>(F143-Settings!$D$18)/Settings!$E$18</f>
        <v>0.43156828196801333</v>
      </c>
      <c r="O143" s="19">
        <f>(G143-Settings!$D$19)/Settings!$E$19</f>
        <v>0.78861819608947292</v>
      </c>
      <c r="P143" s="19">
        <f>(H143-Settings!$D$20)/Settings!$E$20</f>
        <v>-0.37550161060136611</v>
      </c>
      <c r="Q143" s="19">
        <f>(I143-Settings!$D$21)/Settings!$E$21</f>
        <v>0.47587710176533421</v>
      </c>
      <c r="R143" s="19">
        <f>(J143-Settings!$D$22)/Settings!$E$22</f>
        <v>0.5627133845447474</v>
      </c>
      <c r="S143" s="19">
        <f>(K143-Settings!$D$23)/Settings!$E$23</f>
        <v>1.1303994254920382</v>
      </c>
      <c r="T143" s="19">
        <f>(L143-Settings!$D$24)/Settings!$E$24</f>
        <v>0.4088464098677812</v>
      </c>
      <c r="U143" s="19">
        <f>(M143-Settings!$D$25)/Settings!$E$25</f>
        <v>1.3014668355163825</v>
      </c>
      <c r="V143" s="31">
        <f>Settings!$B$18*(N143-F$6)^2</f>
        <v>2.9618588620024606E-2</v>
      </c>
      <c r="W143" s="31">
        <f>Settings!$B$19*(O143-G$6)^2</f>
        <v>1.61965225287381E-2</v>
      </c>
      <c r="X143" s="31">
        <f>Settings!$B$20*(P143-H$6)^2</f>
        <v>1.3907913926116304</v>
      </c>
      <c r="Y143" s="31">
        <f>Settings!$B$21*(Q143-I$6)^2</f>
        <v>0.35677109254694145</v>
      </c>
      <c r="Z143" s="31">
        <f>Settings!$B$22*(R143-J$6)^2</f>
        <v>3.3594858891259974E-2</v>
      </c>
      <c r="AA143" s="31">
        <f>Settings!$B$23*(S143-K$6)^2</f>
        <v>0.35693694864545938</v>
      </c>
      <c r="AB143" s="31">
        <f>Settings!$B$24*(T143-L$6)^2</f>
        <v>1.2485144454380035</v>
      </c>
      <c r="AC143" s="31">
        <f>Settings!$B$25*(U143-M$6)^2</f>
        <v>2.2004806964414581</v>
      </c>
      <c r="AD143" s="19">
        <f t="shared" si="8"/>
        <v>2.3733740846574345</v>
      </c>
      <c r="AE143" s="15">
        <f t="shared" si="9"/>
        <v>0.93942449101133663</v>
      </c>
      <c r="AF143" s="33">
        <f t="shared" si="10"/>
        <v>0.64322596905622254</v>
      </c>
      <c r="AG143" s="47">
        <f t="shared" si="11"/>
        <v>2.7770637192202565E-3</v>
      </c>
      <c r="AH143" s="18">
        <v>0.38754648906997019</v>
      </c>
      <c r="AI143" s="46">
        <v>0</v>
      </c>
      <c r="AJ143" s="18">
        <v>-1.6993937591554771</v>
      </c>
      <c r="AK143" s="46">
        <v>0</v>
      </c>
      <c r="AL143" s="18">
        <v>0.67816264295502759</v>
      </c>
      <c r="AM143" s="46">
        <v>0</v>
      </c>
      <c r="AN143" s="18">
        <v>1.5623659619185319</v>
      </c>
      <c r="AO143" s="46">
        <v>0</v>
      </c>
      <c r="AP143" s="18">
        <v>-1.224158953213659</v>
      </c>
      <c r="AQ143" s="46">
        <v>0</v>
      </c>
    </row>
    <row r="144" spans="1:43" ht="20" customHeight="1" x14ac:dyDescent="0.45">
      <c r="A144" s="26">
        <v>134</v>
      </c>
      <c r="B144" s="16" t="s">
        <v>360</v>
      </c>
      <c r="C144" s="16" t="s">
        <v>216</v>
      </c>
      <c r="D144" s="46">
        <v>26</v>
      </c>
      <c r="E144" s="46">
        <v>1</v>
      </c>
      <c r="F144" s="13">
        <v>0.4368989256136605</v>
      </c>
      <c r="G144" s="13">
        <v>8.4038196041028621E-2</v>
      </c>
      <c r="H144" s="13">
        <v>4.8605124634483757E-2</v>
      </c>
      <c r="I144" s="13">
        <v>4.7885935401981763E-5</v>
      </c>
      <c r="J144" s="13">
        <v>0.43040986777542523</v>
      </c>
      <c r="K144" s="13">
        <v>16.863803680981601</v>
      </c>
      <c r="L144" s="13">
        <v>2.715838446855261</v>
      </c>
      <c r="M144" s="13">
        <v>2.1076533982200569</v>
      </c>
      <c r="N144" s="19">
        <f>(F144-Settings!$D$18)/Settings!$E$18</f>
        <v>0.87532395134491703</v>
      </c>
      <c r="O144" s="19">
        <f>(G144-Settings!$D$19)/Settings!$E$19</f>
        <v>0.37778482270541514</v>
      </c>
      <c r="P144" s="19">
        <f>(H144-Settings!$D$20)/Settings!$E$20</f>
        <v>-4.0970834909995535E-2</v>
      </c>
      <c r="Q144" s="19">
        <f>(I144-Settings!$D$21)/Settings!$E$21</f>
        <v>3.6797992487376981E-2</v>
      </c>
      <c r="R144" s="19">
        <f>(J144-Settings!$D$22)/Settings!$E$22</f>
        <v>0.49115570630585265</v>
      </c>
      <c r="S144" s="19">
        <f>(K144-Settings!$D$23)/Settings!$E$23</f>
        <v>0.55862702843725509</v>
      </c>
      <c r="T144" s="19">
        <f>(L144-Settings!$D$24)/Settings!$E$24</f>
        <v>0.97313049843779653</v>
      </c>
      <c r="U144" s="19">
        <f>(M144-Settings!$D$25)/Settings!$E$25</f>
        <v>1.4573951837699388</v>
      </c>
      <c r="V144" s="31">
        <f>Settings!$B$18*(N144-F$6)^2</f>
        <v>0.13731033166461268</v>
      </c>
      <c r="W144" s="31">
        <f>Settings!$B$19*(O144-G$6)^2</f>
        <v>3.1882635859809827E-3</v>
      </c>
      <c r="X144" s="31">
        <f>Settings!$B$20*(P144-H$6)^2</f>
        <v>1.0603057294091978</v>
      </c>
      <c r="Y144" s="31">
        <f>Settings!$B$21*(Q144-I$6)^2</f>
        <v>0.1607537142970569</v>
      </c>
      <c r="Z144" s="31">
        <f>Settings!$B$22*(R144-J$6)^2</f>
        <v>2.2887888644598703E-2</v>
      </c>
      <c r="AA144" s="31">
        <f>Settings!$B$23*(S144-K$6)^2</f>
        <v>1.3670623166161762</v>
      </c>
      <c r="AB144" s="31">
        <f>Settings!$B$24*(T144-L$6)^2</f>
        <v>0.30590339606273831</v>
      </c>
      <c r="AC144" s="31">
        <f>Settings!$B$25*(U144-M$6)^2</f>
        <v>2.687403109748542</v>
      </c>
      <c r="AD144" s="19">
        <f t="shared" si="8"/>
        <v>2.3968343184352361</v>
      </c>
      <c r="AE144" s="15">
        <f t="shared" si="9"/>
        <v>0.94871047686505816</v>
      </c>
      <c r="AF144" s="33">
        <f t="shared" si="10"/>
        <v>0.63761171093822488</v>
      </c>
      <c r="AG144" s="47">
        <f t="shared" si="11"/>
        <v>2.7528247219162369E-3</v>
      </c>
      <c r="AH144" s="18">
        <v>7.9677220010208494E-2</v>
      </c>
      <c r="AI144" s="46">
        <v>1</v>
      </c>
      <c r="AJ144" s="18">
        <v>-1.613166007302244</v>
      </c>
      <c r="AK144" s="46">
        <v>1</v>
      </c>
      <c r="AL144" s="48"/>
      <c r="AM144" s="48"/>
      <c r="AN144" s="48"/>
      <c r="AO144" s="48"/>
      <c r="AP144" s="48"/>
      <c r="AQ144" s="48"/>
    </row>
    <row r="145" spans="1:43" ht="20" customHeight="1" x14ac:dyDescent="0.45">
      <c r="A145" s="26">
        <v>135</v>
      </c>
      <c r="B145" s="16" t="s">
        <v>361</v>
      </c>
      <c r="C145" s="16" t="s">
        <v>212</v>
      </c>
      <c r="D145" s="46">
        <v>26</v>
      </c>
      <c r="E145" s="46">
        <v>0</v>
      </c>
      <c r="F145" s="13">
        <v>0.15559727679623661</v>
      </c>
      <c r="G145" s="13">
        <v>-1.742428572401793E-2</v>
      </c>
      <c r="H145" s="13">
        <v>-5.9971641549464258E-2</v>
      </c>
      <c r="I145" s="13">
        <v>-4.2705437179097989E-5</v>
      </c>
      <c r="J145" s="13">
        <v>0.7669640904931021</v>
      </c>
      <c r="K145" s="13">
        <v>16.266451612903229</v>
      </c>
      <c r="L145" s="13">
        <v>2.010660723387681</v>
      </c>
      <c r="M145" s="13">
        <v>0.15510638428708171</v>
      </c>
      <c r="N145" s="19">
        <f>(F145-Settings!$D$18)/Settings!$E$18</f>
        <v>-0.13143711389258797</v>
      </c>
      <c r="O145" s="19">
        <f>(G145-Settings!$D$19)/Settings!$E$19</f>
        <v>-4.49208083593165E-2</v>
      </c>
      <c r="P145" s="19">
        <f>(H145-Settings!$D$20)/Settings!$E$20</f>
        <v>-1.0246972156500254</v>
      </c>
      <c r="Q145" s="19">
        <f>(I145-Settings!$D$21)/Settings!$E$21</f>
        <v>3.5683962517812348E-2</v>
      </c>
      <c r="R145" s="19">
        <f>(J145-Settings!$D$22)/Settings!$E$22</f>
        <v>1.3966706876974093</v>
      </c>
      <c r="S145" s="19">
        <f>(K145-Settings!$D$23)/Settings!$E$23</f>
        <v>0.35118039502588816</v>
      </c>
      <c r="T145" s="19">
        <f>(L145-Settings!$D$24)/Settings!$E$24</f>
        <v>0.48560256612376479</v>
      </c>
      <c r="U145" s="19">
        <f>(M145-Settings!$D$25)/Settings!$E$25</f>
        <v>0.14057573107584947</v>
      </c>
      <c r="V145" s="31">
        <f>Settings!$B$18*(N145-F$6)^2</f>
        <v>6.3494041432285153E-3</v>
      </c>
      <c r="W145" s="31">
        <f>Settings!$B$19*(O145-G$6)^2</f>
        <v>6.0272418317670141E-2</v>
      </c>
      <c r="X145" s="31">
        <f>Settings!$B$20*(P145-H$6)^2</f>
        <v>2.1598631582965244</v>
      </c>
      <c r="Y145" s="31">
        <f>Settings!$B$21*(Q145-I$6)^2</f>
        <v>0.16035445736526444</v>
      </c>
      <c r="Z145" s="31">
        <f>Settings!$B$22*(R145-J$6)^2</f>
        <v>0.30940966566455874</v>
      </c>
      <c r="AA145" s="31">
        <f>Settings!$B$23*(S145-K$6)^2</f>
        <v>1.8951956049739715</v>
      </c>
      <c r="AB145" s="31">
        <f>Settings!$B$24*(T145-L$6)^2</f>
        <v>1.0828759876710103</v>
      </c>
      <c r="AC145" s="31">
        <f>Settings!$B$25*(U145-M$6)^2</f>
        <v>0.10401310444111735</v>
      </c>
      <c r="AD145" s="19">
        <f t="shared" si="8"/>
        <v>2.4038165073219182</v>
      </c>
      <c r="AE145" s="15">
        <f t="shared" si="9"/>
        <v>0.95147415381064304</v>
      </c>
      <c r="AF145" s="33">
        <f t="shared" si="10"/>
        <v>0.6359396992195796</v>
      </c>
      <c r="AG145" s="47">
        <f t="shared" si="11"/>
        <v>2.7456059787290274E-3</v>
      </c>
      <c r="AH145" s="18">
        <v>-0.40947601006466061</v>
      </c>
      <c r="AI145" s="46">
        <v>0</v>
      </c>
      <c r="AJ145" s="18">
        <v>-1.9443117707910181E-2</v>
      </c>
      <c r="AK145" s="46">
        <v>0</v>
      </c>
      <c r="AL145" s="18">
        <v>5.0847843148160272E-2</v>
      </c>
      <c r="AM145" s="46">
        <v>0</v>
      </c>
      <c r="AN145" s="48"/>
      <c r="AO145" s="48"/>
      <c r="AP145" s="48"/>
      <c r="AQ145" s="48"/>
    </row>
    <row r="146" spans="1:43" ht="20" customHeight="1" x14ac:dyDescent="0.45">
      <c r="A146" s="26">
        <v>136</v>
      </c>
      <c r="B146" s="16" t="s">
        <v>362</v>
      </c>
      <c r="C146" s="16" t="s">
        <v>216</v>
      </c>
      <c r="D146" s="46">
        <v>26</v>
      </c>
      <c r="E146" s="46">
        <v>1</v>
      </c>
      <c r="F146" s="13">
        <v>0.22731526558423309</v>
      </c>
      <c r="G146" s="13">
        <v>-1.318452330214118E-2</v>
      </c>
      <c r="H146" s="13">
        <v>-4.4688478229913522E-2</v>
      </c>
      <c r="I146" s="13">
        <v>-9.035703069427295E-2</v>
      </c>
      <c r="J146" s="13">
        <v>0.6244547021894391</v>
      </c>
      <c r="K146" s="13">
        <v>16.843354430379751</v>
      </c>
      <c r="L146" s="13">
        <v>1.53780908628417</v>
      </c>
      <c r="M146" s="13">
        <v>0.54876380212229314</v>
      </c>
      <c r="N146" s="19">
        <f>(F146-Settings!$D$18)/Settings!$E$18</f>
        <v>0.12523709719871406</v>
      </c>
      <c r="O146" s="19">
        <f>(G146-Settings!$D$19)/Settings!$E$19</f>
        <v>-2.725741772538719E-2</v>
      </c>
      <c r="P146" s="19">
        <f>(H146-Settings!$D$20)/Settings!$E$20</f>
        <v>-0.8862288170505549</v>
      </c>
      <c r="Q146" s="19">
        <f>(I146-Settings!$D$21)/Settings!$E$21</f>
        <v>-1.0749390708992133</v>
      </c>
      <c r="R146" s="19">
        <f>(J146-Settings!$D$22)/Settings!$E$22</f>
        <v>1.0132424690410529</v>
      </c>
      <c r="S146" s="19">
        <f>(K146-Settings!$D$23)/Settings!$E$23</f>
        <v>0.55152547406114716</v>
      </c>
      <c r="T146" s="19">
        <f>(L146-Settings!$D$24)/Settings!$E$24</f>
        <v>0.15869436517436547</v>
      </c>
      <c r="U146" s="19">
        <f>(M146-Settings!$D$25)/Settings!$E$25</f>
        <v>0.40606267802448048</v>
      </c>
      <c r="V146" s="31">
        <f>Settings!$B$18*(N146-F$6)^2</f>
        <v>1.2323644222763679E-3</v>
      </c>
      <c r="W146" s="31">
        <f>Settings!$B$19*(O146-G$6)^2</f>
        <v>5.6456187182205742E-2</v>
      </c>
      <c r="X146" s="31">
        <f>Settings!$B$20*(P146-H$6)^2</f>
        <v>1.9816821866444045</v>
      </c>
      <c r="Y146" s="31">
        <f>Settings!$B$21*(Q146-I$6)^2</f>
        <v>9.2626945361922852E-3</v>
      </c>
      <c r="Z146" s="31">
        <f>Settings!$B$22*(R146-J$6)^2</f>
        <v>0.14804928843419793</v>
      </c>
      <c r="AA146" s="31">
        <f>Settings!$B$23*(S146-K$6)^2</f>
        <v>1.3837192279895376</v>
      </c>
      <c r="AB146" s="31">
        <f>Settings!$B$24*(T146-L$6)^2</f>
        <v>1.8701149866108855</v>
      </c>
      <c r="AC146" s="31">
        <f>Settings!$B$25*(U146-M$6)^2</f>
        <v>0.34574114681119422</v>
      </c>
      <c r="AD146" s="19">
        <f t="shared" si="8"/>
        <v>2.407541917107757</v>
      </c>
      <c r="AE146" s="15">
        <f t="shared" si="9"/>
        <v>0.95294873854403761</v>
      </c>
      <c r="AF146" s="33">
        <f t="shared" si="10"/>
        <v>0.63504739241732266</v>
      </c>
      <c r="AG146" s="47">
        <f t="shared" si="11"/>
        <v>2.7417535334513638E-3</v>
      </c>
      <c r="AH146" s="18">
        <v>-0.53608549885141699</v>
      </c>
      <c r="AI146" s="46">
        <v>1</v>
      </c>
      <c r="AJ146" s="18">
        <v>-0.12790841503829919</v>
      </c>
      <c r="AK146" s="46">
        <v>1</v>
      </c>
      <c r="AL146" s="48"/>
      <c r="AM146" s="48"/>
      <c r="AN146" s="48"/>
      <c r="AO146" s="48"/>
      <c r="AP146" s="48"/>
      <c r="AQ146" s="48"/>
    </row>
    <row r="147" spans="1:43" ht="20" customHeight="1" x14ac:dyDescent="0.45">
      <c r="A147" s="26">
        <v>137</v>
      </c>
      <c r="B147" s="16" t="s">
        <v>363</v>
      </c>
      <c r="C147" s="16" t="s">
        <v>220</v>
      </c>
      <c r="D147" s="46">
        <v>26</v>
      </c>
      <c r="E147" s="46">
        <v>1</v>
      </c>
      <c r="F147" s="13">
        <v>0.5286994485429517</v>
      </c>
      <c r="G147" s="13">
        <v>-4.6669667379738898E-2</v>
      </c>
      <c r="H147" s="13">
        <v>0.12961435172709501</v>
      </c>
      <c r="I147" s="13">
        <v>-5.5324936521791257E-5</v>
      </c>
      <c r="J147" s="13">
        <v>0.29496120741369269</v>
      </c>
      <c r="K147" s="13">
        <v>15.25526315789474</v>
      </c>
      <c r="L147" s="13">
        <v>1.583108807886078</v>
      </c>
      <c r="M147" s="13">
        <v>-0.54317793323288033</v>
      </c>
      <c r="N147" s="19">
        <f>(F147-Settings!$D$18)/Settings!$E$18</f>
        <v>1.2038723002159124</v>
      </c>
      <c r="O147" s="19">
        <f>(G147-Settings!$D$19)/Settings!$E$19</f>
        <v>-0.16676079584490927</v>
      </c>
      <c r="P147" s="19">
        <f>(H147-Settings!$D$20)/Settings!$E$20</f>
        <v>0.69298834047519975</v>
      </c>
      <c r="Q147" s="19">
        <f>(I147-Settings!$D$21)/Settings!$E$21</f>
        <v>3.5528776653329729E-2</v>
      </c>
      <c r="R147" s="19">
        <f>(J147-Settings!$D$22)/Settings!$E$22</f>
        <v>0.12672470860046123</v>
      </c>
      <c r="S147" s="19">
        <f>(K147-Settings!$D$23)/Settings!$E$23</f>
        <v>1.7903179570359604E-5</v>
      </c>
      <c r="T147" s="19">
        <f>(L147-Settings!$D$24)/Settings!$E$24</f>
        <v>0.19001254053926669</v>
      </c>
      <c r="U147" s="19">
        <f>(M147-Settings!$D$25)/Settings!$E$25</f>
        <v>-0.33035498980310307</v>
      </c>
      <c r="V147" s="31">
        <f>Settings!$B$18*(N147-F$6)^2</f>
        <v>0.26779111412699241</v>
      </c>
      <c r="W147" s="31">
        <f>Settings!$B$19*(O147-G$6)^2</f>
        <v>8.9995749029188318E-2</v>
      </c>
      <c r="X147" s="31">
        <f>Settings!$B$20*(P147-H$6)^2</f>
        <v>0.49206711522311608</v>
      </c>
      <c r="Y147" s="31">
        <f>Settings!$B$21*(Q147-I$6)^2</f>
        <v>0.16029887973363582</v>
      </c>
      <c r="Z147" s="31">
        <f>Settings!$B$22*(R147-J$6)^2</f>
        <v>1.3668087523325441E-4</v>
      </c>
      <c r="AA147" s="31">
        <f>Settings!$B$23*(S147-K$6)^2</f>
        <v>2.9853741395304314</v>
      </c>
      <c r="AB147" s="31">
        <f>Settings!$B$24*(T147-L$6)^2</f>
        <v>1.7854392599340667</v>
      </c>
      <c r="AC147" s="31">
        <f>Settings!$B$25*(U147-M$6)^2</f>
        <v>2.2028524306989899E-2</v>
      </c>
      <c r="AD147" s="19">
        <f t="shared" si="8"/>
        <v>2.4089689625978274</v>
      </c>
      <c r="AE147" s="15">
        <f t="shared" si="9"/>
        <v>0.95351358902076011</v>
      </c>
      <c r="AF147" s="33">
        <f t="shared" si="10"/>
        <v>0.63470555393243111</v>
      </c>
      <c r="AG147" s="47">
        <f t="shared" si="11"/>
        <v>2.740277680018987E-3</v>
      </c>
      <c r="AH147" s="18">
        <v>-0.41348996976846492</v>
      </c>
      <c r="AI147" s="46">
        <v>1</v>
      </c>
      <c r="AJ147" s="18">
        <v>-1.26242800280036</v>
      </c>
      <c r="AK147" s="46">
        <v>1</v>
      </c>
      <c r="AL147" s="18">
        <v>-0.49269231239459699</v>
      </c>
      <c r="AM147" s="46">
        <v>1</v>
      </c>
      <c r="AN147" s="48"/>
      <c r="AO147" s="48"/>
      <c r="AP147" s="48"/>
      <c r="AQ147" s="48"/>
    </row>
    <row r="148" spans="1:43" ht="20" customHeight="1" x14ac:dyDescent="0.45">
      <c r="A148" s="26">
        <v>138</v>
      </c>
      <c r="B148" s="16" t="s">
        <v>364</v>
      </c>
      <c r="C148" s="16" t="s">
        <v>271</v>
      </c>
      <c r="D148" s="46">
        <v>26</v>
      </c>
      <c r="E148" s="46">
        <v>1</v>
      </c>
      <c r="F148" s="13">
        <v>0.40038472377127188</v>
      </c>
      <c r="G148" s="13">
        <v>-0.10717945195222101</v>
      </c>
      <c r="H148" s="13">
        <v>0.2116910696022381</v>
      </c>
      <c r="I148" s="13">
        <v>-2.109462015807868E-5</v>
      </c>
      <c r="J148" s="13">
        <v>0.28072366005411092</v>
      </c>
      <c r="K148" s="13">
        <v>17.128353658536589</v>
      </c>
      <c r="L148" s="13">
        <v>3.2057598927336501</v>
      </c>
      <c r="M148" s="13">
        <v>2.6729589294424998</v>
      </c>
      <c r="N148" s="19">
        <f>(F148-Settings!$D$18)/Settings!$E$18</f>
        <v>0.74464189918602663</v>
      </c>
      <c r="O148" s="19">
        <f>(G148-Settings!$D$19)/Settings!$E$19</f>
        <v>-0.41885227072654851</v>
      </c>
      <c r="P148" s="19">
        <f>(H148-Settings!$D$20)/Settings!$E$20</f>
        <v>1.4366191876266576</v>
      </c>
      <c r="Q148" s="19">
        <f>(I148-Settings!$D$21)/Settings!$E$21</f>
        <v>3.5949717381021262E-2</v>
      </c>
      <c r="R148" s="19">
        <f>(J148-Settings!$D$22)/Settings!$E$22</f>
        <v>8.8417917117449632E-2</v>
      </c>
      <c r="S148" s="19">
        <f>(K148-Settings!$D$23)/Settings!$E$23</f>
        <v>0.65049915066724773</v>
      </c>
      <c r="T148" s="19">
        <f>(L148-Settings!$D$24)/Settings!$E$24</f>
        <v>1.3118399918841999</v>
      </c>
      <c r="U148" s="19">
        <f>(M148-Settings!$D$25)/Settings!$E$25</f>
        <v>1.8386435301182495</v>
      </c>
      <c r="V148" s="31">
        <f>Settings!$B$18*(N148-F$6)^2</f>
        <v>9.7413461686313998E-2</v>
      </c>
      <c r="W148" s="31">
        <f>Settings!$B$19*(O148-G$6)^2</f>
        <v>0.17034741478104307</v>
      </c>
      <c r="X148" s="31">
        <f>Settings!$B$20*(P148-H$6)^2</f>
        <v>0.13609689901165542</v>
      </c>
      <c r="Y148" s="31">
        <f>Settings!$B$21*(Q148-I$6)^2</f>
        <v>0.16044965609987227</v>
      </c>
      <c r="Z148" s="31">
        <f>Settings!$B$22*(R148-J$6)^2</f>
        <v>8.307294493363304E-4</v>
      </c>
      <c r="AA148" s="31">
        <f>Settings!$B$23*(S148-K$6)^2</f>
        <v>1.1606663866484901</v>
      </c>
      <c r="AB148" s="31">
        <f>Settings!$B$24*(T148-L$6)^2</f>
        <v>4.5957004647526355E-2</v>
      </c>
      <c r="AC148" s="31">
        <f>Settings!$B$25*(U148-M$6)^2</f>
        <v>4.0827371752440689</v>
      </c>
      <c r="AD148" s="19">
        <f t="shared" si="8"/>
        <v>2.4196071432297241</v>
      </c>
      <c r="AE148" s="15">
        <f t="shared" si="9"/>
        <v>0.95772437378073971</v>
      </c>
      <c r="AF148" s="33">
        <f t="shared" si="10"/>
        <v>0.63215669017833642</v>
      </c>
      <c r="AG148" s="47">
        <f t="shared" si="11"/>
        <v>2.7292732159624163E-3</v>
      </c>
      <c r="AH148" s="18">
        <v>-0.3572334504238972</v>
      </c>
      <c r="AI148" s="46">
        <v>1</v>
      </c>
      <c r="AJ148" s="18">
        <v>-1.8613026717105969</v>
      </c>
      <c r="AK148" s="46">
        <v>1</v>
      </c>
      <c r="AL148" s="18">
        <v>0.45246847900615073</v>
      </c>
      <c r="AM148" s="46">
        <v>1</v>
      </c>
      <c r="AN148" s="18">
        <v>1.4614943540634691</v>
      </c>
      <c r="AO148" s="46">
        <v>1</v>
      </c>
      <c r="AP148" s="18">
        <v>-0.1159707669546028</v>
      </c>
      <c r="AQ148" s="46">
        <v>1</v>
      </c>
    </row>
    <row r="149" spans="1:43" ht="20" customHeight="1" x14ac:dyDescent="0.45">
      <c r="A149" s="26">
        <v>139</v>
      </c>
      <c r="B149" s="16" t="s">
        <v>365</v>
      </c>
      <c r="C149" s="16" t="s">
        <v>232</v>
      </c>
      <c r="D149" s="46">
        <v>26</v>
      </c>
      <c r="E149" s="46">
        <v>0</v>
      </c>
      <c r="F149" s="13">
        <v>0.17107755792445831</v>
      </c>
      <c r="G149" s="13">
        <v>-6.1193161270397152E-2</v>
      </c>
      <c r="H149" s="13">
        <v>4.1273065082470833E-2</v>
      </c>
      <c r="I149" s="13">
        <v>-1.7653474040432311E-4</v>
      </c>
      <c r="J149" s="13">
        <v>0.72627968098226925</v>
      </c>
      <c r="K149" s="13">
        <v>15.50711382113823</v>
      </c>
      <c r="L149" s="13">
        <v>2.187260018424765</v>
      </c>
      <c r="M149" s="13">
        <v>-1.56620156041793</v>
      </c>
      <c r="N149" s="19">
        <f>(F149-Settings!$D$18)/Settings!$E$18</f>
        <v>-7.6034152749833439E-2</v>
      </c>
      <c r="O149" s="19">
        <f>(G149-Settings!$D$19)/Settings!$E$19</f>
        <v>-0.22726752250404755</v>
      </c>
      <c r="P149" s="19">
        <f>(H149-Settings!$D$20)/Settings!$E$20</f>
        <v>-0.1074007043928681</v>
      </c>
      <c r="Q149" s="19">
        <f>(I149-Settings!$D$21)/Settings!$E$21</f>
        <v>3.4038222417501825E-2</v>
      </c>
      <c r="R149" s="19">
        <f>(J149-Settings!$D$22)/Settings!$E$22</f>
        <v>1.2872073684627185</v>
      </c>
      <c r="S149" s="19">
        <f>(K149-Settings!$D$23)/Settings!$E$23</f>
        <v>8.7479845649027471E-2</v>
      </c>
      <c r="T149" s="19">
        <f>(L149-Settings!$D$24)/Settings!$E$24</f>
        <v>0.6076953184787014</v>
      </c>
      <c r="U149" s="19">
        <f>(M149-Settings!$D$25)/Settings!$E$25</f>
        <v>-1.0202935179051376</v>
      </c>
      <c r="V149" s="31">
        <f>Settings!$B$18*(N149-F$6)^2</f>
        <v>3.0146898071565773E-3</v>
      </c>
      <c r="W149" s="31">
        <f>Settings!$B$19*(O149-G$6)^2</f>
        <v>0.10696323685805974</v>
      </c>
      <c r="X149" s="31">
        <f>Settings!$B$20*(P149-H$6)^2</f>
        <v>1.1223703539509839</v>
      </c>
      <c r="Y149" s="31">
        <f>Settings!$B$21*(Q149-I$6)^2</f>
        <v>0.15976554934095791</v>
      </c>
      <c r="Z149" s="31">
        <f>Settings!$B$22*(R149-J$6)^2</f>
        <v>0.25734574468210575</v>
      </c>
      <c r="AA149" s="31">
        <f>Settings!$B$23*(S149-K$6)^2</f>
        <v>2.690786127126052</v>
      </c>
      <c r="AB149" s="31">
        <f>Settings!$B$24*(T149-L$6)^2</f>
        <v>0.84367995013600794</v>
      </c>
      <c r="AC149" s="31">
        <f>Settings!$B$25*(U149-M$6)^2</f>
        <v>0.70284517927553514</v>
      </c>
      <c r="AD149" s="19">
        <f t="shared" si="8"/>
        <v>2.4262668507764884</v>
      </c>
      <c r="AE149" s="15">
        <f t="shared" si="9"/>
        <v>0.96036040676553003</v>
      </c>
      <c r="AF149" s="33">
        <f t="shared" si="10"/>
        <v>0.6305605738691441</v>
      </c>
      <c r="AG149" s="47">
        <f t="shared" si="11"/>
        <v>2.722382143606589E-3</v>
      </c>
      <c r="AH149" s="18">
        <v>-1.079497959686899</v>
      </c>
      <c r="AI149" s="46">
        <v>0</v>
      </c>
      <c r="AJ149" s="18">
        <v>-0.19086567762842011</v>
      </c>
      <c r="AK149" s="46">
        <v>0</v>
      </c>
      <c r="AL149" s="18">
        <v>0.60484451125062733</v>
      </c>
      <c r="AM149" s="46">
        <v>1</v>
      </c>
      <c r="AN149" s="18">
        <v>-0.64961734215591971</v>
      </c>
      <c r="AO149" s="46">
        <v>1</v>
      </c>
      <c r="AP149" s="48"/>
      <c r="AQ149" s="48"/>
    </row>
    <row r="150" spans="1:43" ht="20" customHeight="1" x14ac:dyDescent="0.45">
      <c r="A150" s="26">
        <v>140</v>
      </c>
      <c r="B150" s="16" t="s">
        <v>366</v>
      </c>
      <c r="C150" s="16" t="s">
        <v>229</v>
      </c>
      <c r="D150" s="46">
        <v>26</v>
      </c>
      <c r="E150" s="46">
        <v>1</v>
      </c>
      <c r="F150" s="13">
        <v>0.22456014023036991</v>
      </c>
      <c r="G150" s="13">
        <v>-6.2238866578725023E-2</v>
      </c>
      <c r="H150" s="13">
        <v>6.5444282665096221E-2</v>
      </c>
      <c r="I150" s="13">
        <v>-3.9292498511128177E-2</v>
      </c>
      <c r="J150" s="13">
        <v>0.60846421201468071</v>
      </c>
      <c r="K150" s="13">
        <v>18.162500000000001</v>
      </c>
      <c r="L150" s="13">
        <v>3.1629733100955679</v>
      </c>
      <c r="M150" s="13">
        <v>2.6934758477046432</v>
      </c>
      <c r="N150" s="19">
        <f>(F150-Settings!$D$18)/Settings!$E$18</f>
        <v>0.11537667530720061</v>
      </c>
      <c r="O150" s="19">
        <f>(G150-Settings!$D$19)/Settings!$E$19</f>
        <v>-0.23162406410026098</v>
      </c>
      <c r="P150" s="19">
        <f>(H150-Settings!$D$20)/Settings!$E$20</f>
        <v>0.11159517498662999</v>
      </c>
      <c r="Q150" s="19">
        <f>(I150-Settings!$D$21)/Settings!$E$21</f>
        <v>-0.44698281399509665</v>
      </c>
      <c r="R150" s="19">
        <f>(J150-Settings!$D$22)/Settings!$E$22</f>
        <v>0.97021930238423548</v>
      </c>
      <c r="S150" s="19">
        <f>(K150-Settings!$D$23)/Settings!$E$23</f>
        <v>1.0096343884197361</v>
      </c>
      <c r="T150" s="19">
        <f>(L150-Settings!$D$24)/Settings!$E$24</f>
        <v>1.2822592869496279</v>
      </c>
      <c r="U150" s="19">
        <f>(M150-Settings!$D$25)/Settings!$E$25</f>
        <v>1.8524803683014721</v>
      </c>
      <c r="V150" s="31">
        <f>Settings!$B$18*(N150-F$6)^2</f>
        <v>9.4220350850326518E-4</v>
      </c>
      <c r="W150" s="31">
        <f>Settings!$B$19*(O150-G$6)^2</f>
        <v>0.10824142794871172</v>
      </c>
      <c r="X150" s="31">
        <f>Settings!$B$20*(P150-H$6)^2</f>
        <v>0.92444741495963001</v>
      </c>
      <c r="Y150" s="31">
        <f>Settings!$B$21*(Q150-I$6)^2</f>
        <v>3.4072612358919417E-2</v>
      </c>
      <c r="Z150" s="31">
        <f>Settings!$B$22*(R150-J$6)^2</f>
        <v>0.13361305118629985</v>
      </c>
      <c r="AA150" s="31">
        <f>Settings!$B$23*(S150-K$6)^2</f>
        <v>0.51582135444921207</v>
      </c>
      <c r="AB150" s="31">
        <f>Settings!$B$24*(T150-L$6)^2</f>
        <v>5.9514800222488756E-2</v>
      </c>
      <c r="AC150" s="31">
        <f>Settings!$B$25*(U150-M$6)^2</f>
        <v>4.1388454667665719</v>
      </c>
      <c r="AD150" s="19">
        <f t="shared" si="8"/>
        <v>2.4321797489906736</v>
      </c>
      <c r="AE150" s="15">
        <f t="shared" si="9"/>
        <v>0.96270083907713688</v>
      </c>
      <c r="AF150" s="33">
        <f t="shared" si="10"/>
        <v>0.62914315750514593</v>
      </c>
      <c r="AG150" s="47">
        <f t="shared" si="11"/>
        <v>2.716262590372033E-3</v>
      </c>
      <c r="AH150" s="18">
        <v>0.15879485016297901</v>
      </c>
      <c r="AI150" s="46">
        <v>1</v>
      </c>
      <c r="AJ150" s="18">
        <v>-1.0881554086674139</v>
      </c>
      <c r="AK150" s="46">
        <v>1</v>
      </c>
      <c r="AL150" s="18">
        <v>-0.45427704021768478</v>
      </c>
      <c r="AM150" s="46">
        <v>1</v>
      </c>
      <c r="AN150" s="48"/>
      <c r="AO150" s="48"/>
      <c r="AP150" s="48"/>
      <c r="AQ150" s="48"/>
    </row>
    <row r="151" spans="1:43" ht="20" customHeight="1" x14ac:dyDescent="0.45">
      <c r="A151" s="26">
        <v>141</v>
      </c>
      <c r="B151" s="16" t="s">
        <v>367</v>
      </c>
      <c r="C151" s="16" t="s">
        <v>218</v>
      </c>
      <c r="D151" s="46">
        <v>26</v>
      </c>
      <c r="E151" s="46">
        <v>0</v>
      </c>
      <c r="F151" s="13">
        <v>0.25362328739436302</v>
      </c>
      <c r="G151" s="13">
        <v>-0.12934029325938759</v>
      </c>
      <c r="H151" s="13">
        <v>-2.2790502398668231E-2</v>
      </c>
      <c r="I151" s="13">
        <v>-6.4362830842687533E-4</v>
      </c>
      <c r="J151" s="13">
        <v>0.59360228863915432</v>
      </c>
      <c r="K151" s="13">
        <v>16.479022988505751</v>
      </c>
      <c r="L151" s="13">
        <v>1.4696215882387089</v>
      </c>
      <c r="M151" s="13">
        <v>-0.46454417625258387</v>
      </c>
      <c r="N151" s="19">
        <f>(F151-Settings!$D$18)/Settings!$E$18</f>
        <v>0.21939186725855231</v>
      </c>
      <c r="O151" s="19">
        <f>(G151-Settings!$D$19)/Settings!$E$19</f>
        <v>-0.51117716015083126</v>
      </c>
      <c r="P151" s="19">
        <f>(H151-Settings!$D$20)/Settings!$E$20</f>
        <v>-0.68782894507878956</v>
      </c>
      <c r="Q151" s="19">
        <f>(I151-Settings!$D$21)/Settings!$E$21</f>
        <v>2.8294229159178261E-2</v>
      </c>
      <c r="R151" s="19">
        <f>(J151-Settings!$D$22)/Settings!$E$22</f>
        <v>0.93023259783433687</v>
      </c>
      <c r="S151" s="19">
        <f>(K151-Settings!$D$23)/Settings!$E$23</f>
        <v>0.42500154436956272</v>
      </c>
      <c r="T151" s="19">
        <f>(L151-Settings!$D$24)/Settings!$E$24</f>
        <v>0.11155261802968407</v>
      </c>
      <c r="U151" s="19">
        <f>(M151-Settings!$D$25)/Settings!$E$25</f>
        <v>-0.27732350831190844</v>
      </c>
      <c r="V151" s="31">
        <f>Settings!$B$18*(N151-F$6)^2</f>
        <v>5.9617457014172126E-3</v>
      </c>
      <c r="W151" s="31">
        <f>Settings!$B$19*(O151-G$6)^2</f>
        <v>0.20613470122467384</v>
      </c>
      <c r="X151" s="31">
        <f>Settings!$B$20*(P151-H$6)^2</f>
        <v>1.7397483902446371</v>
      </c>
      <c r="Y151" s="31">
        <f>Settings!$B$21*(Q151-I$6)^2</f>
        <v>0.15771862071993725</v>
      </c>
      <c r="Z151" s="31">
        <f>Settings!$B$22*(R151-J$6)^2</f>
        <v>0.12085954388706771</v>
      </c>
      <c r="AA151" s="31">
        <f>Settings!$B$23*(S151-K$6)^2</f>
        <v>1.6973917673604879</v>
      </c>
      <c r="AB151" s="31">
        <f>Settings!$B$24*(T151-L$6)^2</f>
        <v>2.001272034183279</v>
      </c>
      <c r="AC151" s="31">
        <f>Settings!$B$25*(U151-M$6)^2</f>
        <v>9.0989873989393306E-3</v>
      </c>
      <c r="AD151" s="19">
        <f t="shared" si="8"/>
        <v>2.4368393034257387</v>
      </c>
      <c r="AE151" s="15">
        <f t="shared" si="9"/>
        <v>0.9645451751983567</v>
      </c>
      <c r="AF151" s="33">
        <f t="shared" si="10"/>
        <v>0.62802600916782803</v>
      </c>
      <c r="AG151" s="47">
        <f t="shared" si="11"/>
        <v>2.7114394142787159E-3</v>
      </c>
      <c r="AH151" s="18">
        <v>-0.43601864564755122</v>
      </c>
      <c r="AI151" s="46">
        <v>0</v>
      </c>
      <c r="AJ151" s="18">
        <v>1.9757207356120521E-2</v>
      </c>
      <c r="AK151" s="46">
        <v>0</v>
      </c>
      <c r="AL151" s="18">
        <v>0.22120353156451131</v>
      </c>
      <c r="AM151" s="46">
        <v>0</v>
      </c>
      <c r="AN151" s="18">
        <v>-0.42218266896409362</v>
      </c>
      <c r="AO151" s="46">
        <v>0</v>
      </c>
      <c r="AP151" s="18">
        <v>-0.40474636486930488</v>
      </c>
      <c r="AQ151" s="46">
        <v>1</v>
      </c>
    </row>
    <row r="152" spans="1:43" ht="20" customHeight="1" x14ac:dyDescent="0.45">
      <c r="A152" s="26">
        <v>142</v>
      </c>
      <c r="B152" s="16" t="s">
        <v>368</v>
      </c>
      <c r="C152" s="16" t="s">
        <v>234</v>
      </c>
      <c r="D152" s="46">
        <v>26</v>
      </c>
      <c r="E152" s="46">
        <v>1</v>
      </c>
      <c r="F152" s="13">
        <v>0.34904888266784673</v>
      </c>
      <c r="G152" s="13">
        <v>-0.1023022380834602</v>
      </c>
      <c r="H152" s="13">
        <v>0.13289165940858619</v>
      </c>
      <c r="I152" s="13">
        <v>1.6580227135515311E-4</v>
      </c>
      <c r="J152" s="13">
        <v>0.41559141756875179</v>
      </c>
      <c r="K152" s="13">
        <v>18.821820175438621</v>
      </c>
      <c r="L152" s="13">
        <v>3.2673091921756572</v>
      </c>
      <c r="M152" s="13">
        <v>-3.5810180864042871</v>
      </c>
      <c r="N152" s="19">
        <f>(F152-Settings!$D$18)/Settings!$E$18</f>
        <v>0.5609141240683917</v>
      </c>
      <c r="O152" s="19">
        <f>(G152-Settings!$D$19)/Settings!$E$19</f>
        <v>-0.39853317611770345</v>
      </c>
      <c r="P152" s="19">
        <f>(H152-Settings!$D$20)/Settings!$E$20</f>
        <v>0.72268137828978007</v>
      </c>
      <c r="Q152" s="19">
        <f>(I152-Settings!$D$21)/Settings!$E$21</f>
        <v>3.8248045935187533E-2</v>
      </c>
      <c r="R152" s="19">
        <f>(J152-Settings!$D$22)/Settings!$E$22</f>
        <v>0.45128596836349516</v>
      </c>
      <c r="S152" s="19">
        <f>(K152-Settings!$D$23)/Settings!$E$23</f>
        <v>1.2386011201746328</v>
      </c>
      <c r="T152" s="19">
        <f>(L152-Settings!$D$24)/Settings!$E$24</f>
        <v>1.3543923892355867</v>
      </c>
      <c r="U152" s="19">
        <f>(M152-Settings!$D$25)/Settings!$E$25</f>
        <v>-2.3791082230548883</v>
      </c>
      <c r="V152" s="31">
        <f>Settings!$B$18*(N152-F$6)^2</f>
        <v>5.2875042447563608E-2</v>
      </c>
      <c r="W152" s="31">
        <f>Settings!$B$19*(O152-G$6)^2</f>
        <v>0.1629290232395883</v>
      </c>
      <c r="X152" s="31">
        <f>Settings!$B$20*(P152-H$6)^2</f>
        <v>0.4736134959480518</v>
      </c>
      <c r="Y152" s="31">
        <f>Settings!$B$21*(Q152-I$6)^2</f>
        <v>0.16127414221367978</v>
      </c>
      <c r="Z152" s="31">
        <f>Settings!$B$22*(R152-J$6)^2</f>
        <v>1.7810810435114347E-2</v>
      </c>
      <c r="AA152" s="31">
        <f>Settings!$B$23*(S152-K$6)^2</f>
        <v>0.23935608067201147</v>
      </c>
      <c r="AB152" s="31">
        <f>Settings!$B$24*(T152-L$6)^2</f>
        <v>2.9523298546907408E-2</v>
      </c>
      <c r="AC152" s="31">
        <f>Settings!$B$25*(U152-M$6)^2</f>
        <v>4.8275706300462078</v>
      </c>
      <c r="AD152" s="19">
        <f t="shared" si="8"/>
        <v>2.4423252288647235</v>
      </c>
      <c r="AE152" s="15">
        <f t="shared" si="9"/>
        <v>0.96671660394469705</v>
      </c>
      <c r="AF152" s="33">
        <f t="shared" si="10"/>
        <v>0.6267105446798984</v>
      </c>
      <c r="AG152" s="47">
        <f t="shared" si="11"/>
        <v>2.705760028061284E-3</v>
      </c>
      <c r="AH152" s="18">
        <v>-0.12921494397581151</v>
      </c>
      <c r="AI152" s="46">
        <v>1</v>
      </c>
      <c r="AJ152" s="18">
        <v>1.977280733892004</v>
      </c>
      <c r="AK152" s="46">
        <v>1</v>
      </c>
      <c r="AL152" s="18">
        <v>-1.5580946593102389</v>
      </c>
      <c r="AM152" s="46">
        <v>1</v>
      </c>
      <c r="AN152" s="18">
        <v>-2.320768727845874</v>
      </c>
      <c r="AO152" s="46">
        <v>1</v>
      </c>
      <c r="AP152" s="48"/>
      <c r="AQ152" s="48"/>
    </row>
    <row r="153" spans="1:43" ht="20" customHeight="1" x14ac:dyDescent="0.45">
      <c r="A153" s="26">
        <v>143</v>
      </c>
      <c r="B153" s="16" t="s">
        <v>369</v>
      </c>
      <c r="C153" s="16" t="s">
        <v>236</v>
      </c>
      <c r="D153" s="46">
        <v>26</v>
      </c>
      <c r="E153" s="46">
        <v>0</v>
      </c>
      <c r="F153" s="13">
        <v>-4.0703340769013718E-2</v>
      </c>
      <c r="G153" s="13">
        <v>0.25150274207813061</v>
      </c>
      <c r="H153" s="13">
        <v>3.7228498902905399E-3</v>
      </c>
      <c r="I153" s="13">
        <v>-6.9726647045913706E-2</v>
      </c>
      <c r="J153" s="13">
        <v>0.63434442021665149</v>
      </c>
      <c r="K153" s="13">
        <v>15.42561521252799</v>
      </c>
      <c r="L153" s="13">
        <v>1.854406185019758</v>
      </c>
      <c r="M153" s="13">
        <v>-0.58717193574567927</v>
      </c>
      <c r="N153" s="19">
        <f>(F153-Settings!$D$18)/Settings!$E$18</f>
        <v>-0.83398478710242374</v>
      </c>
      <c r="O153" s="19">
        <f>(G153-Settings!$D$19)/Settings!$E$19</f>
        <v>1.0754634659058051</v>
      </c>
      <c r="P153" s="19">
        <f>(H153-Settings!$D$20)/Settings!$E$20</f>
        <v>-0.44761287487169271</v>
      </c>
      <c r="Q153" s="19">
        <f>(I153-Settings!$D$21)/Settings!$E$21</f>
        <v>-0.8212408984014008</v>
      </c>
      <c r="R153" s="19">
        <f>(J153-Settings!$D$22)/Settings!$E$22</f>
        <v>1.0398512210069766</v>
      </c>
      <c r="S153" s="19">
        <f>(K153-Settings!$D$23)/Settings!$E$23</f>
        <v>5.9177253446924864E-2</v>
      </c>
      <c r="T153" s="19">
        <f>(L153-Settings!$D$24)/Settings!$E$24</f>
        <v>0.37757525687950266</v>
      </c>
      <c r="U153" s="19">
        <f>(M153-Settings!$D$25)/Settings!$E$25</f>
        <v>-0.3600250350810576</v>
      </c>
      <c r="V153" s="31">
        <f>Settings!$B$18*(N153-F$6)^2</f>
        <v>0.15513516764514795</v>
      </c>
      <c r="W153" s="31">
        <f>Settings!$B$19*(O153-G$6)^2</f>
        <v>6.5304097251451809E-2</v>
      </c>
      <c r="X153" s="31">
        <f>Settings!$B$20*(P153-H$6)^2</f>
        <v>1.4678953890495512</v>
      </c>
      <c r="Y153" s="31">
        <f>Settings!$B$21*(Q153-I$6)^2</f>
        <v>2.9633482584552634E-4</v>
      </c>
      <c r="Z153" s="31">
        <f>Settings!$B$22*(R153-J$6)^2</f>
        <v>0.15734830361006655</v>
      </c>
      <c r="AA153" s="31">
        <f>Settings!$B$23*(S153-K$6)^2</f>
        <v>2.7844401338181965</v>
      </c>
      <c r="AB153" s="31">
        <f>Settings!$B$24*(T153-L$6)^2</f>
        <v>1.3193751912926042</v>
      </c>
      <c r="AC153" s="31">
        <f>Settings!$B$25*(U153-M$6)^2</f>
        <v>3.171609771286614E-2</v>
      </c>
      <c r="AD153" s="19">
        <f t="shared" si="8"/>
        <v>2.4457127213157581</v>
      </c>
      <c r="AE153" s="15">
        <f t="shared" si="9"/>
        <v>0.96805743487067275</v>
      </c>
      <c r="AF153" s="33">
        <f t="shared" si="10"/>
        <v>0.62589816389205066</v>
      </c>
      <c r="AG153" s="47">
        <f t="shared" si="11"/>
        <v>2.702252655348342E-3</v>
      </c>
      <c r="AH153" s="18">
        <v>-0.8108733282970837</v>
      </c>
      <c r="AI153" s="46">
        <v>1</v>
      </c>
      <c r="AJ153" s="18">
        <v>-0.34938423989407452</v>
      </c>
      <c r="AK153" s="46">
        <v>1</v>
      </c>
      <c r="AL153" s="18">
        <v>1.0797013278267971</v>
      </c>
      <c r="AM153" s="46">
        <v>1</v>
      </c>
      <c r="AN153" s="18">
        <v>-0.43393852290565998</v>
      </c>
      <c r="AO153" s="46">
        <v>1</v>
      </c>
      <c r="AP153" s="18">
        <v>-0.34055355621970962</v>
      </c>
      <c r="AQ153" s="46">
        <v>1</v>
      </c>
    </row>
    <row r="154" spans="1:43" ht="20" customHeight="1" x14ac:dyDescent="0.45">
      <c r="A154" s="26">
        <v>144</v>
      </c>
      <c r="B154" s="16" t="s">
        <v>370</v>
      </c>
      <c r="C154" s="16" t="s">
        <v>229</v>
      </c>
      <c r="D154" s="46">
        <v>26</v>
      </c>
      <c r="E154" s="46">
        <v>1</v>
      </c>
      <c r="F154" s="13">
        <v>0.38605605733060538</v>
      </c>
      <c r="G154" s="13">
        <v>0.2274481267802958</v>
      </c>
      <c r="H154" s="13">
        <v>-6.3867397854214261E-2</v>
      </c>
      <c r="I154" s="13">
        <v>2.7332495387388513E-4</v>
      </c>
      <c r="J154" s="13">
        <v>0.32235509308101062</v>
      </c>
      <c r="K154" s="13">
        <v>15.279324894514749</v>
      </c>
      <c r="L154" s="13">
        <v>2.4610852603219309</v>
      </c>
      <c r="M154" s="13">
        <v>-0.51537967112153904</v>
      </c>
      <c r="N154" s="19">
        <f>(F154-Settings!$D$18)/Settings!$E$18</f>
        <v>0.6933604952202751</v>
      </c>
      <c r="O154" s="19">
        <f>(G154-Settings!$D$19)/Settings!$E$19</f>
        <v>0.97524887266299087</v>
      </c>
      <c r="P154" s="19">
        <f>(H154-Settings!$D$20)/Settings!$E$20</f>
        <v>-1.0599935169178694</v>
      </c>
      <c r="Q154" s="19">
        <f>(I154-Settings!$D$21)/Settings!$E$21</f>
        <v>3.9570285430197319E-2</v>
      </c>
      <c r="R154" s="19">
        <f>(J154-Settings!$D$22)/Settings!$E$22</f>
        <v>0.20042924770853929</v>
      </c>
      <c r="S154" s="19">
        <f>(K154-Settings!$D$23)/Settings!$E$23</f>
        <v>8.3739908581636265E-3</v>
      </c>
      <c r="T154" s="19">
        <f>(L154-Settings!$D$24)/Settings!$E$24</f>
        <v>0.79700568600004906</v>
      </c>
      <c r="U154" s="19">
        <f>(M154-Settings!$D$25)/Settings!$E$25</f>
        <v>-0.31160753223199444</v>
      </c>
      <c r="V154" s="31">
        <f>Settings!$B$18*(N154-F$6)^2</f>
        <v>8.3623658838726786E-2</v>
      </c>
      <c r="W154" s="31">
        <f>Settings!$B$19*(O154-G$6)^2</f>
        <v>4.4406852622861592E-2</v>
      </c>
      <c r="X154" s="31">
        <f>Settings!$B$20*(P154-H$6)^2</f>
        <v>2.2065090472880158</v>
      </c>
      <c r="Y154" s="31">
        <f>Settings!$B$21*(Q154-I$6)^2</f>
        <v>0.16174943050053789</v>
      </c>
      <c r="Z154" s="31">
        <f>Settings!$B$22*(R154-J$6)^2</f>
        <v>4.5243894807878735E-4</v>
      </c>
      <c r="AA154" s="31">
        <f>Settings!$B$23*(S154-K$6)^2</f>
        <v>2.9565682739666972</v>
      </c>
      <c r="AB154" s="31">
        <f>Settings!$B$24*(T154-L$6)^2</f>
        <v>0.53174745003057633</v>
      </c>
      <c r="AC154" s="31">
        <f>Settings!$B$25*(U154-M$6)^2</f>
        <v>1.6814992641932595E-2</v>
      </c>
      <c r="AD154" s="19">
        <f t="shared" si="8"/>
        <v>2.4498718629425147</v>
      </c>
      <c r="AE154" s="15">
        <f t="shared" si="9"/>
        <v>0.96970369853008398</v>
      </c>
      <c r="AF154" s="33">
        <f t="shared" si="10"/>
        <v>0.62490063150903596</v>
      </c>
      <c r="AG154" s="47">
        <f t="shared" si="11"/>
        <v>2.6979459091613341E-3</v>
      </c>
      <c r="AH154" s="18">
        <v>3.2028120820074779E-2</v>
      </c>
      <c r="AI154" s="46">
        <v>1</v>
      </c>
      <c r="AJ154" s="18">
        <v>7.3750569208200556E-2</v>
      </c>
      <c r="AK154" s="46">
        <v>1</v>
      </c>
      <c r="AL154" s="18">
        <v>-1.1601994018493149</v>
      </c>
      <c r="AM154" s="46">
        <v>1</v>
      </c>
      <c r="AN154" s="48"/>
      <c r="AO154" s="48"/>
      <c r="AP154" s="48"/>
      <c r="AQ154" s="48"/>
    </row>
    <row r="155" spans="1:43" ht="20" customHeight="1" x14ac:dyDescent="0.45">
      <c r="A155" s="26">
        <v>145</v>
      </c>
      <c r="B155" s="16" t="s">
        <v>371</v>
      </c>
      <c r="C155" s="16" t="s">
        <v>229</v>
      </c>
      <c r="D155" s="46">
        <v>26</v>
      </c>
      <c r="E155" s="46">
        <v>1</v>
      </c>
      <c r="F155" s="13">
        <v>0.1990609032971129</v>
      </c>
      <c r="G155" s="13">
        <v>-1.9588405585049779E-2</v>
      </c>
      <c r="H155" s="13">
        <v>0.1323941953364742</v>
      </c>
      <c r="I155" s="13">
        <v>1.503466754875159E-4</v>
      </c>
      <c r="J155" s="13">
        <v>0.64880614910587564</v>
      </c>
      <c r="K155" s="13">
        <v>18.437662337662339</v>
      </c>
      <c r="L155" s="13">
        <v>6.3122022508467479</v>
      </c>
      <c r="M155" s="13">
        <v>1.241281705351684</v>
      </c>
      <c r="N155" s="19">
        <f>(F155-Settings!$D$18)/Settings!$E$18</f>
        <v>2.4116495903377482E-2</v>
      </c>
      <c r="O155" s="19">
        <f>(G155-Settings!$D$19)/Settings!$E$19</f>
        <v>-5.39368075310648E-2</v>
      </c>
      <c r="P155" s="19">
        <f>(H155-Settings!$D$20)/Settings!$E$20</f>
        <v>0.71817425813501468</v>
      </c>
      <c r="Q155" s="19">
        <f>(I155-Settings!$D$21)/Settings!$E$21</f>
        <v>3.8057983719510018E-2</v>
      </c>
      <c r="R155" s="19">
        <f>(J155-Settings!$D$22)/Settings!$E$22</f>
        <v>1.0787611834500885</v>
      </c>
      <c r="S155" s="19">
        <f>(K155-Settings!$D$23)/Settings!$E$23</f>
        <v>1.1051919392176761</v>
      </c>
      <c r="T155" s="19">
        <f>(L155-Settings!$D$24)/Settings!$E$24</f>
        <v>3.4594935114203009</v>
      </c>
      <c r="U155" s="19">
        <f>(M155-Settings!$D$25)/Settings!$E$25</f>
        <v>0.873104464882417</v>
      </c>
      <c r="V155" s="31">
        <f>Settings!$B$18*(N155-F$6)^2</f>
        <v>1.0236298262809199E-4</v>
      </c>
      <c r="W155" s="31">
        <f>Settings!$B$19*(O155-G$6)^2</f>
        <v>6.2268461584534841E-2</v>
      </c>
      <c r="X155" s="31">
        <f>Settings!$B$20*(P155-H$6)^2</f>
        <v>0.47639187629285945</v>
      </c>
      <c r="Y155" s="31">
        <f>Settings!$B$21*(Q155-I$6)^2</f>
        <v>0.16120588049967643</v>
      </c>
      <c r="Z155" s="31">
        <f>Settings!$B$22*(R155-J$6)^2</f>
        <v>0.17145611420851722</v>
      </c>
      <c r="AA155" s="31">
        <f>Settings!$B$23*(S155-K$6)^2</f>
        <v>0.38769238826202368</v>
      </c>
      <c r="AB155" s="31">
        <f>Settings!$B$24*(T155-L$6)^2</f>
        <v>3.7375625512757562</v>
      </c>
      <c r="AC155" s="31">
        <f>Settings!$B$25*(U155-M$6)^2</f>
        <v>1.1131080525671275</v>
      </c>
      <c r="AD155" s="19">
        <f t="shared" si="8"/>
        <v>2.4717984723017214</v>
      </c>
      <c r="AE155" s="15">
        <f t="shared" si="9"/>
        <v>0.97838264803494057</v>
      </c>
      <c r="AF155" s="33">
        <f t="shared" si="10"/>
        <v>0.61964019317654495</v>
      </c>
      <c r="AG155" s="47">
        <f t="shared" si="11"/>
        <v>2.6752344933554844E-3</v>
      </c>
      <c r="AH155" s="18">
        <v>-0.12833190459527349</v>
      </c>
      <c r="AI155" s="46">
        <v>1</v>
      </c>
      <c r="AJ155" s="18">
        <v>-0.52866215401771477</v>
      </c>
      <c r="AK155" s="46">
        <v>1</v>
      </c>
      <c r="AL155" s="18">
        <v>-1.343056941469271</v>
      </c>
      <c r="AM155" s="46">
        <v>1</v>
      </c>
      <c r="AN155" s="48"/>
      <c r="AO155" s="48"/>
      <c r="AP155" s="48"/>
      <c r="AQ155" s="48"/>
    </row>
    <row r="156" spans="1:43" ht="20" customHeight="1" x14ac:dyDescent="0.45">
      <c r="A156" s="26">
        <v>146</v>
      </c>
      <c r="B156" s="16" t="s">
        <v>372</v>
      </c>
      <c r="C156" s="16" t="s">
        <v>232</v>
      </c>
      <c r="D156" s="46">
        <v>26</v>
      </c>
      <c r="E156" s="46">
        <v>0</v>
      </c>
      <c r="F156" s="13">
        <v>0.2484185885291669</v>
      </c>
      <c r="G156" s="13">
        <v>1.093013540265475E-2</v>
      </c>
      <c r="H156" s="13">
        <v>-3.3291215201852617E-2</v>
      </c>
      <c r="I156" s="13">
        <v>2.3734738727772579E-4</v>
      </c>
      <c r="J156" s="13">
        <v>0.70712271347904798</v>
      </c>
      <c r="K156" s="13">
        <v>15.54331210191083</v>
      </c>
      <c r="L156" s="13">
        <v>3.4961199130131431</v>
      </c>
      <c r="M156" s="13">
        <v>1.294563847170193</v>
      </c>
      <c r="N156" s="19">
        <f>(F156-Settings!$D$18)/Settings!$E$18</f>
        <v>0.20076457447234411</v>
      </c>
      <c r="O156" s="19">
        <f>(G156-Settings!$D$19)/Settings!$E$19</f>
        <v>7.320732400373714E-2</v>
      </c>
      <c r="P156" s="19">
        <f>(H156-Settings!$D$20)/Settings!$E$20</f>
        <v>-0.78296742234349781</v>
      </c>
      <c r="Q156" s="19">
        <f>(I156-Settings!$D$21)/Settings!$E$21</f>
        <v>3.9127858229039095E-2</v>
      </c>
      <c r="R156" s="19">
        <f>(J156-Settings!$D$22)/Settings!$E$22</f>
        <v>1.2356646454740672</v>
      </c>
      <c r="S156" s="19">
        <f>(K156-Settings!$D$23)/Settings!$E$23</f>
        <v>0.10005067595637342</v>
      </c>
      <c r="T156" s="19">
        <f>(L156-Settings!$D$24)/Settings!$E$24</f>
        <v>1.5125817561268835</v>
      </c>
      <c r="U156" s="19">
        <f>(M156-Settings!$D$25)/Settings!$E$25</f>
        <v>0.90903853475481922</v>
      </c>
      <c r="V156" s="31">
        <f>Settings!$B$18*(N156-F$6)^2</f>
        <v>4.7447248347106683E-3</v>
      </c>
      <c r="W156" s="31">
        <f>Settings!$B$19*(O156-G$6)^2</f>
        <v>3.7124006017686478E-2</v>
      </c>
      <c r="X156" s="31">
        <f>Settings!$B$20*(P156-H$6)^2</f>
        <v>1.8537978171071892</v>
      </c>
      <c r="Y156" s="31">
        <f>Settings!$B$21*(Q156-I$6)^2</f>
        <v>0.16159031908055604</v>
      </c>
      <c r="Z156" s="31">
        <f>Settings!$B$22*(R156-J$6)^2</f>
        <v>0.23449027266196826</v>
      </c>
      <c r="AA156" s="31">
        <f>Settings!$B$23*(S156-K$6)^2</f>
        <v>2.6497027386637479</v>
      </c>
      <c r="AB156" s="31">
        <f>Settings!$B$24*(T156-L$6)^2</f>
        <v>1.8588826800000613E-4</v>
      </c>
      <c r="AC156" s="31">
        <f>Settings!$B$25*(U156-M$6)^2</f>
        <v>1.1902230261537647</v>
      </c>
      <c r="AD156" s="19">
        <f t="shared" si="8"/>
        <v>2.4762590318437252</v>
      </c>
      <c r="AE156" s="15">
        <f t="shared" si="9"/>
        <v>0.98014821836979049</v>
      </c>
      <c r="AF156" s="33">
        <f t="shared" si="10"/>
        <v>0.61856978444426913</v>
      </c>
      <c r="AG156" s="47">
        <f t="shared" si="11"/>
        <v>2.670613110827193E-3</v>
      </c>
      <c r="AH156" s="18">
        <v>-0.63934936809874454</v>
      </c>
      <c r="AI156" s="46">
        <v>0</v>
      </c>
      <c r="AJ156" s="18">
        <v>-1.8059585559779929</v>
      </c>
      <c r="AK156" s="46">
        <v>0</v>
      </c>
      <c r="AL156" s="18">
        <v>0.6529250472934911</v>
      </c>
      <c r="AM156" s="46">
        <v>1</v>
      </c>
      <c r="AN156" s="18">
        <v>0.76551856824832765</v>
      </c>
      <c r="AO156" s="46">
        <v>1</v>
      </c>
      <c r="AP156" s="18">
        <v>-0.61752802300758791</v>
      </c>
      <c r="AQ156" s="46">
        <v>1</v>
      </c>
    </row>
    <row r="157" spans="1:43" ht="20" customHeight="1" x14ac:dyDescent="0.45">
      <c r="A157" s="26">
        <v>147</v>
      </c>
      <c r="B157" s="16" t="s">
        <v>373</v>
      </c>
      <c r="C157" s="16" t="s">
        <v>234</v>
      </c>
      <c r="D157" s="46">
        <v>26</v>
      </c>
      <c r="E157" s="46">
        <v>1</v>
      </c>
      <c r="F157" s="13">
        <v>0.18205737020546239</v>
      </c>
      <c r="G157" s="13">
        <v>-0.1801693115879216</v>
      </c>
      <c r="H157" s="13">
        <v>4.0046282131172832E-2</v>
      </c>
      <c r="I157" s="13">
        <v>8.0063561096597874E-3</v>
      </c>
      <c r="J157" s="13">
        <v>0.58972067996578337</v>
      </c>
      <c r="K157" s="13">
        <v>17.13072463768113</v>
      </c>
      <c r="L157" s="13">
        <v>2.9681254204329401</v>
      </c>
      <c r="M157" s="13">
        <v>-2.9330496233843149</v>
      </c>
      <c r="N157" s="19">
        <f>(F157-Settings!$D$18)/Settings!$E$18</f>
        <v>-3.6738089059477903E-2</v>
      </c>
      <c r="O157" s="19">
        <f>(G157-Settings!$D$19)/Settings!$E$19</f>
        <v>-0.72293732898562835</v>
      </c>
      <c r="P157" s="19">
        <f>(H157-Settings!$D$20)/Settings!$E$20</f>
        <v>-0.11851559383974473</v>
      </c>
      <c r="Q157" s="19">
        <f>(I157-Settings!$D$21)/Settings!$E$21</f>
        <v>0.13466574780893789</v>
      </c>
      <c r="R157" s="19">
        <f>(J157-Settings!$D$22)/Settings!$E$22</f>
        <v>0.91978894695022573</v>
      </c>
      <c r="S157" s="19">
        <f>(K157-Settings!$D$23)/Settings!$E$23</f>
        <v>0.65132253718871025</v>
      </c>
      <c r="T157" s="19">
        <f>(L157-Settings!$D$24)/Settings!$E$24</f>
        <v>1.1475502829614428</v>
      </c>
      <c r="U157" s="19">
        <f>(M157-Settings!$D$25)/Settings!$E$25</f>
        <v>-1.9421110748436954</v>
      </c>
      <c r="V157" s="31">
        <f>Settings!$B$18*(N157-F$6)^2</f>
        <v>1.3937123487164152E-3</v>
      </c>
      <c r="W157" s="31">
        <f>Settings!$B$19*(O157-G$6)^2</f>
        <v>0.30109651598624299</v>
      </c>
      <c r="X157" s="31">
        <f>Settings!$B$20*(P157-H$6)^2</f>
        <v>1.1329272411706393</v>
      </c>
      <c r="Y157" s="31">
        <f>Settings!$B$21*(Q157-I$6)^2</f>
        <v>0.19776594052389729</v>
      </c>
      <c r="Z157" s="31">
        <f>Settings!$B$22*(R157-J$6)^2</f>
        <v>0.11763394269022745</v>
      </c>
      <c r="AA157" s="31">
        <f>Settings!$B$23*(S157-K$6)^2</f>
        <v>1.1588929263903898</v>
      </c>
      <c r="AB157" s="31">
        <f>Settings!$B$24*(T157-L$6)^2</f>
        <v>0.14338760478001375</v>
      </c>
      <c r="AC157" s="31">
        <f>Settings!$B$25*(U157-M$6)^2</f>
        <v>3.0982201813096268</v>
      </c>
      <c r="AD157" s="19">
        <f t="shared" si="8"/>
        <v>2.4801850868835884</v>
      </c>
      <c r="AE157" s="15">
        <f t="shared" si="9"/>
        <v>0.98170222213234459</v>
      </c>
      <c r="AF157" s="33">
        <f t="shared" si="10"/>
        <v>0.61762757880372332</v>
      </c>
      <c r="AG157" s="47">
        <f t="shared" si="11"/>
        <v>2.666545232311275E-3</v>
      </c>
      <c r="AH157" s="18">
        <v>-1.9324594674575231</v>
      </c>
      <c r="AI157" s="46">
        <v>1</v>
      </c>
      <c r="AJ157" s="18">
        <v>0.18602645133985171</v>
      </c>
      <c r="AK157" s="46">
        <v>1</v>
      </c>
      <c r="AL157" s="18">
        <v>1.070108764137335</v>
      </c>
      <c r="AM157" s="46">
        <v>1</v>
      </c>
      <c r="AN157" s="48"/>
      <c r="AO157" s="48"/>
      <c r="AP157" s="48"/>
      <c r="AQ157" s="48"/>
    </row>
    <row r="158" spans="1:43" ht="20" customHeight="1" x14ac:dyDescent="0.45">
      <c r="A158" s="26">
        <v>148</v>
      </c>
      <c r="B158" s="16" t="s">
        <v>374</v>
      </c>
      <c r="C158" s="16" t="s">
        <v>236</v>
      </c>
      <c r="D158" s="46">
        <v>26</v>
      </c>
      <c r="E158" s="46">
        <v>0</v>
      </c>
      <c r="F158" s="13">
        <v>0.1192809919025733</v>
      </c>
      <c r="G158" s="13">
        <v>-1.164435977363369E-2</v>
      </c>
      <c r="H158" s="13">
        <v>1.545727993537426E-2</v>
      </c>
      <c r="I158" s="13">
        <v>-5.9906692639813339E-2</v>
      </c>
      <c r="J158" s="13">
        <v>0.79371067574860532</v>
      </c>
      <c r="K158" s="13">
        <v>15.384121621621601</v>
      </c>
      <c r="L158" s="13">
        <v>1.701905757953577</v>
      </c>
      <c r="M158" s="13">
        <v>-0.45029325001139592</v>
      </c>
      <c r="N158" s="19">
        <f>(F158-Settings!$D$18)/Settings!$E$18</f>
        <v>-0.26141083362980599</v>
      </c>
      <c r="O158" s="19">
        <f>(G158-Settings!$D$19)/Settings!$E$19</f>
        <v>-2.0840900162094927E-2</v>
      </c>
      <c r="P158" s="19">
        <f>(H158-Settings!$D$20)/Settings!$E$20</f>
        <v>-0.34129668215380848</v>
      </c>
      <c r="Q158" s="19">
        <f>(I158-Settings!$D$21)/Settings!$E$21</f>
        <v>-0.7004818989904692</v>
      </c>
      <c r="R158" s="19">
        <f>(J158-Settings!$D$22)/Settings!$E$22</f>
        <v>1.4686336345722177</v>
      </c>
      <c r="S158" s="19">
        <f>(K158-Settings!$D$23)/Settings!$E$23</f>
        <v>4.4767483728759751E-2</v>
      </c>
      <c r="T158" s="19">
        <f>(L158-Settings!$D$24)/Settings!$E$24</f>
        <v>0.27214337012195094</v>
      </c>
      <c r="U158" s="19">
        <f>(M158-Settings!$D$25)/Settings!$E$25</f>
        <v>-0.26771252493512143</v>
      </c>
      <c r="V158" s="31">
        <f>Settings!$B$18*(N158-F$6)^2</f>
        <v>1.8991365393287624E-2</v>
      </c>
      <c r="W158" s="31">
        <f>Settings!$B$19*(O158-G$6)^2</f>
        <v>5.5100780199809213E-2</v>
      </c>
      <c r="X158" s="31">
        <f>Settings!$B$20*(P158-H$6)^2</f>
        <v>1.3549455418949736</v>
      </c>
      <c r="Y158" s="31">
        <f>Settings!$B$21*(Q158-I$6)^2</f>
        <v>5.0722093144730234E-3</v>
      </c>
      <c r="Z158" s="31">
        <f>Settings!$B$22*(R158-J$6)^2</f>
        <v>0.34624851856050259</v>
      </c>
      <c r="AA158" s="31">
        <f>Settings!$B$23*(S158-K$6)^2</f>
        <v>2.8327379083211564</v>
      </c>
      <c r="AB158" s="31">
        <f>Settings!$B$24*(T158-L$6)^2</f>
        <v>1.5726977620001052</v>
      </c>
      <c r="AC158" s="31">
        <f>Settings!$B$25*(U158-M$6)^2</f>
        <v>7.3578016618340101E-3</v>
      </c>
      <c r="AD158" s="19">
        <f t="shared" si="8"/>
        <v>2.4886044055546761</v>
      </c>
      <c r="AE158" s="15">
        <f t="shared" si="9"/>
        <v>0.98503474110117384</v>
      </c>
      <c r="AF158" s="33">
        <f t="shared" si="10"/>
        <v>0.61560686793617836</v>
      </c>
      <c r="AG158" s="47">
        <f t="shared" si="11"/>
        <v>2.6578210154617485E-3</v>
      </c>
      <c r="AH158" s="48"/>
      <c r="AI158" s="48"/>
      <c r="AJ158" s="48"/>
      <c r="AK158" s="48"/>
      <c r="AL158" s="18">
        <v>-0.50815905097125402</v>
      </c>
      <c r="AM158" s="46">
        <v>1</v>
      </c>
      <c r="AN158" s="18">
        <v>0.17042845925941821</v>
      </c>
      <c r="AO158" s="46">
        <v>1</v>
      </c>
      <c r="AP158" s="18">
        <v>-8.7125253616279874E-2</v>
      </c>
      <c r="AQ158" s="46">
        <v>1</v>
      </c>
    </row>
    <row r="159" spans="1:43" ht="20" customHeight="1" x14ac:dyDescent="0.45">
      <c r="A159" s="26">
        <v>149</v>
      </c>
      <c r="B159" s="16" t="s">
        <v>375</v>
      </c>
      <c r="C159" s="16" t="s">
        <v>218</v>
      </c>
      <c r="D159" s="46">
        <v>26</v>
      </c>
      <c r="E159" s="46">
        <v>0</v>
      </c>
      <c r="F159" s="13">
        <v>0.21949888569525761</v>
      </c>
      <c r="G159" s="13">
        <v>0.18785952696309779</v>
      </c>
      <c r="H159" s="13">
        <v>-1.155116522768196E-2</v>
      </c>
      <c r="I159" s="13">
        <v>3.113388167899318E-2</v>
      </c>
      <c r="J159" s="13">
        <v>0.54995654043496944</v>
      </c>
      <c r="K159" s="13">
        <v>15.90382262996939</v>
      </c>
      <c r="L159" s="13">
        <v>1.5382127874158651</v>
      </c>
      <c r="M159" s="13">
        <v>-0.16023052859624659</v>
      </c>
      <c r="N159" s="19">
        <f>(F159-Settings!$D$18)/Settings!$E$18</f>
        <v>9.7262760836279813E-2</v>
      </c>
      <c r="O159" s="19">
        <f>(G159-Settings!$D$19)/Settings!$E$19</f>
        <v>0.81031772000846636</v>
      </c>
      <c r="P159" s="19">
        <f>(H159-Settings!$D$20)/Settings!$E$20</f>
        <v>-0.58599838900568202</v>
      </c>
      <c r="Q159" s="19">
        <f>(I159-Settings!$D$21)/Settings!$E$21</f>
        <v>0.41907204249279639</v>
      </c>
      <c r="R159" s="19">
        <f>(J159-Settings!$D$22)/Settings!$E$22</f>
        <v>0.81280165742362476</v>
      </c>
      <c r="S159" s="19">
        <f>(K159-Settings!$D$23)/Settings!$E$23</f>
        <v>0.22524769016557253</v>
      </c>
      <c r="T159" s="19">
        <f>(L159-Settings!$D$24)/Settings!$E$24</f>
        <v>0.15897346584850525</v>
      </c>
      <c r="U159" s="19">
        <f>(M159-Settings!$D$25)/Settings!$E$25</f>
        <v>-7.2090995038394098E-2</v>
      </c>
      <c r="V159" s="31">
        <f>Settings!$B$18*(N159-F$6)^2</f>
        <v>5.1051345656991174E-4</v>
      </c>
      <c r="W159" s="31">
        <f>Settings!$B$19*(O159-G$6)^2</f>
        <v>1.8760748354727585E-2</v>
      </c>
      <c r="X159" s="31">
        <f>Settings!$B$20*(P159-H$6)^2</f>
        <v>1.6216881740012683</v>
      </c>
      <c r="Y159" s="31">
        <f>Settings!$B$21*(Q159-I$6)^2</f>
        <v>0.32706868158367247</v>
      </c>
      <c r="Z159" s="31">
        <f>Settings!$B$22*(R159-J$6)^2</f>
        <v>8.7102826264451066E-2</v>
      </c>
      <c r="AA159" s="31">
        <f>Settings!$B$23*(S159-K$6)^2</f>
        <v>2.2577879467254509</v>
      </c>
      <c r="AB159" s="31">
        <f>Settings!$B$24*(T159-L$6)^2</f>
        <v>1.8693517121765129</v>
      </c>
      <c r="AC159" s="31">
        <f>Settings!$B$25*(U159-M$6)^2</f>
        <v>1.2065682532231293E-2</v>
      </c>
      <c r="AD159" s="19">
        <f t="shared" si="8"/>
        <v>2.4888423584258774</v>
      </c>
      <c r="AE159" s="15">
        <f t="shared" si="9"/>
        <v>0.98512892716158384</v>
      </c>
      <c r="AF159" s="33">
        <f t="shared" si="10"/>
        <v>0.61554975397902356</v>
      </c>
      <c r="AG159" s="47">
        <f t="shared" si="11"/>
        <v>2.657574431670195E-3</v>
      </c>
      <c r="AH159" s="48"/>
      <c r="AI159" s="48"/>
      <c r="AJ159" s="48"/>
      <c r="AK159" s="48"/>
      <c r="AL159" s="48"/>
      <c r="AM159" s="48"/>
      <c r="AN159" s="48"/>
      <c r="AO159" s="48"/>
      <c r="AP159" s="18">
        <v>-0.32006545665680908</v>
      </c>
      <c r="AQ159" s="46">
        <v>1</v>
      </c>
    </row>
    <row r="160" spans="1:43" ht="20" customHeight="1" x14ac:dyDescent="0.45">
      <c r="A160" s="26">
        <v>150</v>
      </c>
      <c r="B160" s="16" t="s">
        <v>376</v>
      </c>
      <c r="C160" s="16" t="s">
        <v>271</v>
      </c>
      <c r="D160" s="46">
        <v>26</v>
      </c>
      <c r="E160" s="46">
        <v>1</v>
      </c>
      <c r="F160" s="13">
        <v>0.56849693290336178</v>
      </c>
      <c r="G160" s="13">
        <v>4.412460036096634E-2</v>
      </c>
      <c r="H160" s="13">
        <v>9.7491052877762843E-2</v>
      </c>
      <c r="I160" s="13">
        <v>-1.108296762538746E-2</v>
      </c>
      <c r="J160" s="13">
        <v>-0.27880444623252171</v>
      </c>
      <c r="K160" s="13">
        <v>16.15325203252031</v>
      </c>
      <c r="L160" s="13">
        <v>1.2469967692962649</v>
      </c>
      <c r="M160" s="13">
        <v>-0.77715612785558996</v>
      </c>
      <c r="N160" s="19">
        <f>(F160-Settings!$D$18)/Settings!$E$18</f>
        <v>1.3463050158323935</v>
      </c>
      <c r="O160" s="19">
        <f>(G160-Settings!$D$19)/Settings!$E$19</f>
        <v>0.21149969586343095</v>
      </c>
      <c r="P160" s="19">
        <f>(H160-Settings!$D$20)/Settings!$E$20</f>
        <v>0.40194507564866155</v>
      </c>
      <c r="Q160" s="19">
        <f>(I160-Settings!$D$21)/Settings!$E$21</f>
        <v>-0.10008153698941184</v>
      </c>
      <c r="R160" s="19">
        <f>(J160-Settings!$D$22)/Settings!$E$22</f>
        <v>-1.4170187957572322</v>
      </c>
      <c r="S160" s="19">
        <f>(K160-Settings!$D$23)/Settings!$E$23</f>
        <v>0.31186878448847405</v>
      </c>
      <c r="T160" s="19">
        <f>(L160-Settings!$D$24)/Settings!$E$24</f>
        <v>-4.2360096522742176E-2</v>
      </c>
      <c r="U160" s="19">
        <f>(M160-Settings!$D$25)/Settings!$E$25</f>
        <v>-0.48815249018943896</v>
      </c>
      <c r="V160" s="31">
        <f>Settings!$B$18*(N160-F$6)^2</f>
        <v>0.33777393826559488</v>
      </c>
      <c r="W160" s="31">
        <f>Settings!$B$19*(O160-G$6)^2</f>
        <v>1.7116405282074122E-2</v>
      </c>
      <c r="X160" s="31">
        <f>Settings!$B$20*(P160-H$6)^2</f>
        <v>0.69161421487799346</v>
      </c>
      <c r="Y160" s="31">
        <f>Settings!$B$21*(Q160-I$6)^2</f>
        <v>0.11541419631790049</v>
      </c>
      <c r="Z160" s="31">
        <f>Settings!$B$22*(R160-J$6)^2</f>
        <v>0.49290810190669349</v>
      </c>
      <c r="AA160" s="31">
        <f>Settings!$B$23*(S160-K$6)^2</f>
        <v>2.0049785325879776</v>
      </c>
      <c r="AB160" s="31">
        <f>Settings!$B$24*(T160-L$6)^2</f>
        <v>2.460430471507594</v>
      </c>
      <c r="AC160" s="31">
        <f>Settings!$B$25*(U160-M$6)^2</f>
        <v>9.3769215120050708E-2</v>
      </c>
      <c r="AD160" s="19">
        <f t="shared" si="8"/>
        <v>2.4927906201415873</v>
      </c>
      <c r="AE160" s="15">
        <f t="shared" si="9"/>
        <v>0.98669172072903599</v>
      </c>
      <c r="AF160" s="33">
        <f t="shared" si="10"/>
        <v>0.61460206100809844</v>
      </c>
      <c r="AG160" s="47">
        <f t="shared" si="11"/>
        <v>2.6534828621547759E-3</v>
      </c>
      <c r="AH160" s="18">
        <v>0.83606718566474214</v>
      </c>
      <c r="AI160" s="46">
        <v>1</v>
      </c>
      <c r="AJ160" s="18">
        <v>1.3735507524844</v>
      </c>
      <c r="AK160" s="46">
        <v>1</v>
      </c>
      <c r="AL160" s="18">
        <v>-1.484918723125648</v>
      </c>
      <c r="AM160" s="46">
        <v>1</v>
      </c>
      <c r="AN160" s="18">
        <v>0.5387100462032155</v>
      </c>
      <c r="AO160" s="46">
        <v>1</v>
      </c>
      <c r="AP160" s="18">
        <v>1.155968981624528</v>
      </c>
      <c r="AQ160" s="46">
        <v>1</v>
      </c>
    </row>
    <row r="161" spans="1:43" ht="20" customHeight="1" x14ac:dyDescent="0.45">
      <c r="A161" s="26">
        <v>151</v>
      </c>
      <c r="B161" s="16" t="s">
        <v>377</v>
      </c>
      <c r="C161" s="16" t="s">
        <v>232</v>
      </c>
      <c r="D161" s="46">
        <v>26</v>
      </c>
      <c r="E161" s="46">
        <v>0</v>
      </c>
      <c r="F161" s="13">
        <v>0.4023499930924116</v>
      </c>
      <c r="G161" s="13">
        <v>-0.20243227518257481</v>
      </c>
      <c r="H161" s="13">
        <v>0.1461758387954849</v>
      </c>
      <c r="I161" s="13">
        <v>9.4244481522425816E-2</v>
      </c>
      <c r="J161" s="13">
        <v>0.15479741140710301</v>
      </c>
      <c r="K161" s="13">
        <v>16.890775681341701</v>
      </c>
      <c r="L161" s="13">
        <v>1.814338488209112</v>
      </c>
      <c r="M161" s="13">
        <v>1.650586175058474</v>
      </c>
      <c r="N161" s="19">
        <f>(F161-Settings!$D$18)/Settings!$E$18</f>
        <v>0.75167547557474301</v>
      </c>
      <c r="O161" s="19">
        <f>(G161-Settings!$D$19)/Settings!$E$19</f>
        <v>-0.81568767287570831</v>
      </c>
      <c r="P161" s="19">
        <f>(H161-Settings!$D$20)/Settings!$E$20</f>
        <v>0.84303859805847081</v>
      </c>
      <c r="Q161" s="19">
        <f>(I161-Settings!$D$21)/Settings!$E$21</f>
        <v>1.1951624981248694</v>
      </c>
      <c r="R161" s="19">
        <f>(J161-Settings!$D$22)/Settings!$E$22</f>
        <v>-0.25039258354876226</v>
      </c>
      <c r="S161" s="19">
        <f>(K161-Settings!$D$23)/Settings!$E$23</f>
        <v>0.56799378377313658</v>
      </c>
      <c r="T161" s="19">
        <f>(L161-Settings!$D$24)/Settings!$E$24</f>
        <v>0.34987426643609454</v>
      </c>
      <c r="U161" s="19">
        <f>(M161-Settings!$D$25)/Settings!$E$25</f>
        <v>1.1491439578823235</v>
      </c>
      <c r="V161" s="31">
        <f>Settings!$B$18*(N161-F$6)^2</f>
        <v>9.938685495253767E-2</v>
      </c>
      <c r="W161" s="31">
        <f>Settings!$B$19*(O161-G$6)^2</f>
        <v>0.34833820823113215</v>
      </c>
      <c r="X161" s="31">
        <f>Settings!$B$20*(P161-H$6)^2</f>
        <v>0.40242585736229197</v>
      </c>
      <c r="Y161" s="31">
        <f>Settings!$B$21*(Q161-I$6)^2</f>
        <v>0.84451944590656436</v>
      </c>
      <c r="Z161" s="31">
        <f>Settings!$B$22*(R161-J$6)^2</f>
        <v>3.2523611995502209E-2</v>
      </c>
      <c r="AA161" s="31">
        <f>Settings!$B$23*(S161-K$6)^2</f>
        <v>1.3452465622540908</v>
      </c>
      <c r="AB161" s="31">
        <f>Settings!$B$24*(T161-L$6)^2</f>
        <v>1.3837794998466868</v>
      </c>
      <c r="AC161" s="31">
        <f>Settings!$B$25*(U161-M$6)^2</f>
        <v>1.771770914692447</v>
      </c>
      <c r="AD161" s="19">
        <f t="shared" si="8"/>
        <v>2.495594309025658</v>
      </c>
      <c r="AE161" s="15">
        <f t="shared" si="9"/>
        <v>0.98780147161908682</v>
      </c>
      <c r="AF161" s="33">
        <f t="shared" si="10"/>
        <v>0.61392907307842504</v>
      </c>
      <c r="AG161" s="47">
        <f t="shared" si="11"/>
        <v>2.6505773041504694E-3</v>
      </c>
      <c r="AH161" s="18">
        <v>0.96138118106067783</v>
      </c>
      <c r="AI161" s="46">
        <v>0</v>
      </c>
      <c r="AJ161" s="18">
        <v>-1.0174182255210451</v>
      </c>
      <c r="AK161" s="46">
        <v>0</v>
      </c>
      <c r="AL161" s="18">
        <v>-9.9361571904635237E-2</v>
      </c>
      <c r="AM161" s="46">
        <v>1</v>
      </c>
      <c r="AN161" s="18">
        <v>0.25084167674883312</v>
      </c>
      <c r="AO161" s="46">
        <v>1</v>
      </c>
      <c r="AP161" s="18">
        <v>-0.6507067839798466</v>
      </c>
      <c r="AQ161" s="46">
        <v>1</v>
      </c>
    </row>
    <row r="162" spans="1:43" ht="20" customHeight="1" x14ac:dyDescent="0.45">
      <c r="A162" s="26">
        <v>152</v>
      </c>
      <c r="B162" s="16" t="s">
        <v>378</v>
      </c>
      <c r="C162" s="16" t="s">
        <v>220</v>
      </c>
      <c r="D162" s="46">
        <v>26</v>
      </c>
      <c r="E162" s="46">
        <v>1</v>
      </c>
      <c r="F162" s="13">
        <v>0.43317319527699921</v>
      </c>
      <c r="G162" s="13">
        <v>0.15686338777294959</v>
      </c>
      <c r="H162" s="13">
        <v>-1.308141193548844E-2</v>
      </c>
      <c r="I162" s="13">
        <v>4.1627185624421713E-2</v>
      </c>
      <c r="J162" s="13">
        <v>0.35525481939014097</v>
      </c>
      <c r="K162" s="13">
        <v>16.211396011396008</v>
      </c>
      <c r="L162" s="13">
        <v>3.5816119971695168</v>
      </c>
      <c r="M162" s="13">
        <v>1.83900007637314</v>
      </c>
      <c r="N162" s="19">
        <f>(F162-Settings!$D$18)/Settings!$E$18</f>
        <v>0.86198979472588022</v>
      </c>
      <c r="O162" s="19">
        <f>(G162-Settings!$D$19)/Settings!$E$19</f>
        <v>0.68118385348938881</v>
      </c>
      <c r="P162" s="19">
        <f>(H162-Settings!$D$20)/Settings!$E$20</f>
        <v>-0.59986271844205052</v>
      </c>
      <c r="Q162" s="19">
        <f>(I162-Settings!$D$21)/Settings!$E$21</f>
        <v>0.54811142827421533</v>
      </c>
      <c r="R162" s="19">
        <f>(J162-Settings!$D$22)/Settings!$E$22</f>
        <v>0.28894751028161125</v>
      </c>
      <c r="S162" s="19">
        <f>(K162-Settings!$D$23)/Settings!$E$23</f>
        <v>0.3320608509689783</v>
      </c>
      <c r="T162" s="19">
        <f>(L162-Settings!$D$24)/Settings!$E$24</f>
        <v>1.5716871101829102</v>
      </c>
      <c r="U162" s="19">
        <f>(M162-Settings!$D$25)/Settings!$E$25</f>
        <v>1.2762123913892738</v>
      </c>
      <c r="V162" s="31">
        <f>Settings!$B$18*(N162-F$6)^2</f>
        <v>0.13292650339354101</v>
      </c>
      <c r="W162" s="31">
        <f>Settings!$B$19*(O162-G$6)^2</f>
        <v>6.2757229137923535E-3</v>
      </c>
      <c r="X162" s="31">
        <f>Settings!$B$20*(P162-H$6)^2</f>
        <v>1.637518268935455</v>
      </c>
      <c r="Y162" s="31">
        <f>Settings!$B$21*(Q162-I$6)^2</f>
        <v>0.3964054227056375</v>
      </c>
      <c r="Z162" s="31">
        <f>Settings!$B$22*(R162-J$6)^2</f>
        <v>3.7035966963528504E-3</v>
      </c>
      <c r="AA162" s="31">
        <f>Settings!$B$23*(S162-K$6)^2</f>
        <v>1.9482034245547923</v>
      </c>
      <c r="AB162" s="31">
        <f>Settings!$B$24*(T162-L$6)^2</f>
        <v>2.0676363288666222E-3</v>
      </c>
      <c r="AC162" s="31">
        <f>Settings!$B$25*(U162-M$6)^2</f>
        <v>2.1261935111069832</v>
      </c>
      <c r="AD162" s="19">
        <f t="shared" si="8"/>
        <v>2.500658730541899</v>
      </c>
      <c r="AE162" s="15">
        <f t="shared" si="9"/>
        <v>0.98980606147111105</v>
      </c>
      <c r="AF162" s="33">
        <f t="shared" si="10"/>
        <v>0.61271338126171937</v>
      </c>
      <c r="AG162" s="47">
        <f t="shared" si="11"/>
        <v>2.6453286764514358E-3</v>
      </c>
      <c r="AH162" s="18">
        <v>-0.27532100811547439</v>
      </c>
      <c r="AI162" s="46">
        <v>1</v>
      </c>
      <c r="AJ162" s="18">
        <v>-0.69266058311835499</v>
      </c>
      <c r="AK162" s="46">
        <v>1</v>
      </c>
      <c r="AL162" s="18">
        <v>2.1936743156868669E-2</v>
      </c>
      <c r="AM162" s="46">
        <v>1</v>
      </c>
      <c r="AN162" s="18">
        <v>-0.72143364439938562</v>
      </c>
      <c r="AO162" s="46">
        <v>1</v>
      </c>
      <c r="AP162" s="48"/>
      <c r="AQ162" s="48"/>
    </row>
    <row r="163" spans="1:43" ht="20" customHeight="1" x14ac:dyDescent="0.45">
      <c r="A163" s="26">
        <v>153</v>
      </c>
      <c r="B163" s="16" t="s">
        <v>379</v>
      </c>
      <c r="C163" s="16" t="s">
        <v>271</v>
      </c>
      <c r="D163" s="46">
        <v>26</v>
      </c>
      <c r="E163" s="46">
        <v>1</v>
      </c>
      <c r="F163" s="13">
        <v>0.46380539632577411</v>
      </c>
      <c r="G163" s="13">
        <v>-0.26100467580208159</v>
      </c>
      <c r="H163" s="13">
        <v>0.1238539440799514</v>
      </c>
      <c r="I163" s="13">
        <v>7.1006924391723111E-2</v>
      </c>
      <c r="J163" s="13">
        <v>8.0329059400469804E-2</v>
      </c>
      <c r="K163" s="13">
        <v>18.351048218029369</v>
      </c>
      <c r="L163" s="13">
        <v>0.63824609216612949</v>
      </c>
      <c r="M163" s="13">
        <v>-0.6053955178692646</v>
      </c>
      <c r="N163" s="19">
        <f>(F163-Settings!$D$18)/Settings!$E$18</f>
        <v>0.97162053271863902</v>
      </c>
      <c r="O163" s="19">
        <f>(G163-Settings!$D$19)/Settings!$E$19</f>
        <v>-1.0597077592774806</v>
      </c>
      <c r="P163" s="19">
        <f>(H163-Settings!$D$20)/Settings!$E$20</f>
        <v>0.64079793947622865</v>
      </c>
      <c r="Q163" s="19">
        <f>(I163-Settings!$D$21)/Settings!$E$21</f>
        <v>0.90940311149118214</v>
      </c>
      <c r="R163" s="19">
        <f>(J163-Settings!$D$22)/Settings!$E$22</f>
        <v>-0.45075319063617592</v>
      </c>
      <c r="S163" s="19">
        <f>(K163-Settings!$D$23)/Settings!$E$23</f>
        <v>1.0751128477004246</v>
      </c>
      <c r="T163" s="19">
        <f>(L163-Settings!$D$24)/Settings!$E$24</f>
        <v>-0.46322273730022839</v>
      </c>
      <c r="U163" s="19">
        <f>(M163-Settings!$D$25)/Settings!$E$25</f>
        <v>-0.37231522183039911</v>
      </c>
      <c r="V163" s="31">
        <f>Settings!$B$18*(N163-F$6)^2</f>
        <v>0.171080865570956</v>
      </c>
      <c r="W163" s="31">
        <f>Settings!$B$19*(O163-G$6)^2</f>
        <v>0.48906375954660863</v>
      </c>
      <c r="X163" s="31">
        <f>Settings!$B$20*(P163-H$6)^2</f>
        <v>0.52535709419631216</v>
      </c>
      <c r="Y163" s="31">
        <f>Settings!$B$21*(Q163-I$6)^2</f>
        <v>0.62596881258596193</v>
      </c>
      <c r="Z163" s="31">
        <f>Settings!$B$22*(R163-J$6)^2</f>
        <v>7.2871397530675203E-2</v>
      </c>
      <c r="AA163" s="31">
        <f>Settings!$B$23*(S163-K$6)^2</f>
        <v>0.42605460203606199</v>
      </c>
      <c r="AB163" s="31">
        <f>Settings!$B$24*(T163-L$6)^2</f>
        <v>3.957865856489637</v>
      </c>
      <c r="AC163" s="31">
        <f>Settings!$B$25*(U163-M$6)^2</f>
        <v>3.6244668543417402E-2</v>
      </c>
      <c r="AD163" s="19">
        <f t="shared" si="8"/>
        <v>2.5108777462273286</v>
      </c>
      <c r="AE163" s="15">
        <f t="shared" si="9"/>
        <v>0.9938509331459896</v>
      </c>
      <c r="AF163" s="33">
        <f t="shared" si="10"/>
        <v>0.61026021020958565</v>
      </c>
      <c r="AG163" s="47">
        <f t="shared" si="11"/>
        <v>2.6347373560544722E-3</v>
      </c>
      <c r="AH163" s="18">
        <v>-0.32692780803881699</v>
      </c>
      <c r="AI163" s="46">
        <v>1</v>
      </c>
      <c r="AJ163" s="18">
        <v>-0.19581633858382999</v>
      </c>
      <c r="AK163" s="46">
        <v>1</v>
      </c>
      <c r="AL163" s="18">
        <v>1.240886948026932</v>
      </c>
      <c r="AM163" s="46">
        <v>1</v>
      </c>
      <c r="AN163" s="18">
        <v>1.04631502064938E-2</v>
      </c>
      <c r="AO163" s="46">
        <v>1</v>
      </c>
      <c r="AP163" s="18">
        <v>-0.92073990865780186</v>
      </c>
      <c r="AQ163" s="46">
        <v>1</v>
      </c>
    </row>
    <row r="164" spans="1:43" ht="20" customHeight="1" x14ac:dyDescent="0.45">
      <c r="A164" s="26">
        <v>154</v>
      </c>
      <c r="B164" s="16" t="s">
        <v>380</v>
      </c>
      <c r="C164" s="16" t="s">
        <v>220</v>
      </c>
      <c r="D164" s="46">
        <v>26</v>
      </c>
      <c r="E164" s="46">
        <v>1</v>
      </c>
      <c r="F164" s="13">
        <v>0.1721221731796532</v>
      </c>
      <c r="G164" s="13">
        <v>-8.8282730292823713E-2</v>
      </c>
      <c r="H164" s="13">
        <v>-1.980784823040127E-2</v>
      </c>
      <c r="I164" s="13">
        <v>-2.9344512834251669E-6</v>
      </c>
      <c r="J164" s="13">
        <v>0.71978431384583841</v>
      </c>
      <c r="K164" s="13">
        <v>15.52230576441103</v>
      </c>
      <c r="L164" s="13">
        <v>3.169409706616646</v>
      </c>
      <c r="M164" s="13">
        <v>-2.0551627692139571</v>
      </c>
      <c r="N164" s="19">
        <f>(F164-Settings!$D$18)/Settings!$E$18</f>
        <v>-7.2295539871080144E-2</v>
      </c>
      <c r="O164" s="19">
        <f>(G164-Settings!$D$19)/Settings!$E$19</f>
        <v>-0.34012611978745466</v>
      </c>
      <c r="P164" s="19">
        <f>(H164-Settings!$D$20)/Settings!$E$20</f>
        <v>-0.66080552475535215</v>
      </c>
      <c r="Q164" s="19">
        <f>(I164-Settings!$D$21)/Settings!$E$21</f>
        <v>3.6173038562744307E-2</v>
      </c>
      <c r="R164" s="19">
        <f>(J164-Settings!$D$22)/Settings!$E$22</f>
        <v>1.2697312773764675</v>
      </c>
      <c r="S164" s="19">
        <f>(K164-Settings!$D$23)/Settings!$E$23</f>
        <v>9.2755658114291026E-2</v>
      </c>
      <c r="T164" s="19">
        <f>(L164-Settings!$D$24)/Settings!$E$24</f>
        <v>1.2867091199251284</v>
      </c>
      <c r="U164" s="19">
        <f>(M164-Settings!$D$25)/Settings!$E$25</f>
        <v>-1.3500544029239745</v>
      </c>
      <c r="V164" s="31">
        <f>Settings!$B$18*(N164-F$6)^2</f>
        <v>2.8338835061639395E-3</v>
      </c>
      <c r="W164" s="31">
        <f>Settings!$B$19*(O164-G$6)^2</f>
        <v>0.1425245554271718</v>
      </c>
      <c r="X164" s="31">
        <f>Settings!$B$20*(P164-H$6)^2</f>
        <v>1.7080136931628787</v>
      </c>
      <c r="Y164" s="31">
        <f>Settings!$B$21*(Q164-I$6)^2</f>
        <v>0.16052967608091384</v>
      </c>
      <c r="Z164" s="31">
        <f>Settings!$B$22*(R164-J$6)^2</f>
        <v>0.24947729118456727</v>
      </c>
      <c r="AA164" s="31">
        <f>Settings!$B$23*(S164-K$6)^2</f>
        <v>2.6735054811356322</v>
      </c>
      <c r="AB164" s="31">
        <f>Settings!$B$24*(T164-L$6)^2</f>
        <v>5.7363469399152565E-2</v>
      </c>
      <c r="AC164" s="31">
        <f>Settings!$B$25*(U164-M$6)^2</f>
        <v>1.364503182947955</v>
      </c>
      <c r="AD164" s="19">
        <f t="shared" si="8"/>
        <v>2.5216564462361708</v>
      </c>
      <c r="AE164" s="15">
        <f t="shared" si="9"/>
        <v>0.99811733802292324</v>
      </c>
      <c r="AF164" s="33">
        <f t="shared" si="10"/>
        <v>0.60767255057385772</v>
      </c>
      <c r="AG164" s="47">
        <f t="shared" si="11"/>
        <v>2.623565394663338E-3</v>
      </c>
      <c r="AH164" s="18">
        <v>-1.588401994913841</v>
      </c>
      <c r="AI164" s="46">
        <v>1</v>
      </c>
      <c r="AJ164" s="18">
        <v>-1.16258424305192</v>
      </c>
      <c r="AK164" s="46">
        <v>1</v>
      </c>
      <c r="AL164" s="18">
        <v>-9.0563041494248153E-2</v>
      </c>
      <c r="AM164" s="46">
        <v>1</v>
      </c>
      <c r="AN164" s="18">
        <v>0.1776808151748891</v>
      </c>
      <c r="AO164" s="46">
        <v>1</v>
      </c>
      <c r="AP164" s="48"/>
      <c r="AQ164" s="48"/>
    </row>
    <row r="165" spans="1:43" ht="20" customHeight="1" x14ac:dyDescent="0.45">
      <c r="A165" s="26">
        <v>155</v>
      </c>
      <c r="B165" s="16" t="s">
        <v>381</v>
      </c>
      <c r="C165" s="16" t="s">
        <v>218</v>
      </c>
      <c r="D165" s="46">
        <v>26</v>
      </c>
      <c r="E165" s="46">
        <v>0</v>
      </c>
      <c r="F165" s="13">
        <v>-1.914081776117357E-2</v>
      </c>
      <c r="G165" s="13">
        <v>3.3712735816788388E-2</v>
      </c>
      <c r="H165" s="13">
        <v>1.074736240652161E-2</v>
      </c>
      <c r="I165" s="13">
        <v>6.2499162336329922E-4</v>
      </c>
      <c r="J165" s="13">
        <v>0.93577409239215303</v>
      </c>
      <c r="K165" s="13">
        <v>15.76679687500002</v>
      </c>
      <c r="L165" s="13">
        <v>1.8474939136904811</v>
      </c>
      <c r="M165" s="13">
        <v>-1.1826534760080301</v>
      </c>
      <c r="N165" s="19">
        <f>(F165-Settings!$D$18)/Settings!$E$18</f>
        <v>-0.75681386142942519</v>
      </c>
      <c r="O165" s="19">
        <f>(G165-Settings!$D$19)/Settings!$E$19</f>
        <v>0.16812254111475392</v>
      </c>
      <c r="P165" s="19">
        <f>(H165-Settings!$D$20)/Settings!$E$20</f>
        <v>-0.38396944067373601</v>
      </c>
      <c r="Q165" s="19">
        <f>(I165-Settings!$D$21)/Settings!$E$21</f>
        <v>4.3894838618278829E-2</v>
      </c>
      <c r="R165" s="19">
        <f>(J165-Settings!$D$22)/Settings!$E$22</f>
        <v>1.8508619454804276</v>
      </c>
      <c r="S165" s="19">
        <f>(K165-Settings!$D$23)/Settings!$E$23</f>
        <v>0.17766179722560319</v>
      </c>
      <c r="T165" s="19">
        <f>(L165-Settings!$D$24)/Settings!$E$24</f>
        <v>0.37279642561951198</v>
      </c>
      <c r="U165" s="19">
        <f>(M165-Settings!$D$25)/Settings!$E$25</f>
        <v>-0.76162441801126513</v>
      </c>
      <c r="V165" s="31">
        <f>Settings!$B$18*(N165-F$6)^2</f>
        <v>0.12913970463992128</v>
      </c>
      <c r="W165" s="31">
        <f>Settings!$B$19*(O165-G$6)^2</f>
        <v>2.2568612358752963E-2</v>
      </c>
      <c r="X165" s="31">
        <f>Settings!$B$20*(P165-H$6)^2</f>
        <v>1.3997377213162847</v>
      </c>
      <c r="Y165" s="31">
        <f>Settings!$B$21*(Q165-I$6)^2</f>
        <v>0.16330880553312427</v>
      </c>
      <c r="Z165" s="31">
        <f>Settings!$B$22*(R165-J$6)^2</f>
        <v>0.57663756213725348</v>
      </c>
      <c r="AA165" s="31">
        <f>Settings!$B$23*(S165-K$6)^2</f>
        <v>2.4030568935960379</v>
      </c>
      <c r="AB165" s="31">
        <f>Settings!$B$24*(T165-L$6)^2</f>
        <v>1.3303763475797781</v>
      </c>
      <c r="AC165" s="31">
        <f>Settings!$B$25*(U165-M$6)^2</f>
        <v>0.33603994217363237</v>
      </c>
      <c r="AD165" s="19">
        <f t="shared" si="8"/>
        <v>2.5220756509935987</v>
      </c>
      <c r="AE165" s="15">
        <f t="shared" si="9"/>
        <v>0.99828326686592439</v>
      </c>
      <c r="AF165" s="33">
        <f t="shared" si="10"/>
        <v>0.6075719099696405</v>
      </c>
      <c r="AG165" s="47">
        <f t="shared" si="11"/>
        <v>2.6231308889311427E-3</v>
      </c>
      <c r="AH165" s="18">
        <v>-6.0098453503671934E-3</v>
      </c>
      <c r="AI165" s="46">
        <v>0</v>
      </c>
      <c r="AJ165" s="18">
        <v>0.7000117933847303</v>
      </c>
      <c r="AK165" s="46">
        <v>0</v>
      </c>
      <c r="AL165" s="18">
        <v>-1.1208881037936851</v>
      </c>
      <c r="AM165" s="46">
        <v>0</v>
      </c>
      <c r="AN165" s="18">
        <v>-0.86612501217575522</v>
      </c>
      <c r="AO165" s="46">
        <v>0</v>
      </c>
      <c r="AP165" s="18">
        <v>-0.69049790384857723</v>
      </c>
      <c r="AQ165" s="46">
        <v>1</v>
      </c>
    </row>
    <row r="166" spans="1:43" ht="20" customHeight="1" x14ac:dyDescent="0.45">
      <c r="A166" s="26">
        <v>156</v>
      </c>
      <c r="B166" s="16" t="s">
        <v>382</v>
      </c>
      <c r="C166" s="16" t="s">
        <v>227</v>
      </c>
      <c r="D166" s="46">
        <v>26</v>
      </c>
      <c r="E166" s="46">
        <v>0</v>
      </c>
      <c r="F166" s="13">
        <v>0.48249070532641181</v>
      </c>
      <c r="G166" s="13">
        <v>-1.6062628660884131E-2</v>
      </c>
      <c r="H166" s="13">
        <v>-6.6326257613427586E-2</v>
      </c>
      <c r="I166" s="13">
        <v>5.2506708515156243E-2</v>
      </c>
      <c r="J166" s="13">
        <v>0.38261369988412031</v>
      </c>
      <c r="K166" s="13">
        <v>16.766053169734171</v>
      </c>
      <c r="L166" s="13">
        <v>1.5416506169843791</v>
      </c>
      <c r="M166" s="13">
        <v>8.6924494037842415E-2</v>
      </c>
      <c r="N166" s="19">
        <f>(F166-Settings!$D$18)/Settings!$E$18</f>
        <v>1.0384940888206278</v>
      </c>
      <c r="O166" s="19">
        <f>(G166-Settings!$D$19)/Settings!$E$19</f>
        <v>-3.9247971482542929E-2</v>
      </c>
      <c r="P166" s="19">
        <f>(H166-Settings!$D$20)/Settings!$E$20</f>
        <v>-1.0822712591705745</v>
      </c>
      <c r="Q166" s="19">
        <f>(I166-Settings!$D$21)/Settings!$E$21</f>
        <v>0.68190026720581631</v>
      </c>
      <c r="R166" s="19">
        <f>(J166-Settings!$D$22)/Settings!$E$22</f>
        <v>0.36255786632275777</v>
      </c>
      <c r="S166" s="19">
        <f>(K166-Settings!$D$23)/Settings!$E$23</f>
        <v>0.52468052426300527</v>
      </c>
      <c r="T166" s="19">
        <f>(L166-Settings!$D$24)/Settings!$E$24</f>
        <v>0.1613502254729359</v>
      </c>
      <c r="U166" s="19">
        <f>(M166-Settings!$D$25)/Settings!$E$25</f>
        <v>9.4593104915773954E-2</v>
      </c>
      <c r="V166" s="31">
        <f>Settings!$B$18*(N166-F$6)^2</f>
        <v>0.19671530489303699</v>
      </c>
      <c r="W166" s="31">
        <f>Settings!$B$19*(O166-G$6)^2</f>
        <v>5.9033179966177185E-2</v>
      </c>
      <c r="X166" s="31">
        <f>Settings!$B$20*(P166-H$6)^2</f>
        <v>2.2362067606667955</v>
      </c>
      <c r="Y166" s="31">
        <f>Settings!$B$21*(Q166-I$6)^2</f>
        <v>0.47532688438633042</v>
      </c>
      <c r="Z166" s="31">
        <f>Settings!$B$22*(R166-J$6)^2</f>
        <v>8.7940759850162805E-3</v>
      </c>
      <c r="AA166" s="31">
        <f>Settings!$B$23*(S166-K$6)^2</f>
        <v>1.4475961648823463</v>
      </c>
      <c r="AB166" s="31">
        <f>Settings!$B$24*(T166-L$6)^2</f>
        <v>1.8628581482150888</v>
      </c>
      <c r="AC166" s="31">
        <f>Settings!$B$25*(U166-M$6)^2</f>
        <v>7.646773517408742E-2</v>
      </c>
      <c r="AD166" s="19">
        <f t="shared" si="8"/>
        <v>2.5224984150973966</v>
      </c>
      <c r="AE166" s="15">
        <f t="shared" si="9"/>
        <v>0.99845060456274837</v>
      </c>
      <c r="AF166" s="33">
        <f t="shared" si="10"/>
        <v>0.60747041479705355</v>
      </c>
      <c r="AG166" s="47">
        <f t="shared" si="11"/>
        <v>2.6226926936855732E-3</v>
      </c>
      <c r="AH166" s="18">
        <v>0.105498479663753</v>
      </c>
      <c r="AI166" s="46">
        <v>0</v>
      </c>
      <c r="AJ166" s="18">
        <v>-0.27644879830909491</v>
      </c>
      <c r="AK166" s="46">
        <v>0</v>
      </c>
      <c r="AL166" s="18">
        <v>-0.81204654695008205</v>
      </c>
      <c r="AM166" s="46">
        <v>0</v>
      </c>
      <c r="AN166" s="18">
        <v>0.1875269577366582</v>
      </c>
      <c r="AO166" s="46">
        <v>1</v>
      </c>
      <c r="AP166" s="18">
        <v>-0.31079472718409412</v>
      </c>
      <c r="AQ166" s="46">
        <v>1</v>
      </c>
    </row>
    <row r="167" spans="1:43" ht="20" customHeight="1" x14ac:dyDescent="0.45">
      <c r="A167" s="26">
        <v>157</v>
      </c>
      <c r="B167" s="16" t="s">
        <v>383</v>
      </c>
      <c r="C167" s="16" t="s">
        <v>271</v>
      </c>
      <c r="D167" s="46">
        <v>26</v>
      </c>
      <c r="E167" s="46">
        <v>1</v>
      </c>
      <c r="F167" s="13">
        <v>-9.5581161611034055E-2</v>
      </c>
      <c r="G167" s="13">
        <v>-0.12777009253484869</v>
      </c>
      <c r="H167" s="13">
        <v>0.1385378586805405</v>
      </c>
      <c r="I167" s="13">
        <v>-1.080162094935863E-5</v>
      </c>
      <c r="J167" s="13">
        <v>0.63810008555262732</v>
      </c>
      <c r="K167" s="13">
        <v>15.12004219409283</v>
      </c>
      <c r="L167" s="13">
        <v>1.8903451503074811</v>
      </c>
      <c r="M167" s="13">
        <v>1.006226742367651</v>
      </c>
      <c r="N167" s="19">
        <f>(F167-Settings!$D$18)/Settings!$E$18</f>
        <v>-1.0303890869033254</v>
      </c>
      <c r="O167" s="19">
        <f>(G167-Settings!$D$19)/Settings!$E$19</f>
        <v>-0.50463550380044253</v>
      </c>
      <c r="P167" s="19">
        <f>(H167-Settings!$D$20)/Settings!$E$20</f>
        <v>0.77383702944747457</v>
      </c>
      <c r="Q167" s="19">
        <f>(I167-Settings!$D$21)/Settings!$E$21</f>
        <v>3.6076293557852634E-2</v>
      </c>
      <c r="R167" s="19">
        <f>(J167-Settings!$D$22)/Settings!$E$22</f>
        <v>1.0499560154123402</v>
      </c>
      <c r="S167" s="19">
        <f>(K167-Settings!$D$23)/Settings!$E$23</f>
        <v>-4.6941227300356596E-2</v>
      </c>
      <c r="T167" s="19">
        <f>(L167-Settings!$D$24)/Settings!$E$24</f>
        <v>0.40242182938617788</v>
      </c>
      <c r="U167" s="19">
        <f>(M167-Settings!$D$25)/Settings!$E$25</f>
        <v>0.71458077992069402</v>
      </c>
      <c r="V167" s="31">
        <f>Settings!$B$18*(N167-F$6)^2</f>
        <v>0.23204133755964054</v>
      </c>
      <c r="W167" s="31">
        <f>Settings!$B$19*(O167-G$6)^2</f>
        <v>0.20348676934013987</v>
      </c>
      <c r="X167" s="31">
        <f>Settings!$B$20*(P167-H$6)^2</f>
        <v>0.44264847232969706</v>
      </c>
      <c r="Y167" s="31">
        <f>Settings!$B$21*(Q167-I$6)^2</f>
        <v>0.1604950081629917</v>
      </c>
      <c r="Z167" s="31">
        <f>Settings!$B$22*(R167-J$6)^2</f>
        <v>0.16095384342310334</v>
      </c>
      <c r="AA167" s="31">
        <f>Settings!$B$23*(S167-K$6)^2</f>
        <v>3.1498534803421032</v>
      </c>
      <c r="AB167" s="31">
        <f>Settings!$B$24*(T167-L$6)^2</f>
        <v>1.2629129803472559</v>
      </c>
      <c r="AC167" s="31">
        <f>Settings!$B$25*(U167-M$6)^2</f>
        <v>0.80374035679420763</v>
      </c>
      <c r="AD167" s="19">
        <f t="shared" si="8"/>
        <v>2.5330085369574142</v>
      </c>
      <c r="AE167" s="15">
        <f t="shared" si="9"/>
        <v>1.002610701339165</v>
      </c>
      <c r="AF167" s="33">
        <f t="shared" si="10"/>
        <v>0.60494719290224419</v>
      </c>
      <c r="AG167" s="47">
        <f t="shared" si="11"/>
        <v>2.6117989357891088E-3</v>
      </c>
      <c r="AH167" s="48"/>
      <c r="AI167" s="48"/>
      <c r="AJ167" s="48"/>
      <c r="AK167" s="48"/>
      <c r="AL167" s="48"/>
      <c r="AM167" s="48"/>
      <c r="AN167" s="48"/>
      <c r="AO167" s="48"/>
      <c r="AP167" s="48"/>
      <c r="AQ167" s="48"/>
    </row>
    <row r="168" spans="1:43" ht="20" customHeight="1" x14ac:dyDescent="0.45">
      <c r="A168" s="26">
        <v>158</v>
      </c>
      <c r="B168" s="16" t="s">
        <v>384</v>
      </c>
      <c r="C168" s="16" t="s">
        <v>220</v>
      </c>
      <c r="D168" s="46">
        <v>26</v>
      </c>
      <c r="E168" s="46">
        <v>1</v>
      </c>
      <c r="F168" s="13">
        <v>0.23326122951286921</v>
      </c>
      <c r="G168" s="13">
        <v>-0.1030811218485755</v>
      </c>
      <c r="H168" s="13">
        <v>0.14769003823894139</v>
      </c>
      <c r="I168" s="13">
        <v>-1.9961706703538331E-2</v>
      </c>
      <c r="J168" s="13">
        <v>0.49600590369607561</v>
      </c>
      <c r="K168" s="13">
        <v>21.411519607843161</v>
      </c>
      <c r="L168" s="13">
        <v>6.0374679795012458</v>
      </c>
      <c r="M168" s="13">
        <v>2.030853517967238</v>
      </c>
      <c r="N168" s="19">
        <f>(F168-Settings!$D$18)/Settings!$E$18</f>
        <v>0.1465173314377346</v>
      </c>
      <c r="O168" s="19">
        <f>(G168-Settings!$D$19)/Settings!$E$19</f>
        <v>-0.40177810515680923</v>
      </c>
      <c r="P168" s="19">
        <f>(H168-Settings!$D$20)/Settings!$E$20</f>
        <v>0.85675753619396888</v>
      </c>
      <c r="Q168" s="19">
        <f>(I168-Settings!$D$21)/Settings!$E$21</f>
        <v>-0.2092661220463618</v>
      </c>
      <c r="R168" s="19">
        <f>(J168-Settings!$D$22)/Settings!$E$22</f>
        <v>0.667644929250099</v>
      </c>
      <c r="S168" s="19">
        <f>(K168-Settings!$D$23)/Settings!$E$23</f>
        <v>2.1379441667767014</v>
      </c>
      <c r="T168" s="19">
        <f>(L168-Settings!$D$24)/Settings!$E$24</f>
        <v>3.2695546821188777</v>
      </c>
      <c r="U168" s="19">
        <f>(M168-Settings!$D$25)/Settings!$E$25</f>
        <v>1.4056004891685621</v>
      </c>
      <c r="V168" s="31">
        <f>Settings!$B$18*(N168-F$6)^2</f>
        <v>1.9911102519278826E-3</v>
      </c>
      <c r="W168" s="31">
        <f>Settings!$B$19*(O168-G$6)^2</f>
        <v>0.16410264838972746</v>
      </c>
      <c r="X168" s="31">
        <f>Settings!$B$20*(P168-H$6)^2</f>
        <v>0.39467939879150477</v>
      </c>
      <c r="Y168" s="31">
        <f>Settings!$B$21*(Q168-I$6)^2</f>
        <v>8.4621540837954146E-2</v>
      </c>
      <c r="Z168" s="31">
        <f>Settings!$B$22*(R168-J$6)^2</f>
        <v>5.2999322455462142E-2</v>
      </c>
      <c r="AA168" s="31">
        <f>Settings!$B$23*(S168-K$6)^2</f>
        <v>0.16818425478383769</v>
      </c>
      <c r="AB168" s="31">
        <f>Settings!$B$24*(T168-L$6)^2</f>
        <v>3.0392303152512992</v>
      </c>
      <c r="AC168" s="31">
        <f>Settings!$B$25*(U168-M$6)^2</f>
        <v>2.5202685984941224</v>
      </c>
      <c r="AD168" s="19">
        <f t="shared" si="8"/>
        <v>2.534970845839422</v>
      </c>
      <c r="AE168" s="15">
        <f t="shared" si="9"/>
        <v>1.0033874187705232</v>
      </c>
      <c r="AF168" s="33">
        <f t="shared" si="10"/>
        <v>0.60447609422282966</v>
      </c>
      <c r="AG168" s="47">
        <f t="shared" si="11"/>
        <v>2.6097650144088912E-3</v>
      </c>
      <c r="AH168" s="18">
        <v>1.264003582178592</v>
      </c>
      <c r="AI168" s="46">
        <v>1</v>
      </c>
      <c r="AJ168" s="18">
        <v>-1.499602801127716</v>
      </c>
      <c r="AK168" s="46">
        <v>1</v>
      </c>
      <c r="AL168" s="18">
        <v>1.0621176860688351</v>
      </c>
      <c r="AM168" s="46">
        <v>1</v>
      </c>
      <c r="AN168" s="18">
        <v>1.2574671948101801</v>
      </c>
      <c r="AO168" s="46">
        <v>1</v>
      </c>
      <c r="AP168" s="48"/>
      <c r="AQ168" s="48"/>
    </row>
    <row r="169" spans="1:43" ht="20" customHeight="1" x14ac:dyDescent="0.45">
      <c r="A169" s="26">
        <v>159</v>
      </c>
      <c r="B169" s="16" t="s">
        <v>385</v>
      </c>
      <c r="C169" s="16" t="s">
        <v>220</v>
      </c>
      <c r="D169" s="46">
        <v>26</v>
      </c>
      <c r="E169" s="46">
        <v>1</v>
      </c>
      <c r="F169" s="13">
        <v>6.9951956472846799E-2</v>
      </c>
      <c r="G169" s="13">
        <v>-0.25744321091941608</v>
      </c>
      <c r="H169" s="13">
        <v>1.955018706044321E-2</v>
      </c>
      <c r="I169" s="13">
        <v>-2.0332050073083308E-5</v>
      </c>
      <c r="J169" s="13">
        <v>0.65303431349722085</v>
      </c>
      <c r="K169" s="13">
        <v>16.7358527131783</v>
      </c>
      <c r="L169" s="13">
        <v>1.53740069781514</v>
      </c>
      <c r="M169" s="13">
        <v>-1.7742680874556109</v>
      </c>
      <c r="N169" s="19">
        <f>(F169-Settings!$D$18)/Settings!$E$18</f>
        <v>-0.43795637634222384</v>
      </c>
      <c r="O169" s="19">
        <f>(G169-Settings!$D$19)/Settings!$E$19</f>
        <v>-1.0448702426451935</v>
      </c>
      <c r="P169" s="19">
        <f>(H169-Settings!$D$20)/Settings!$E$20</f>
        <v>-0.30421415654213296</v>
      </c>
      <c r="Q169" s="19">
        <f>(I169-Settings!$D$21)/Settings!$E$21</f>
        <v>3.5959094939881163E-2</v>
      </c>
      <c r="R169" s="19">
        <f>(J169-Settings!$D$22)/Settings!$E$22</f>
        <v>1.0901372588094553</v>
      </c>
      <c r="S169" s="19">
        <f>(K169-Settings!$D$23)/Settings!$E$23</f>
        <v>0.51419260034879566</v>
      </c>
      <c r="T169" s="19">
        <f>(L169-Settings!$D$24)/Settings!$E$24</f>
        <v>0.15841202388753631</v>
      </c>
      <c r="U169" s="19">
        <f>(M169-Settings!$D$25)/Settings!$E$25</f>
        <v>-1.1606159010808617</v>
      </c>
      <c r="V169" s="31">
        <f>Settings!$B$18*(N169-F$6)^2</f>
        <v>4.6986081063741914E-2</v>
      </c>
      <c r="W169" s="31">
        <f>Settings!$B$19*(O169-G$6)^2</f>
        <v>0.47982691428710417</v>
      </c>
      <c r="X169" s="31">
        <f>Settings!$B$20*(P169-H$6)^2</f>
        <v>1.3166127500365685</v>
      </c>
      <c r="Y169" s="31">
        <f>Settings!$B$21*(Q169-I$6)^2</f>
        <v>0.16045301584599184</v>
      </c>
      <c r="Z169" s="31">
        <f>Settings!$B$22*(R169-J$6)^2</f>
        <v>0.17569521533645244</v>
      </c>
      <c r="AA169" s="31">
        <f>Settings!$B$23*(S169-K$6)^2</f>
        <v>1.4729434815003752</v>
      </c>
      <c r="AB169" s="31">
        <f>Settings!$B$24*(T169-L$6)^2</f>
        <v>1.8708872818739417</v>
      </c>
      <c r="AC169" s="31">
        <f>Settings!$B$25*(U169-M$6)^2</f>
        <v>0.95781651011799906</v>
      </c>
      <c r="AD169" s="19">
        <f t="shared" si="8"/>
        <v>2.5458242771374016</v>
      </c>
      <c r="AE169" s="15">
        <f t="shared" si="9"/>
        <v>1.0076834036465452</v>
      </c>
      <c r="AF169" s="33">
        <f t="shared" si="10"/>
        <v>0.60187053135797641</v>
      </c>
      <c r="AG169" s="47">
        <f t="shared" si="11"/>
        <v>2.5985157576185465E-3</v>
      </c>
      <c r="AH169" s="18">
        <v>-1.348245233816689</v>
      </c>
      <c r="AI169" s="46">
        <v>1</v>
      </c>
      <c r="AJ169" s="18">
        <v>0.35860354021972951</v>
      </c>
      <c r="AK169" s="46">
        <v>1</v>
      </c>
      <c r="AL169" s="18">
        <v>-0.43447720236646592</v>
      </c>
      <c r="AM169" s="46">
        <v>1</v>
      </c>
      <c r="AN169" s="18">
        <v>-1.36105355733615</v>
      </c>
      <c r="AO169" s="46">
        <v>1</v>
      </c>
      <c r="AP169" s="48"/>
      <c r="AQ169" s="48"/>
    </row>
    <row r="170" spans="1:43" ht="20" customHeight="1" x14ac:dyDescent="0.45">
      <c r="A170" s="26">
        <v>160</v>
      </c>
      <c r="B170" s="16" t="s">
        <v>386</v>
      </c>
      <c r="C170" s="16" t="s">
        <v>260</v>
      </c>
      <c r="D170" s="46">
        <v>26</v>
      </c>
      <c r="E170" s="46">
        <v>1</v>
      </c>
      <c r="F170" s="13">
        <v>0.1847949988608541</v>
      </c>
      <c r="G170" s="13">
        <v>-0.36012772736167348</v>
      </c>
      <c r="H170" s="13">
        <v>0.23610445444523639</v>
      </c>
      <c r="I170" s="13">
        <v>7.42997898526315E-3</v>
      </c>
      <c r="J170" s="13">
        <v>0.21154284034697279</v>
      </c>
      <c r="K170" s="13">
        <v>17.276527777777812</v>
      </c>
      <c r="L170" s="13">
        <v>0.4944697814694583</v>
      </c>
      <c r="M170" s="13">
        <v>-0.44708519612326669</v>
      </c>
      <c r="N170" s="19">
        <f>(F170-Settings!$D$18)/Settings!$E$18</f>
        <v>-2.6940286761078597E-2</v>
      </c>
      <c r="O170" s="19">
        <f>(G170-Settings!$D$19)/Settings!$E$19</f>
        <v>-1.4726670259311923</v>
      </c>
      <c r="P170" s="19">
        <f>(H170-Settings!$D$20)/Settings!$E$20</f>
        <v>1.6578091489534554</v>
      </c>
      <c r="Q170" s="19">
        <f>(I170-Settings!$D$21)/Settings!$E$21</f>
        <v>0.12757786104825708</v>
      </c>
      <c r="R170" s="19">
        <f>(J170-Settings!$D$22)/Settings!$E$22</f>
        <v>-9.7716335378059294E-2</v>
      </c>
      <c r="S170" s="19">
        <f>(K170-Settings!$D$23)/Settings!$E$23</f>
        <v>0.70195661409274168</v>
      </c>
      <c r="T170" s="19">
        <f>(L170-Settings!$D$24)/Settings!$E$24</f>
        <v>-0.56262316521648326</v>
      </c>
      <c r="U170" s="19">
        <f>(M170-Settings!$D$25)/Settings!$E$25</f>
        <v>-0.26554897766325808</v>
      </c>
      <c r="V170" s="31">
        <f>Settings!$B$18*(N170-F$6)^2</f>
        <v>1.085751704602188E-3</v>
      </c>
      <c r="W170" s="31">
        <f>Settings!$B$19*(O170-G$6)^2</f>
        <v>0.78147710212001043</v>
      </c>
      <c r="X170" s="31">
        <f>Settings!$B$20*(P170-H$6)^2</f>
        <v>7.2896746090151079E-2</v>
      </c>
      <c r="Y170" s="31">
        <f>Settings!$B$21*(Q170-I$6)^2</f>
        <v>0.19495671267641251</v>
      </c>
      <c r="Z170" s="31">
        <f>Settings!$B$22*(R170-J$6)^2</f>
        <v>1.2558372792650383E-2</v>
      </c>
      <c r="AA170" s="31">
        <f>Settings!$B$23*(S170-K$6)^2</f>
        <v>1.0524396553287161</v>
      </c>
      <c r="AB170" s="31">
        <f>Settings!$B$24*(T170-L$6)^2</f>
        <v>4.3632483935348993</v>
      </c>
      <c r="AC170" s="31">
        <f>Settings!$B$25*(U170-M$6)^2</f>
        <v>6.9913146875820124E-3</v>
      </c>
      <c r="AD170" s="19">
        <f t="shared" si="8"/>
        <v>2.5466947302209237</v>
      </c>
      <c r="AE170" s="15">
        <f t="shared" si="9"/>
        <v>1.0080279447579625</v>
      </c>
      <c r="AF170" s="33">
        <f t="shared" si="10"/>
        <v>0.60166156947462324</v>
      </c>
      <c r="AG170" s="47">
        <f t="shared" si="11"/>
        <v>2.5976135856092112E-3</v>
      </c>
      <c r="AH170" s="18">
        <v>-0.51749524353123155</v>
      </c>
      <c r="AI170" s="46">
        <v>1</v>
      </c>
      <c r="AJ170" s="18">
        <v>-0.5838622322660868</v>
      </c>
      <c r="AK170" s="46">
        <v>1</v>
      </c>
      <c r="AL170" s="18">
        <v>1.050061628114578</v>
      </c>
      <c r="AM170" s="46">
        <v>1</v>
      </c>
      <c r="AN170" s="18">
        <v>1.758820855641124</v>
      </c>
      <c r="AO170" s="46">
        <v>1</v>
      </c>
      <c r="AP170" s="18">
        <v>-0.87591986386467835</v>
      </c>
      <c r="AQ170" s="46">
        <v>1</v>
      </c>
    </row>
    <row r="171" spans="1:43" ht="20" customHeight="1" x14ac:dyDescent="0.45">
      <c r="A171" s="26">
        <v>161</v>
      </c>
      <c r="B171" s="16" t="s">
        <v>387</v>
      </c>
      <c r="C171" s="16" t="s">
        <v>236</v>
      </c>
      <c r="D171" s="46">
        <v>26</v>
      </c>
      <c r="E171" s="46">
        <v>0</v>
      </c>
      <c r="F171" s="13">
        <v>0.46551405569220949</v>
      </c>
      <c r="G171" s="13">
        <v>0.14014739879052401</v>
      </c>
      <c r="H171" s="13">
        <v>0.12668033848576871</v>
      </c>
      <c r="I171" s="13">
        <v>2.5323237923565939E-3</v>
      </c>
      <c r="J171" s="13">
        <v>0.26512588323914132</v>
      </c>
      <c r="K171" s="13">
        <v>18.784234234234258</v>
      </c>
      <c r="L171" s="13">
        <v>4.2406788302666314</v>
      </c>
      <c r="M171" s="13">
        <v>3.0392073948480109</v>
      </c>
      <c r="N171" s="19">
        <f>(F171-Settings!$D$18)/Settings!$E$18</f>
        <v>0.97773571807610915</v>
      </c>
      <c r="O171" s="19">
        <f>(G171-Settings!$D$19)/Settings!$E$19</f>
        <v>0.61154291283065665</v>
      </c>
      <c r="P171" s="19">
        <f>(H171-Settings!$D$20)/Settings!$E$20</f>
        <v>0.66640561630340589</v>
      </c>
      <c r="Q171" s="19">
        <f>(I171-Settings!$D$21)/Settings!$E$21</f>
        <v>6.7349888891101647E-2</v>
      </c>
      <c r="R171" s="19">
        <f>(J171-Settings!$D$22)/Settings!$E$22</f>
        <v>4.6451364244318769E-2</v>
      </c>
      <c r="S171" s="19">
        <f>(K171-Settings!$D$23)/Settings!$E$23</f>
        <v>1.2255483873172324</v>
      </c>
      <c r="T171" s="19">
        <f>(L171-Settings!$D$24)/Settings!$E$24</f>
        <v>2.0273360617927176</v>
      </c>
      <c r="U171" s="19">
        <f>(M171-Settings!$D$25)/Settings!$E$25</f>
        <v>2.0856455742810081</v>
      </c>
      <c r="V171" s="31">
        <f>Settings!$B$18*(N171-F$6)^2</f>
        <v>0.17335067145959154</v>
      </c>
      <c r="W171" s="31">
        <f>Settings!$B$19*(O171-G$6)^2</f>
        <v>2.3112137961002984E-3</v>
      </c>
      <c r="X171" s="31">
        <f>Settings!$B$20*(P171-H$6)^2</f>
        <v>0.50888693042059641</v>
      </c>
      <c r="Y171" s="31">
        <f>Settings!$B$21*(Q171-I$6)^2</f>
        <v>0.17189669189237577</v>
      </c>
      <c r="Z171" s="31">
        <f>Settings!$B$22*(R171-J$6)^2</f>
        <v>2.2648452756188621E-3</v>
      </c>
      <c r="AA171" s="31">
        <f>Settings!$B$23*(S171-K$6)^2</f>
        <v>0.25229830063920805</v>
      </c>
      <c r="AB171" s="31">
        <f>Settings!$B$24*(T171-L$6)^2</f>
        <v>0.2511214757728833</v>
      </c>
      <c r="AC171" s="31">
        <f>Settings!$B$25*(U171-M$6)^2</f>
        <v>5.1419211882454441</v>
      </c>
      <c r="AD171" s="19">
        <f t="shared" si="8"/>
        <v>2.5503041617622433</v>
      </c>
      <c r="AE171" s="15">
        <f t="shared" si="9"/>
        <v>1.0094566231995383</v>
      </c>
      <c r="AF171" s="33">
        <f t="shared" si="10"/>
        <v>0.60079509837607514</v>
      </c>
      <c r="AG171" s="47">
        <f t="shared" si="11"/>
        <v>2.5938726833955438E-3</v>
      </c>
      <c r="AH171" s="18">
        <v>-0.64518923290719465</v>
      </c>
      <c r="AI171" s="46">
        <v>1</v>
      </c>
      <c r="AJ171" s="18">
        <v>-2.8000109194524518</v>
      </c>
      <c r="AK171" s="46">
        <v>1</v>
      </c>
      <c r="AL171" s="18">
        <v>0.20820255234398799</v>
      </c>
      <c r="AM171" s="46">
        <v>1</v>
      </c>
      <c r="AN171" s="18">
        <v>0.81555035032648937</v>
      </c>
      <c r="AO171" s="46">
        <v>1</v>
      </c>
      <c r="AP171" s="18">
        <v>-0.45772889262783839</v>
      </c>
      <c r="AQ171" s="46">
        <v>1</v>
      </c>
    </row>
    <row r="172" spans="1:43" ht="20" customHeight="1" x14ac:dyDescent="0.45">
      <c r="A172" s="26">
        <v>162</v>
      </c>
      <c r="B172" s="16" t="s">
        <v>388</v>
      </c>
      <c r="C172" s="16" t="s">
        <v>232</v>
      </c>
      <c r="D172" s="46">
        <v>26</v>
      </c>
      <c r="E172" s="46">
        <v>0</v>
      </c>
      <c r="F172" s="13">
        <v>0.14416589702618149</v>
      </c>
      <c r="G172" s="13">
        <v>-0.21367931941201659</v>
      </c>
      <c r="H172" s="13">
        <v>2.3093423234483369E-2</v>
      </c>
      <c r="I172" s="13">
        <v>-1.1600352037383129E-3</v>
      </c>
      <c r="J172" s="13">
        <v>0.61790132512358009</v>
      </c>
      <c r="K172" s="13">
        <v>17.698533333333341</v>
      </c>
      <c r="L172" s="13">
        <v>1.787830314374141</v>
      </c>
      <c r="M172" s="13">
        <v>-2.6031310986669198</v>
      </c>
      <c r="N172" s="19">
        <f>(F172-Settings!$D$18)/Settings!$E$18</f>
        <v>-0.17234930947628591</v>
      </c>
      <c r="O172" s="19">
        <f>(G172-Settings!$D$19)/Settings!$E$19</f>
        <v>-0.86254429264209898</v>
      </c>
      <c r="P172" s="19">
        <f>(H172-Settings!$D$20)/Settings!$E$20</f>
        <v>-0.27211175544749638</v>
      </c>
      <c r="Q172" s="19">
        <f>(I172-Settings!$D$21)/Settings!$E$21</f>
        <v>2.1943814749109818E-2</v>
      </c>
      <c r="R172" s="19">
        <f>(J172-Settings!$D$22)/Settings!$E$22</f>
        <v>0.99561029950853397</v>
      </c>
      <c r="S172" s="19">
        <f>(K172-Settings!$D$23)/Settings!$E$23</f>
        <v>0.84850943689037273</v>
      </c>
      <c r="T172" s="19">
        <f>(L172-Settings!$D$24)/Settings!$E$24</f>
        <v>0.33154771590974552</v>
      </c>
      <c r="U172" s="19">
        <f>(M172-Settings!$D$25)/Settings!$E$25</f>
        <v>-1.7196103473058157</v>
      </c>
      <c r="V172" s="31">
        <f>Settings!$B$18*(N172-F$6)^2</f>
        <v>9.6000095632783229E-3</v>
      </c>
      <c r="W172" s="31">
        <f>Settings!$B$19*(O172-G$6)^2</f>
        <v>0.37351257827418211</v>
      </c>
      <c r="X172" s="31">
        <f>Settings!$B$20*(P172-H$6)^2</f>
        <v>1.2838721919273111</v>
      </c>
      <c r="Y172" s="31">
        <f>Settings!$B$21*(Q172-I$6)^2</f>
        <v>0.155470948843632</v>
      </c>
      <c r="Z172" s="31">
        <f>Settings!$B$22*(R172-J$6)^2</f>
        <v>0.14204335063539952</v>
      </c>
      <c r="AA172" s="31">
        <f>Settings!$B$23*(S172-K$6)^2</f>
        <v>0.77322475395156043</v>
      </c>
      <c r="AB172" s="31">
        <f>Settings!$B$24*(T172-L$6)^2</f>
        <v>1.4272319289027342</v>
      </c>
      <c r="AC172" s="31">
        <f>Settings!$B$25*(U172-M$6)^2</f>
        <v>2.3644457941957309</v>
      </c>
      <c r="AD172" s="19">
        <f t="shared" si="8"/>
        <v>2.5552693705936029</v>
      </c>
      <c r="AE172" s="15">
        <f t="shared" si="9"/>
        <v>1.0114219428722009</v>
      </c>
      <c r="AF172" s="33">
        <f t="shared" si="10"/>
        <v>0.59960320156795388</v>
      </c>
      <c r="AG172" s="47">
        <f t="shared" si="11"/>
        <v>2.5887267882636284E-3</v>
      </c>
      <c r="AH172" s="18">
        <v>-1.5802188991173549</v>
      </c>
      <c r="AI172" s="46">
        <v>0</v>
      </c>
      <c r="AJ172" s="18">
        <v>0.43530671206859561</v>
      </c>
      <c r="AK172" s="46">
        <v>0</v>
      </c>
      <c r="AL172" s="18">
        <v>-0.67313183406389232</v>
      </c>
      <c r="AM172" s="46">
        <v>1</v>
      </c>
      <c r="AN172" s="18">
        <v>-0.54224703883554426</v>
      </c>
      <c r="AO172" s="46">
        <v>1</v>
      </c>
      <c r="AP172" s="48"/>
      <c r="AQ172" s="48"/>
    </row>
    <row r="173" spans="1:43" ht="20" customHeight="1" x14ac:dyDescent="0.45">
      <c r="A173" s="26">
        <v>163</v>
      </c>
      <c r="B173" s="16" t="s">
        <v>389</v>
      </c>
      <c r="C173" s="16" t="s">
        <v>224</v>
      </c>
      <c r="D173" s="46">
        <v>26</v>
      </c>
      <c r="E173" s="46">
        <v>0</v>
      </c>
      <c r="F173" s="13">
        <v>0.13782607074237141</v>
      </c>
      <c r="G173" s="13">
        <v>-3.5561939714533038E-2</v>
      </c>
      <c r="H173" s="13">
        <v>9.5357299491762762E-2</v>
      </c>
      <c r="I173" s="13">
        <v>-3.2725093191916182E-5</v>
      </c>
      <c r="J173" s="13">
        <v>0.73122196495814096</v>
      </c>
      <c r="K173" s="13">
        <v>14.77708333333331</v>
      </c>
      <c r="L173" s="13">
        <v>2.7625595038490638</v>
      </c>
      <c r="M173" s="13">
        <v>1.475828845113911</v>
      </c>
      <c r="N173" s="19">
        <f>(F173-Settings!$D$18)/Settings!$E$18</f>
        <v>-0.19503915253174553</v>
      </c>
      <c r="O173" s="19">
        <f>(G173-Settings!$D$19)/Settings!$E$19</f>
        <v>-0.1204845866418979</v>
      </c>
      <c r="P173" s="19">
        <f>(H173-Settings!$D$20)/Settings!$E$20</f>
        <v>0.3826128596546291</v>
      </c>
      <c r="Q173" s="19">
        <f>(I173-Settings!$D$21)/Settings!$E$21</f>
        <v>3.5806693877228866E-2</v>
      </c>
      <c r="R173" s="19">
        <f>(J173-Settings!$D$22)/Settings!$E$22</f>
        <v>1.3005048161854216</v>
      </c>
      <c r="S173" s="19">
        <f>(K173-Settings!$D$23)/Settings!$E$23</f>
        <v>-0.16604295116653384</v>
      </c>
      <c r="T173" s="19">
        <f>(L173-Settings!$D$24)/Settings!$E$24</f>
        <v>1.0054313207038617</v>
      </c>
      <c r="U173" s="19">
        <f>(M173-Settings!$D$25)/Settings!$E$25</f>
        <v>1.0312856682074714</v>
      </c>
      <c r="V173" s="31">
        <f>Settings!$B$18*(N173-F$6)^2</f>
        <v>1.1691414568106752E-2</v>
      </c>
      <c r="W173" s="31">
        <f>Settings!$B$19*(O173-G$6)^2</f>
        <v>7.8007129849113788E-2</v>
      </c>
      <c r="X173" s="31">
        <f>Settings!$B$20*(P173-H$6)^2</f>
        <v>0.70606895191340857</v>
      </c>
      <c r="Y173" s="31">
        <f>Settings!$B$21*(Q173-I$6)^2</f>
        <v>0.16039841869484511</v>
      </c>
      <c r="Z173" s="31">
        <f>Settings!$B$22*(R173-J$6)^2</f>
        <v>0.26341464333341108</v>
      </c>
      <c r="AA173" s="31">
        <f>Settings!$B$23*(S173-K$6)^2</f>
        <v>3.5867980488935944</v>
      </c>
      <c r="AB173" s="31">
        <f>Settings!$B$24*(T173-L$6)^2</f>
        <v>0.271216516491181</v>
      </c>
      <c r="AC173" s="31">
        <f>Settings!$B$25*(U173-M$6)^2</f>
        <v>1.471904136905267</v>
      </c>
      <c r="AD173" s="19">
        <f t="shared" si="8"/>
        <v>2.5591989490168459</v>
      </c>
      <c r="AE173" s="15">
        <f t="shared" si="9"/>
        <v>1.0129773412537741</v>
      </c>
      <c r="AF173" s="33">
        <f t="shared" si="10"/>
        <v>0.59865994478007367</v>
      </c>
      <c r="AG173" s="47">
        <f t="shared" si="11"/>
        <v>2.5846543715243391E-3</v>
      </c>
      <c r="AH173" s="18">
        <v>-0.29827566580002651</v>
      </c>
      <c r="AI173" s="46">
        <v>0</v>
      </c>
      <c r="AJ173" s="18">
        <v>-1.3168326701923729</v>
      </c>
      <c r="AK173" s="46">
        <v>1</v>
      </c>
      <c r="AL173" s="18">
        <v>0.1383624361722362</v>
      </c>
      <c r="AM173" s="46">
        <v>1</v>
      </c>
      <c r="AN173" s="18">
        <v>0.79545961221263339</v>
      </c>
      <c r="AO173" s="46">
        <v>1</v>
      </c>
      <c r="AP173" s="18">
        <v>0.42651102535867569</v>
      </c>
      <c r="AQ173" s="46">
        <v>1</v>
      </c>
    </row>
    <row r="174" spans="1:43" ht="20" customHeight="1" x14ac:dyDescent="0.45">
      <c r="A174" s="26">
        <v>164</v>
      </c>
      <c r="B174" s="16" t="s">
        <v>390</v>
      </c>
      <c r="C174" s="16" t="s">
        <v>271</v>
      </c>
      <c r="D174" s="46">
        <v>26</v>
      </c>
      <c r="E174" s="46">
        <v>1</v>
      </c>
      <c r="F174" s="13">
        <v>0.19356714281293491</v>
      </c>
      <c r="G174" s="13">
        <v>2.3021336878650489E-2</v>
      </c>
      <c r="H174" s="13">
        <v>-0.20286039105075951</v>
      </c>
      <c r="I174" s="13">
        <v>-2.3800070735276211E-2</v>
      </c>
      <c r="J174" s="13">
        <v>0.55675105852237905</v>
      </c>
      <c r="K174" s="13">
        <v>19.93399558498901</v>
      </c>
      <c r="L174" s="13">
        <v>1.5117464512813801</v>
      </c>
      <c r="M174" s="13">
        <v>0.45021932053121572</v>
      </c>
      <c r="N174" s="19">
        <f>(F174-Settings!$D$18)/Settings!$E$18</f>
        <v>4.4546696024569234E-3</v>
      </c>
      <c r="O174" s="19">
        <f>(G174-Settings!$D$19)/Settings!$E$19</f>
        <v>0.12358081045242285</v>
      </c>
      <c r="P174" s="19">
        <f>(H174-Settings!$D$20)/Settings!$E$20</f>
        <v>-2.319296763376828</v>
      </c>
      <c r="Q174" s="19">
        <f>(I174-Settings!$D$21)/Settings!$E$21</f>
        <v>-0.25646766501479235</v>
      </c>
      <c r="R174" s="19">
        <f>(J174-Settings!$D$22)/Settings!$E$22</f>
        <v>0.83108262822768586</v>
      </c>
      <c r="S174" s="19">
        <f>(K174-Settings!$D$23)/Settings!$E$23</f>
        <v>1.6248340585091936</v>
      </c>
      <c r="T174" s="19">
        <f>(L174-Settings!$D$24)/Settings!$E$24</f>
        <v>0.1406758400129568</v>
      </c>
      <c r="U174" s="19">
        <f>(M174-Settings!$D$25)/Settings!$E$25</f>
        <v>0.33960318210002549</v>
      </c>
      <c r="V174" s="31">
        <f>Settings!$B$18*(N174-F$6)^2</f>
        <v>3.5760683367176742E-4</v>
      </c>
      <c r="W174" s="31">
        <f>Settings!$B$19*(O174-G$6)^2</f>
        <v>2.8950410402059423E-2</v>
      </c>
      <c r="X174" s="31">
        <f>Settings!$B$20*(P174-H$6)^2</f>
        <v>4.1968021491669587</v>
      </c>
      <c r="Y174" s="31">
        <f>Settings!$B$21*(Q174-I$6)^2</f>
        <v>7.2785913946128517E-2</v>
      </c>
      <c r="Z174" s="31">
        <f>Settings!$B$22*(R174-J$6)^2</f>
        <v>9.1995365626291847E-2</v>
      </c>
      <c r="AA174" s="31">
        <f>Settings!$B$23*(S174-K$6)^2</f>
        <v>1.0610518563336E-2</v>
      </c>
      <c r="AB174" s="31">
        <f>Settings!$B$24*(T174-L$6)^2</f>
        <v>1.919721094098664</v>
      </c>
      <c r="AC174" s="31">
        <f>Settings!$B$25*(U174-M$6)^2</f>
        <v>0.27200196668876009</v>
      </c>
      <c r="AD174" s="19">
        <f t="shared" si="8"/>
        <v>2.567727599517883</v>
      </c>
      <c r="AE174" s="15">
        <f t="shared" si="9"/>
        <v>1.0163531357430389</v>
      </c>
      <c r="AF174" s="33">
        <f t="shared" si="10"/>
        <v>0.59661286201976804</v>
      </c>
      <c r="AG174" s="47">
        <f t="shared" si="11"/>
        <v>2.5758162966682705E-3</v>
      </c>
      <c r="AH174" s="18">
        <v>0.1240762585185879</v>
      </c>
      <c r="AI174" s="46">
        <v>1</v>
      </c>
      <c r="AJ174" s="18">
        <v>0.44046265196646051</v>
      </c>
      <c r="AK174" s="46">
        <v>1</v>
      </c>
      <c r="AL174" s="18">
        <v>1.1745553656027461</v>
      </c>
      <c r="AM174" s="46">
        <v>1</v>
      </c>
      <c r="AN174" s="48"/>
      <c r="AO174" s="48"/>
      <c r="AP174" s="48"/>
      <c r="AQ174" s="48"/>
    </row>
    <row r="175" spans="1:43" ht="20" customHeight="1" x14ac:dyDescent="0.45">
      <c r="A175" s="26">
        <v>165</v>
      </c>
      <c r="B175" s="16" t="s">
        <v>391</v>
      </c>
      <c r="C175" s="16" t="s">
        <v>224</v>
      </c>
      <c r="D175" s="46">
        <v>26</v>
      </c>
      <c r="E175" s="46">
        <v>0</v>
      </c>
      <c r="F175" s="13">
        <v>0.23523678202361009</v>
      </c>
      <c r="G175" s="13">
        <v>-2.1457037064759731E-2</v>
      </c>
      <c r="H175" s="13">
        <v>-6.7172225610869496E-2</v>
      </c>
      <c r="I175" s="13">
        <v>-5.8023416617867947E-5</v>
      </c>
      <c r="J175" s="13">
        <v>0.67607593188414294</v>
      </c>
      <c r="K175" s="13">
        <v>15.46881390593043</v>
      </c>
      <c r="L175" s="13">
        <v>1.8716482089875099</v>
      </c>
      <c r="M175" s="13">
        <v>-0.51240347754362059</v>
      </c>
      <c r="N175" s="19">
        <f>(F175-Settings!$D$18)/Settings!$E$18</f>
        <v>0.15358771072099647</v>
      </c>
      <c r="O175" s="19">
        <f>(G175-Settings!$D$19)/Settings!$E$19</f>
        <v>-6.172176444437312E-2</v>
      </c>
      <c r="P175" s="19">
        <f>(H175-Settings!$D$20)/Settings!$E$20</f>
        <v>-1.089935891905496</v>
      </c>
      <c r="Q175" s="19">
        <f>(I175-Settings!$D$21)/Settings!$E$21</f>
        <v>3.5495592613683881E-2</v>
      </c>
      <c r="R175" s="19">
        <f>(J175-Settings!$D$22)/Settings!$E$22</f>
        <v>1.1521318178923394</v>
      </c>
      <c r="S175" s="19">
        <f>(K175-Settings!$D$23)/Settings!$E$23</f>
        <v>7.4179166042513678E-2</v>
      </c>
      <c r="T175" s="19">
        <f>(L175-Settings!$D$24)/Settings!$E$24</f>
        <v>0.38949561115923276</v>
      </c>
      <c r="U175" s="19">
        <f>(M175-Settings!$D$25)/Settings!$E$25</f>
        <v>-0.30960035413568215</v>
      </c>
      <c r="V175" s="31">
        <f>Settings!$B$18*(N175-F$6)^2</f>
        <v>2.2832942369935285E-3</v>
      </c>
      <c r="W175" s="31">
        <f>Settings!$B$19*(O175-G$6)^2</f>
        <v>6.4018124549801256E-2</v>
      </c>
      <c r="X175" s="31">
        <f>Settings!$B$20*(P175-H$6)^2</f>
        <v>2.2464701257732993</v>
      </c>
      <c r="Y175" s="31">
        <f>Settings!$B$21*(Q175-I$6)^2</f>
        <v>0.16028699658739651</v>
      </c>
      <c r="Z175" s="31">
        <f>Settings!$B$22*(R175-J$6)^2</f>
        <v>0.19970615010763168</v>
      </c>
      <c r="AA175" s="31">
        <f>Settings!$B$23*(S175-K$6)^2</f>
        <v>2.7345988829462802</v>
      </c>
      <c r="AB175" s="31">
        <f>Settings!$B$24*(T175-L$6)^2</f>
        <v>1.2921328807352088</v>
      </c>
      <c r="AC175" s="31">
        <f>Settings!$B$25*(U175-M$6)^2</f>
        <v>1.6298469254726257E-2</v>
      </c>
      <c r="AD175" s="19">
        <f t="shared" si="8"/>
        <v>2.5914850808351835</v>
      </c>
      <c r="AE175" s="15">
        <f t="shared" si="9"/>
        <v>1.0257567775618708</v>
      </c>
      <c r="AF175" s="33">
        <f t="shared" si="10"/>
        <v>0.59091181650703106</v>
      </c>
      <c r="AG175" s="47">
        <f t="shared" si="11"/>
        <v>2.5512026034769414E-3</v>
      </c>
      <c r="AH175" s="18">
        <v>-0.29779854774592041</v>
      </c>
      <c r="AI175" s="46">
        <v>0</v>
      </c>
      <c r="AJ175" s="18">
        <v>0.68150607718094536</v>
      </c>
      <c r="AK175" s="46">
        <v>1</v>
      </c>
      <c r="AL175" s="18">
        <v>0.51751017723071779</v>
      </c>
      <c r="AM175" s="46">
        <v>1</v>
      </c>
      <c r="AN175" s="18">
        <v>-0.3835540765439891</v>
      </c>
      <c r="AO175" s="46">
        <v>1</v>
      </c>
      <c r="AP175" s="18">
        <v>-0.9888449746726411</v>
      </c>
      <c r="AQ175" s="46">
        <v>1</v>
      </c>
    </row>
    <row r="176" spans="1:43" ht="20" customHeight="1" x14ac:dyDescent="0.45">
      <c r="A176" s="26">
        <v>166</v>
      </c>
      <c r="B176" s="16" t="s">
        <v>392</v>
      </c>
      <c r="C176" s="16" t="s">
        <v>218</v>
      </c>
      <c r="D176" s="46">
        <v>26</v>
      </c>
      <c r="E176" s="46">
        <v>0</v>
      </c>
      <c r="F176" s="13">
        <v>0.1098648132821932</v>
      </c>
      <c r="G176" s="13">
        <v>0.11531920009290141</v>
      </c>
      <c r="H176" s="13">
        <v>-9.9656237970067504E-3</v>
      </c>
      <c r="I176" s="13">
        <v>9.8821886282133189E-2</v>
      </c>
      <c r="J176" s="13">
        <v>0.66602847654576536</v>
      </c>
      <c r="K176" s="13">
        <v>15.077179487179521</v>
      </c>
      <c r="L176" s="13">
        <v>2.4942788428299338</v>
      </c>
      <c r="M176" s="13">
        <v>-1.1530553194478681</v>
      </c>
      <c r="N176" s="19">
        <f>(F176-Settings!$D$18)/Settings!$E$18</f>
        <v>-0.29511074992312741</v>
      </c>
      <c r="O176" s="19">
        <f>(G176-Settings!$D$19)/Settings!$E$19</f>
        <v>0.50810547254625582</v>
      </c>
      <c r="P176" s="19">
        <f>(H176-Settings!$D$20)/Settings!$E$20</f>
        <v>-0.57163307874704872</v>
      </c>
      <c r="Q176" s="19">
        <f>(I176-Settings!$D$21)/Settings!$E$21</f>
        <v>1.2514522522135147</v>
      </c>
      <c r="R176" s="19">
        <f>(J176-Settings!$D$22)/Settings!$E$22</f>
        <v>1.1250986662643605</v>
      </c>
      <c r="S176" s="19">
        <f>(K176-Settings!$D$23)/Settings!$E$23</f>
        <v>-6.1826459516372993E-2</v>
      </c>
      <c r="T176" s="19">
        <f>(L176-Settings!$D$24)/Settings!$E$24</f>
        <v>0.81995422522310624</v>
      </c>
      <c r="U176" s="19">
        <f>(M176-Settings!$D$25)/Settings!$E$25</f>
        <v>-0.74166309157754251</v>
      </c>
      <c r="V176" s="31">
        <f>Settings!$B$18*(N176-F$6)^2</f>
        <v>2.3372362793884296E-2</v>
      </c>
      <c r="W176" s="31">
        <f>Settings!$B$19*(O176-G$6)^2</f>
        <v>3.2995102342420456E-6</v>
      </c>
      <c r="X176" s="31">
        <f>Settings!$B$20*(P176-H$6)^2</f>
        <v>1.6053671717681675</v>
      </c>
      <c r="Y176" s="31">
        <f>Settings!$B$21*(Q176-I$6)^2</f>
        <v>0.89142098752697929</v>
      </c>
      <c r="Z176" s="31">
        <f>Settings!$B$22*(R176-J$6)^2</f>
        <v>0.18904699432248517</v>
      </c>
      <c r="AA176" s="31">
        <f>Settings!$B$23*(S176-K$6)^2</f>
        <v>3.2029111544513595</v>
      </c>
      <c r="AB176" s="31">
        <f>Settings!$B$24*(T176-L$6)^2</f>
        <v>0.49880546979922985</v>
      </c>
      <c r="AC176" s="31">
        <f>Settings!$B$25*(U176-M$6)^2</f>
        <v>0.31329565316007357</v>
      </c>
      <c r="AD176" s="19">
        <f t="shared" si="8"/>
        <v>2.5931106982410936</v>
      </c>
      <c r="AE176" s="15">
        <f t="shared" si="9"/>
        <v>1.0264002264029104</v>
      </c>
      <c r="AF176" s="33">
        <f t="shared" si="10"/>
        <v>0.59052180813737853</v>
      </c>
      <c r="AG176" s="47">
        <f t="shared" si="11"/>
        <v>2.549518781390057E-3</v>
      </c>
      <c r="AH176" s="18">
        <v>-0.72757155820125874</v>
      </c>
      <c r="AI176" s="46">
        <v>0</v>
      </c>
      <c r="AJ176" s="18">
        <v>-0.8415985100167811</v>
      </c>
      <c r="AK176" s="46">
        <v>0</v>
      </c>
      <c r="AL176" s="18">
        <v>-0.10392146088596491</v>
      </c>
      <c r="AM176" s="46">
        <v>0</v>
      </c>
      <c r="AN176" s="18">
        <v>-0.33537809592941592</v>
      </c>
      <c r="AO176" s="46">
        <v>0</v>
      </c>
      <c r="AP176" s="18">
        <v>-0.39680260885289242</v>
      </c>
      <c r="AQ176" s="46">
        <v>1</v>
      </c>
    </row>
    <row r="177" spans="1:43" ht="20" customHeight="1" x14ac:dyDescent="0.45">
      <c r="A177" s="26">
        <v>167</v>
      </c>
      <c r="B177" s="16" t="s">
        <v>393</v>
      </c>
      <c r="C177" s="16" t="s">
        <v>218</v>
      </c>
      <c r="D177" s="46">
        <v>26</v>
      </c>
      <c r="E177" s="46">
        <v>0</v>
      </c>
      <c r="F177" s="13">
        <v>0.46055226557302958</v>
      </c>
      <c r="G177" s="13">
        <v>-0.31771705115625531</v>
      </c>
      <c r="H177" s="13">
        <v>0.1037481721597189</v>
      </c>
      <c r="I177" s="13">
        <v>-1.6140493300596259E-2</v>
      </c>
      <c r="J177" s="13">
        <v>0.10184201781039991</v>
      </c>
      <c r="K177" s="13">
        <v>19.531666666666641</v>
      </c>
      <c r="L177" s="13">
        <v>0.87072811044488918</v>
      </c>
      <c r="M177" s="13">
        <v>1.618570992087641</v>
      </c>
      <c r="N177" s="19">
        <f>(F177-Settings!$D$18)/Settings!$E$18</f>
        <v>0.959977780549363</v>
      </c>
      <c r="O177" s="19">
        <f>(G177-Settings!$D$19)/Settings!$E$19</f>
        <v>-1.2959787433519547</v>
      </c>
      <c r="P177" s="19">
        <f>(H177-Settings!$D$20)/Settings!$E$20</f>
        <v>0.45863577957577195</v>
      </c>
      <c r="Q177" s="19">
        <f>(I177-Settings!$D$21)/Settings!$E$21</f>
        <v>-0.16227548563482558</v>
      </c>
      <c r="R177" s="19">
        <f>(J177-Settings!$D$22)/Settings!$E$22</f>
        <v>-0.39287156319159466</v>
      </c>
      <c r="S177" s="19">
        <f>(K177-Settings!$D$23)/Settings!$E$23</f>
        <v>1.4851144792357827</v>
      </c>
      <c r="T177" s="19">
        <f>(L177-Settings!$D$24)/Settings!$E$24</f>
        <v>-0.30249520167374683</v>
      </c>
      <c r="U177" s="19">
        <f>(M177-Settings!$D$25)/Settings!$E$25</f>
        <v>1.1275525619176059</v>
      </c>
      <c r="V177" s="31">
        <f>Settings!$B$18*(N177-F$6)^2</f>
        <v>0.16680071354918752</v>
      </c>
      <c r="W177" s="31">
        <f>Settings!$B$19*(O177-G$6)^2</f>
        <v>0.64801619875991956</v>
      </c>
      <c r="X177" s="31">
        <f>Settings!$B$20*(P177-H$6)^2</f>
        <v>0.65008841935443618</v>
      </c>
      <c r="Y177" s="31">
        <f>Settings!$B$21*(Q177-I$6)^2</f>
        <v>9.7289513716397033E-2</v>
      </c>
      <c r="Z177" s="31">
        <f>Settings!$B$22*(R177-J$6)^2</f>
        <v>5.9566053145549108E-2</v>
      </c>
      <c r="AA177" s="31">
        <f>Settings!$B$23*(S177-K$6)^2</f>
        <v>5.8916372584622685E-2</v>
      </c>
      <c r="AB177" s="31">
        <f>Settings!$B$24*(T177-L$6)^2</f>
        <v>3.3441840772847411</v>
      </c>
      <c r="AC177" s="31">
        <f>Settings!$B$25*(U177-M$6)^2</f>
        <v>1.7147574018923681</v>
      </c>
      <c r="AD177" s="19">
        <f t="shared" si="8"/>
        <v>2.5960775701598791</v>
      </c>
      <c r="AE177" s="15">
        <f t="shared" si="9"/>
        <v>1.0275745680965431</v>
      </c>
      <c r="AF177" s="33">
        <f t="shared" si="10"/>
        <v>0.58981004797829051</v>
      </c>
      <c r="AG177" s="47">
        <f t="shared" si="11"/>
        <v>2.5464458281672731E-3</v>
      </c>
      <c r="AH177" s="18">
        <v>1.7459625916157371</v>
      </c>
      <c r="AI177" s="46">
        <v>0</v>
      </c>
      <c r="AJ177" s="18">
        <v>-0.31885346064103892</v>
      </c>
      <c r="AK177" s="46">
        <v>0</v>
      </c>
      <c r="AL177" s="18">
        <v>-0.13190140229620659</v>
      </c>
      <c r="AM177" s="46">
        <v>0</v>
      </c>
      <c r="AN177" s="18">
        <v>0.27040870318167892</v>
      </c>
      <c r="AO177" s="46">
        <v>0</v>
      </c>
      <c r="AP177" s="18">
        <v>-1.3791336505647851</v>
      </c>
      <c r="AQ177" s="46">
        <v>1</v>
      </c>
    </row>
    <row r="178" spans="1:43" ht="20" customHeight="1" x14ac:dyDescent="0.45">
      <c r="A178" s="26">
        <v>168</v>
      </c>
      <c r="B178" s="16" t="s">
        <v>394</v>
      </c>
      <c r="C178" s="16" t="s">
        <v>271</v>
      </c>
      <c r="D178" s="46">
        <v>26</v>
      </c>
      <c r="E178" s="46">
        <v>1</v>
      </c>
      <c r="F178" s="13">
        <v>0.78718696204151495</v>
      </c>
      <c r="G178" s="13">
        <v>-9.0144336273137449E-2</v>
      </c>
      <c r="H178" s="13">
        <v>9.0599837593584027E-4</v>
      </c>
      <c r="I178" s="13">
        <v>-7.9973699697181863E-2</v>
      </c>
      <c r="J178" s="13">
        <v>4.1789003612229848E-2</v>
      </c>
      <c r="K178" s="13">
        <v>16.788235294117651</v>
      </c>
      <c r="L178" s="13">
        <v>1.177458493049069</v>
      </c>
      <c r="M178" s="13">
        <v>0.1947908855789986</v>
      </c>
      <c r="N178" s="19">
        <f>(F178-Settings!$D$18)/Settings!$E$18</f>
        <v>2.1289829973427201</v>
      </c>
      <c r="O178" s="19">
        <f>(G178-Settings!$D$19)/Settings!$E$19</f>
        <v>-0.34788180757483422</v>
      </c>
      <c r="P178" s="19">
        <f>(H178-Settings!$D$20)/Settings!$E$20</f>
        <v>-0.47313409126713818</v>
      </c>
      <c r="Q178" s="19">
        <f>(I178-Settings!$D$21)/Settings!$E$21</f>
        <v>-0.94725205628514431</v>
      </c>
      <c r="R178" s="19">
        <f>(J178-Settings!$D$22)/Settings!$E$22</f>
        <v>-0.55444702522280309</v>
      </c>
      <c r="S178" s="19">
        <f>(K178-Settings!$D$23)/Settings!$E$23</f>
        <v>0.53238386584524522</v>
      </c>
      <c r="T178" s="19">
        <f>(L178-Settings!$D$24)/Settings!$E$24</f>
        <v>-9.0435710523665683E-2</v>
      </c>
      <c r="U178" s="19">
        <f>(M178-Settings!$D$25)/Settings!$E$25</f>
        <v>0.16733940073335954</v>
      </c>
      <c r="V178" s="31">
        <f>Settings!$B$18*(N178-F$6)^2</f>
        <v>0.86714732770985248</v>
      </c>
      <c r="W178" s="31">
        <f>Settings!$B$19*(O178-G$6)^2</f>
        <v>0.14515543276046133</v>
      </c>
      <c r="X178" s="31">
        <f>Settings!$B$20*(P178-H$6)^2</f>
        <v>1.4956819452962717</v>
      </c>
      <c r="Y178" s="31">
        <f>Settings!$B$21*(Q178-I$6)^2</f>
        <v>1.5319023802729888E-3</v>
      </c>
      <c r="Z178" s="31">
        <f>Settings!$B$22*(R178-J$6)^2</f>
        <v>0.10005854475910121</v>
      </c>
      <c r="AA178" s="31">
        <f>Settings!$B$23*(S178-K$6)^2</f>
        <v>1.4291187874846549</v>
      </c>
      <c r="AB178" s="31">
        <f>Settings!$B$24*(T178-L$6)^2</f>
        <v>2.6135622387679134</v>
      </c>
      <c r="AC178" s="31">
        <f>Settings!$B$25*(U178-M$6)^2</f>
        <v>0.12199253421157814</v>
      </c>
      <c r="AD178" s="19">
        <f t="shared" si="8"/>
        <v>2.6027386947924884</v>
      </c>
      <c r="AE178" s="15">
        <f t="shared" si="9"/>
        <v>1.0302111619896022</v>
      </c>
      <c r="AF178" s="33">
        <f t="shared" si="10"/>
        <v>0.58821219569951078</v>
      </c>
      <c r="AG178" s="47">
        <f t="shared" si="11"/>
        <v>2.5395472609365637E-3</v>
      </c>
      <c r="AH178" s="18">
        <v>0.33854813753064089</v>
      </c>
      <c r="AI178" s="46">
        <v>1</v>
      </c>
      <c r="AJ178" s="18">
        <v>0.31429599631985788</v>
      </c>
      <c r="AK178" s="46">
        <v>1</v>
      </c>
      <c r="AL178" s="18">
        <v>-0.48839663349639267</v>
      </c>
      <c r="AM178" s="46">
        <v>1</v>
      </c>
      <c r="AN178" s="18">
        <v>-0.18916907716361961</v>
      </c>
      <c r="AO178" s="46">
        <v>1</v>
      </c>
      <c r="AP178" s="18">
        <v>3.081186189574284</v>
      </c>
      <c r="AQ178" s="46">
        <v>1</v>
      </c>
    </row>
    <row r="179" spans="1:43" ht="20" customHeight="1" x14ac:dyDescent="0.45">
      <c r="A179" s="26">
        <v>169</v>
      </c>
      <c r="B179" s="16" t="s">
        <v>395</v>
      </c>
      <c r="C179" s="16" t="s">
        <v>271</v>
      </c>
      <c r="D179" s="46">
        <v>26</v>
      </c>
      <c r="E179" s="46">
        <v>1</v>
      </c>
      <c r="F179" s="13">
        <v>0.44559445362500028</v>
      </c>
      <c r="G179" s="13">
        <v>6.8271200019800096E-2</v>
      </c>
      <c r="H179" s="13">
        <v>-5.0303334380248553E-2</v>
      </c>
      <c r="I179" s="13">
        <v>-3.5143542231110209E-4</v>
      </c>
      <c r="J179" s="13">
        <v>0.43547957655264002</v>
      </c>
      <c r="K179" s="13">
        <v>15.36988505747124</v>
      </c>
      <c r="L179" s="13">
        <v>1.687846878661273</v>
      </c>
      <c r="M179" s="13">
        <v>1.7408412785835159E-2</v>
      </c>
      <c r="N179" s="19">
        <f>(F179-Settings!$D$18)/Settings!$E$18</f>
        <v>0.90644470403265154</v>
      </c>
      <c r="O179" s="19">
        <f>(G179-Settings!$D$19)/Settings!$E$19</f>
        <v>0.31209750767815236</v>
      </c>
      <c r="P179" s="19">
        <f>(H179-Settings!$D$20)/Settings!$E$20</f>
        <v>-0.9371004934991537</v>
      </c>
      <c r="Q179" s="19">
        <f>(I179-Settings!$D$21)/Settings!$E$21</f>
        <v>3.1887414942241912E-2</v>
      </c>
      <c r="R179" s="19">
        <f>(J179-Settings!$D$22)/Settings!$E$22</f>
        <v>0.50479599645580342</v>
      </c>
      <c r="S179" s="19">
        <f>(K179-Settings!$D$23)/Settings!$E$23</f>
        <v>3.9823452457824593E-2</v>
      </c>
      <c r="T179" s="19">
        <f>(L179-Settings!$D$24)/Settings!$E$24</f>
        <v>0.26242369786922326</v>
      </c>
      <c r="U179" s="19">
        <f>(M179-Settings!$D$25)/Settings!$E$25</f>
        <v>4.7710685483875782E-2</v>
      </c>
      <c r="V179" s="31">
        <f>Settings!$B$18*(N179-F$6)^2</f>
        <v>0.14781849661420607</v>
      </c>
      <c r="W179" s="31">
        <f>Settings!$B$19*(O179-G$6)^2</f>
        <v>7.3686723556890231E-3</v>
      </c>
      <c r="X179" s="31">
        <f>Settings!$B$20*(P179-H$6)^2</f>
        <v>2.0462525613481541</v>
      </c>
      <c r="Y179" s="31">
        <f>Settings!$B$21*(Q179-I$6)^2</f>
        <v>0.15899754224464568</v>
      </c>
      <c r="Z179" s="31">
        <f>Settings!$B$22*(R179-J$6)^2</f>
        <v>2.4770844158828013E-2</v>
      </c>
      <c r="AA179" s="31">
        <f>Settings!$B$23*(S179-K$6)^2</f>
        <v>2.8494046922088172</v>
      </c>
      <c r="AB179" s="31">
        <f>Settings!$B$24*(T179-L$6)^2</f>
        <v>1.5971705808233521</v>
      </c>
      <c r="AC179" s="31">
        <f>Settings!$B$25*(U179-M$6)^2</f>
        <v>5.2737092998412748E-2</v>
      </c>
      <c r="AD179" s="19">
        <f t="shared" si="8"/>
        <v>2.6238369771676182</v>
      </c>
      <c r="AE179" s="15">
        <f t="shared" si="9"/>
        <v>1.0385622446569309</v>
      </c>
      <c r="AF179" s="33">
        <f t="shared" si="10"/>
        <v>0.58315295531351918</v>
      </c>
      <c r="AG179" s="47">
        <f t="shared" si="11"/>
        <v>2.5177044971200374E-3</v>
      </c>
      <c r="AH179" s="18">
        <v>-0.7457887297899195</v>
      </c>
      <c r="AI179" s="46">
        <v>1</v>
      </c>
      <c r="AJ179" s="18">
        <v>0.4909031713855021</v>
      </c>
      <c r="AK179" s="46">
        <v>1</v>
      </c>
      <c r="AL179" s="18">
        <v>1.3914827466751569</v>
      </c>
      <c r="AM179" s="46">
        <v>1</v>
      </c>
      <c r="AN179" s="18">
        <v>-0.16436245997257301</v>
      </c>
      <c r="AO179" s="46">
        <v>1</v>
      </c>
      <c r="AP179" s="18">
        <v>-1.0756290249850311</v>
      </c>
      <c r="AQ179" s="46">
        <v>1</v>
      </c>
    </row>
    <row r="180" spans="1:43" ht="20" customHeight="1" x14ac:dyDescent="0.45">
      <c r="A180" s="26">
        <v>170</v>
      </c>
      <c r="B180" s="16" t="s">
        <v>396</v>
      </c>
      <c r="C180" s="16" t="s">
        <v>218</v>
      </c>
      <c r="D180" s="46">
        <v>26</v>
      </c>
      <c r="E180" s="46">
        <v>0</v>
      </c>
      <c r="F180" s="13">
        <v>0.54020940675574269</v>
      </c>
      <c r="G180" s="13">
        <v>-0.29741482552205628</v>
      </c>
      <c r="H180" s="13">
        <v>0.1095608045725075</v>
      </c>
      <c r="I180" s="13">
        <v>4.8916465944668624E-3</v>
      </c>
      <c r="J180" s="13">
        <v>4.7923316555226657E-2</v>
      </c>
      <c r="K180" s="13">
        <v>18.245512820512818</v>
      </c>
      <c r="L180" s="13">
        <v>0.4169927704164092</v>
      </c>
      <c r="M180" s="13">
        <v>-0.78909807703704782</v>
      </c>
      <c r="N180" s="19">
        <f>(F180-Settings!$D$18)/Settings!$E$18</f>
        <v>1.2450657231477116</v>
      </c>
      <c r="O180" s="19">
        <f>(G180-Settings!$D$19)/Settings!$E$19</f>
        <v>-1.211397083713514</v>
      </c>
      <c r="P180" s="19">
        <f>(H180-Settings!$D$20)/Settings!$E$20</f>
        <v>0.51129934699421353</v>
      </c>
      <c r="Q180" s="19">
        <f>(I180-Settings!$D$21)/Settings!$E$21</f>
        <v>9.6363206986880126E-2</v>
      </c>
      <c r="R180" s="19">
        <f>(J180-Settings!$D$22)/Settings!$E$22</f>
        <v>-0.53794236744262902</v>
      </c>
      <c r="S180" s="19">
        <f>(K180-Settings!$D$23)/Settings!$E$23</f>
        <v>1.0384628315868676</v>
      </c>
      <c r="T180" s="19">
        <f>(L180-Settings!$D$24)/Settings!$E$24</f>
        <v>-0.61618726082464659</v>
      </c>
      <c r="U180" s="19">
        <f>(M180-Settings!$D$25)/Settings!$E$25</f>
        <v>-0.4962062737209057</v>
      </c>
      <c r="V180" s="31">
        <f>Settings!$B$18*(N180-F$6)^2</f>
        <v>0.28719699276013694</v>
      </c>
      <c r="W180" s="31">
        <f>Settings!$B$19*(O180-G$6)^2</f>
        <v>0.58854745407777209</v>
      </c>
      <c r="X180" s="31">
        <f>Settings!$B$20*(P180-H$6)^2</f>
        <v>0.61266428822409624</v>
      </c>
      <c r="Y180" s="31">
        <f>Settings!$B$21*(Q180-I$6)^2</f>
        <v>0.18282415158108312</v>
      </c>
      <c r="Z180" s="31">
        <f>Settings!$B$22*(R180-J$6)^2</f>
        <v>9.544343703001118E-2</v>
      </c>
      <c r="AA180" s="31">
        <f>Settings!$B$23*(S180-K$6)^2</f>
        <v>0.47524285182886011</v>
      </c>
      <c r="AB180" s="31">
        <f>Settings!$B$24*(T180-L$6)^2</f>
        <v>4.5898910503421595</v>
      </c>
      <c r="AC180" s="31">
        <f>Settings!$B$25*(U180-M$6)^2</f>
        <v>9.8766498986868706E-2</v>
      </c>
      <c r="AD180" s="19">
        <f t="shared" si="8"/>
        <v>2.6325988537623783</v>
      </c>
      <c r="AE180" s="15">
        <f t="shared" si="9"/>
        <v>1.042030354262385</v>
      </c>
      <c r="AF180" s="33">
        <f t="shared" si="10"/>
        <v>0.58105281095886796</v>
      </c>
      <c r="AG180" s="47">
        <f t="shared" si="11"/>
        <v>2.5086373341431066E-3</v>
      </c>
      <c r="AH180" s="18">
        <v>-0.34390318825905308</v>
      </c>
      <c r="AI180" s="46">
        <v>0</v>
      </c>
      <c r="AJ180" s="18">
        <v>0.1096065958165492</v>
      </c>
      <c r="AK180" s="46">
        <v>0</v>
      </c>
      <c r="AL180" s="18">
        <v>0.7301381014950632</v>
      </c>
      <c r="AM180" s="46">
        <v>0</v>
      </c>
      <c r="AN180" s="18">
        <v>-0.47579294675410888</v>
      </c>
      <c r="AO180" s="46">
        <v>0</v>
      </c>
      <c r="AP180" s="48"/>
      <c r="AQ180" s="48"/>
    </row>
    <row r="181" spans="1:43" ht="20" customHeight="1" x14ac:dyDescent="0.45">
      <c r="A181" s="26">
        <v>171</v>
      </c>
      <c r="B181" s="16" t="s">
        <v>397</v>
      </c>
      <c r="C181" s="16" t="s">
        <v>232</v>
      </c>
      <c r="D181" s="46">
        <v>26</v>
      </c>
      <c r="E181" s="46">
        <v>0</v>
      </c>
      <c r="F181" s="13">
        <v>0.45622503241187062</v>
      </c>
      <c r="G181" s="13">
        <v>-0.1350119872462433</v>
      </c>
      <c r="H181" s="13">
        <v>1.7782045413176489E-3</v>
      </c>
      <c r="I181" s="13">
        <v>1.3427107266306791E-4</v>
      </c>
      <c r="J181" s="13">
        <v>0.40685050472790529</v>
      </c>
      <c r="K181" s="13">
        <v>15.20101626016262</v>
      </c>
      <c r="L181" s="13">
        <v>1.57913088161648</v>
      </c>
      <c r="M181" s="13">
        <v>-2.591187899640079E-3</v>
      </c>
      <c r="N181" s="19">
        <f>(F181-Settings!$D$18)/Settings!$E$18</f>
        <v>0.94449088281814142</v>
      </c>
      <c r="O181" s="19">
        <f>(G181-Settings!$D$19)/Settings!$E$19</f>
        <v>-0.53480616019314842</v>
      </c>
      <c r="P181" s="19">
        <f>(H181-Settings!$D$20)/Settings!$E$20</f>
        <v>-0.46523173568512938</v>
      </c>
      <c r="Q181" s="19">
        <f>(I181-Settings!$D$21)/Settings!$E$21</f>
        <v>3.786029708760448E-2</v>
      </c>
      <c r="R181" s="19">
        <f>(J181-Settings!$D$22)/Settings!$E$22</f>
        <v>0.42776813083790877</v>
      </c>
      <c r="S181" s="19">
        <f>(K181-Settings!$D$23)/Settings!$E$23</f>
        <v>-1.8820796657428814E-2</v>
      </c>
      <c r="T181" s="19">
        <f>(L181-Settings!$D$24)/Settings!$E$24</f>
        <v>0.18726238252296065</v>
      </c>
      <c r="U181" s="19">
        <f>(M181-Settings!$D$25)/Settings!$E$25</f>
        <v>3.4222732035984124E-2</v>
      </c>
      <c r="V181" s="31">
        <f>Settings!$B$18*(N181-F$6)^2</f>
        <v>0.16119139320615983</v>
      </c>
      <c r="W181" s="31">
        <f>Settings!$B$19*(O181-G$6)^2</f>
        <v>0.21584182917006678</v>
      </c>
      <c r="X181" s="31">
        <f>Settings!$B$20*(P181-H$6)^2</f>
        <v>1.4870503067878476</v>
      </c>
      <c r="Y181" s="31">
        <f>Settings!$B$21*(Q181-I$6)^2</f>
        <v>0.16113489577226753</v>
      </c>
      <c r="Z181" s="31">
        <f>Settings!$B$22*(R181-J$6)^2</f>
        <v>1.5114157943418961E-2</v>
      </c>
      <c r="AA181" s="31">
        <f>Settings!$B$23*(S181-K$6)^2</f>
        <v>3.0508289337248189</v>
      </c>
      <c r="AB181" s="31">
        <f>Settings!$B$24*(T181-L$6)^2</f>
        <v>1.7927963637390654</v>
      </c>
      <c r="AC181" s="31">
        <f>Settings!$B$25*(U181-M$6)^2</f>
        <v>4.6724120067165094E-2</v>
      </c>
      <c r="AD181" s="19">
        <f t="shared" si="8"/>
        <v>2.6326188482974153</v>
      </c>
      <c r="AE181" s="15">
        <f t="shared" si="9"/>
        <v>1.0420382684618454</v>
      </c>
      <c r="AF181" s="33">
        <f t="shared" si="10"/>
        <v>0.58104801911315129</v>
      </c>
      <c r="AG181" s="47">
        <f t="shared" si="11"/>
        <v>2.5086166458290022E-3</v>
      </c>
      <c r="AH181" s="18">
        <v>-0.73142439502488032</v>
      </c>
      <c r="AI181" s="46">
        <v>0</v>
      </c>
      <c r="AJ181" s="18">
        <v>0.2281917522327358</v>
      </c>
      <c r="AK181" s="46">
        <v>0</v>
      </c>
      <c r="AL181" s="18">
        <v>0.60512424138699616</v>
      </c>
      <c r="AM181" s="46">
        <v>1</v>
      </c>
      <c r="AN181" s="18">
        <v>-6.7004847421049174E-2</v>
      </c>
      <c r="AO181" s="46">
        <v>1</v>
      </c>
      <c r="AP181" s="18">
        <v>0.37731031322425101</v>
      </c>
      <c r="AQ181" s="46">
        <v>1</v>
      </c>
    </row>
    <row r="182" spans="1:43" ht="20" customHeight="1" x14ac:dyDescent="0.45">
      <c r="A182" s="26">
        <v>172</v>
      </c>
      <c r="B182" s="16" t="s">
        <v>398</v>
      </c>
      <c r="C182" s="16" t="s">
        <v>224</v>
      </c>
      <c r="D182" s="46">
        <v>26</v>
      </c>
      <c r="E182" s="46">
        <v>0</v>
      </c>
      <c r="F182" s="13">
        <v>0.28416158854854401</v>
      </c>
      <c r="G182" s="13">
        <v>-0.27195573017311969</v>
      </c>
      <c r="H182" s="13">
        <v>2.1452202512633359E-2</v>
      </c>
      <c r="I182" s="13">
        <v>-1.337173866570279E-3</v>
      </c>
      <c r="J182" s="13">
        <v>0.4210933048991326</v>
      </c>
      <c r="K182" s="13">
        <v>17.651416122004381</v>
      </c>
      <c r="L182" s="13">
        <v>2.0964129237723288</v>
      </c>
      <c r="M182" s="13">
        <v>-2.960668436140796</v>
      </c>
      <c r="N182" s="19">
        <f>(F182-Settings!$D$18)/Settings!$E$18</f>
        <v>0.32868654338212377</v>
      </c>
      <c r="O182" s="19">
        <f>(G182-Settings!$D$19)/Settings!$E$19</f>
        <v>-1.1053312475679922</v>
      </c>
      <c r="P182" s="19">
        <f>(H182-Settings!$D$20)/Settings!$E$20</f>
        <v>-0.28698153079119915</v>
      </c>
      <c r="Q182" s="19">
        <f>(I182-Settings!$D$21)/Settings!$E$21</f>
        <v>1.9765486134132749E-2</v>
      </c>
      <c r="R182" s="19">
        <f>(J182-Settings!$D$22)/Settings!$E$22</f>
        <v>0.46608905525795813</v>
      </c>
      <c r="S182" s="19">
        <f>(K182-Settings!$D$23)/Settings!$E$23</f>
        <v>0.83214671314963518</v>
      </c>
      <c r="T182" s="19">
        <f>(L182-Settings!$D$24)/Settings!$E$24</f>
        <v>0.54488775275633416</v>
      </c>
      <c r="U182" s="19">
        <f>(M182-Settings!$D$25)/Settings!$E$25</f>
        <v>-1.9607375097712687</v>
      </c>
      <c r="V182" s="31">
        <f>Settings!$B$18*(N182-F$6)^2</f>
        <v>1.589879066618002E-2</v>
      </c>
      <c r="W182" s="31">
        <f>Settings!$B$19*(O182-G$6)^2</f>
        <v>0.51801757963980932</v>
      </c>
      <c r="X182" s="31">
        <f>Settings!$B$20*(P182-H$6)^2</f>
        <v>1.2989863114155098</v>
      </c>
      <c r="Y182" s="31">
        <f>Settings!$B$21*(Q182-I$6)^2</f>
        <v>0.15470366476790812</v>
      </c>
      <c r="Z182" s="31">
        <f>Settings!$B$22*(R182-J$6)^2</f>
        <v>1.9621647180708635E-2</v>
      </c>
      <c r="AA182" s="31">
        <f>Settings!$B$23*(S182-K$6)^2</f>
        <v>0.80226902563618951</v>
      </c>
      <c r="AB182" s="31">
        <f>Settings!$B$24*(T182-L$6)^2</f>
        <v>0.96300481660845527</v>
      </c>
      <c r="AC182" s="31">
        <f>Settings!$B$25*(U182-M$6)^2</f>
        <v>3.164138739508171</v>
      </c>
      <c r="AD182" s="19">
        <f t="shared" si="8"/>
        <v>2.633750287218386</v>
      </c>
      <c r="AE182" s="15">
        <f t="shared" si="9"/>
        <v>1.0424861124992917</v>
      </c>
      <c r="AF182" s="33">
        <f t="shared" si="10"/>
        <v>0.58077686609008516</v>
      </c>
      <c r="AG182" s="47">
        <f t="shared" si="11"/>
        <v>2.5074459698007649E-3</v>
      </c>
      <c r="AH182" s="18">
        <v>-0.61409059688475343</v>
      </c>
      <c r="AI182" s="46">
        <v>0</v>
      </c>
      <c r="AJ182" s="18">
        <v>1.359927962110465</v>
      </c>
      <c r="AK182" s="46">
        <v>1</v>
      </c>
      <c r="AL182" s="18">
        <v>-0.25316768853974958</v>
      </c>
      <c r="AM182" s="46">
        <v>1</v>
      </c>
      <c r="AN182" s="18">
        <v>-1.324973471395015</v>
      </c>
      <c r="AO182" s="46">
        <v>1</v>
      </c>
      <c r="AP182" s="18">
        <v>1.4181510361965779</v>
      </c>
      <c r="AQ182" s="46">
        <v>1</v>
      </c>
    </row>
    <row r="183" spans="1:43" ht="20" customHeight="1" x14ac:dyDescent="0.45">
      <c r="A183" s="26">
        <v>173</v>
      </c>
      <c r="B183" s="16" t="s">
        <v>399</v>
      </c>
      <c r="C183" s="16" t="s">
        <v>229</v>
      </c>
      <c r="D183" s="46">
        <v>26</v>
      </c>
      <c r="E183" s="46">
        <v>1</v>
      </c>
      <c r="F183" s="13">
        <v>0.11824823723352181</v>
      </c>
      <c r="G183" s="13">
        <v>-0.16321835108740571</v>
      </c>
      <c r="H183" s="13">
        <v>6.3304875537456371E-3</v>
      </c>
      <c r="I183" s="13">
        <v>-9.3943041842386786E-6</v>
      </c>
      <c r="J183" s="13">
        <v>0.71219352982114259</v>
      </c>
      <c r="K183" s="13">
        <v>14.500326797385609</v>
      </c>
      <c r="L183" s="13">
        <v>3.3299468402491641</v>
      </c>
      <c r="M183" s="13">
        <v>-1.688247411485216</v>
      </c>
      <c r="N183" s="19">
        <f>(F183-Settings!$D$18)/Settings!$E$18</f>
        <v>-0.26510699821012146</v>
      </c>
      <c r="O183" s="19">
        <f>(G183-Settings!$D$19)/Settings!$E$19</f>
        <v>-0.65231746703393378</v>
      </c>
      <c r="P183" s="19">
        <f>(H183-Settings!$D$20)/Settings!$E$20</f>
        <v>-0.4239871761968384</v>
      </c>
      <c r="Q183" s="19">
        <f>(I183-Settings!$D$21)/Settings!$E$21</f>
        <v>3.6093599764926723E-2</v>
      </c>
      <c r="R183" s="19">
        <f>(J183-Settings!$D$22)/Settings!$E$22</f>
        <v>1.249307915579472</v>
      </c>
      <c r="S183" s="19">
        <f>(K183-Settings!$D$23)/Settings!$E$23</f>
        <v>-0.26215413036045959</v>
      </c>
      <c r="T183" s="19">
        <f>(L183-Settings!$D$24)/Settings!$E$24</f>
        <v>1.3976972215268393</v>
      </c>
      <c r="U183" s="19">
        <f>(M183-Settings!$D$25)/Settings!$E$25</f>
        <v>-1.1026025991509141</v>
      </c>
      <c r="V183" s="31">
        <f>Settings!$B$18*(N183-F$6)^2</f>
        <v>1.9449687936267362E-2</v>
      </c>
      <c r="W183" s="31">
        <f>Settings!$B$19*(O183-G$6)^2</f>
        <v>0.26743425506536628</v>
      </c>
      <c r="X183" s="31">
        <f>Settings!$B$20*(P183-H$6)^2</f>
        <v>1.4424048284130446</v>
      </c>
      <c r="Y183" s="31">
        <f>Settings!$B$21*(Q183-I$6)^2</f>
        <v>0.16050120945024535</v>
      </c>
      <c r="Z183" s="31">
        <f>Settings!$B$22*(R183-J$6)^2</f>
        <v>0.2404366622925932</v>
      </c>
      <c r="AA183" s="31">
        <f>Settings!$B$23*(S183-K$6)^2</f>
        <v>3.9600823299044925</v>
      </c>
      <c r="AB183" s="31">
        <f>Settings!$B$24*(T183-L$6)^2</f>
        <v>1.651703552934896E-2</v>
      </c>
      <c r="AC183" s="31">
        <f>Settings!$B$25*(U183-M$6)^2</f>
        <v>0.84762902001267615</v>
      </c>
      <c r="AD183" s="19">
        <f t="shared" si="8"/>
        <v>2.6371300742671067</v>
      </c>
      <c r="AE183" s="15">
        <f t="shared" si="9"/>
        <v>1.0438238934873358</v>
      </c>
      <c r="AF183" s="33">
        <f t="shared" si="10"/>
        <v>0.57996694971949392</v>
      </c>
      <c r="AG183" s="47">
        <f t="shared" si="11"/>
        <v>2.5039492369625812E-3</v>
      </c>
      <c r="AH183" s="18">
        <v>-2.7504858261748022</v>
      </c>
      <c r="AI183" s="46">
        <v>1</v>
      </c>
      <c r="AJ183" s="18">
        <v>-0.68218583895550533</v>
      </c>
      <c r="AK183" s="46">
        <v>1</v>
      </c>
      <c r="AL183" s="48"/>
      <c r="AM183" s="48"/>
      <c r="AN183" s="48"/>
      <c r="AO183" s="48"/>
      <c r="AP183" s="48"/>
      <c r="AQ183" s="48"/>
    </row>
    <row r="184" spans="1:43" ht="20" customHeight="1" x14ac:dyDescent="0.45">
      <c r="A184" s="26">
        <v>174</v>
      </c>
      <c r="B184" s="16" t="s">
        <v>400</v>
      </c>
      <c r="C184" s="16" t="s">
        <v>271</v>
      </c>
      <c r="D184" s="46">
        <v>26</v>
      </c>
      <c r="E184" s="46">
        <v>1</v>
      </c>
      <c r="F184" s="13">
        <v>0.14007798984783479</v>
      </c>
      <c r="G184" s="13">
        <v>-0.27419555985688732</v>
      </c>
      <c r="H184" s="13">
        <v>-5.6196999711896317E-2</v>
      </c>
      <c r="I184" s="13">
        <v>-4.4580338891841188E-5</v>
      </c>
      <c r="J184" s="13">
        <v>0.52948487024448965</v>
      </c>
      <c r="K184" s="13">
        <v>16.336836518046692</v>
      </c>
      <c r="L184" s="13">
        <v>1.329686974872121</v>
      </c>
      <c r="M184" s="13">
        <v>-0.36615850718889381</v>
      </c>
      <c r="N184" s="19">
        <f>(F184-Settings!$D$18)/Settings!$E$18</f>
        <v>-0.18697967443420879</v>
      </c>
      <c r="O184" s="19">
        <f>(G184-Settings!$D$19)/Settings!$E$19</f>
        <v>-1.1146626635109509</v>
      </c>
      <c r="P184" s="19">
        <f>(H184-Settings!$D$20)/Settings!$E$20</f>
        <v>-0.99049823474494147</v>
      </c>
      <c r="Q184" s="19">
        <f>(I184-Settings!$D$21)/Settings!$E$21</f>
        <v>3.5660906274833863E-2</v>
      </c>
      <c r="R184" s="19">
        <f>(J184-Settings!$D$22)/Settings!$E$22</f>
        <v>0.75772166495793303</v>
      </c>
      <c r="S184" s="19">
        <f>(K184-Settings!$D$23)/Settings!$E$23</f>
        <v>0.37562345364282784</v>
      </c>
      <c r="T184" s="19">
        <f>(L184-Settings!$D$24)/Settings!$E$24</f>
        <v>1.4808165612345974E-2</v>
      </c>
      <c r="U184" s="19">
        <f>(M184-Settings!$D$25)/Settings!$E$25</f>
        <v>-0.21097111732469842</v>
      </c>
      <c r="V184" s="31">
        <f>Settings!$B$18*(N184-F$6)^2</f>
        <v>1.0924960663574831E-2</v>
      </c>
      <c r="W184" s="31">
        <f>Settings!$B$19*(O184-G$6)^2</f>
        <v>0.52404209372657218</v>
      </c>
      <c r="X184" s="31">
        <f>Settings!$B$20*(P184-H$6)^2</f>
        <v>2.1151427685251347</v>
      </c>
      <c r="Y184" s="31">
        <f>Settings!$B$21*(Q184-I$6)^2</f>
        <v>0.16034619948729784</v>
      </c>
      <c r="Z184" s="31">
        <f>Settings!$B$22*(R184-J$6)^2</f>
        <v>7.3169902664249512E-2</v>
      </c>
      <c r="AA184" s="31">
        <f>Settings!$B$23*(S184-K$6)^2</f>
        <v>1.8284934553457621</v>
      </c>
      <c r="AB184" s="31">
        <f>Settings!$B$24*(T184-L$6)^2</f>
        <v>2.284353160962715</v>
      </c>
      <c r="AC184" s="31">
        <f>Settings!$B$25*(U184-M$6)^2</f>
        <v>8.4310216103781913E-4</v>
      </c>
      <c r="AD184" s="19">
        <f t="shared" si="8"/>
        <v>2.6452439667328123</v>
      </c>
      <c r="AE184" s="15">
        <f t="shared" si="9"/>
        <v>1.0470355192268224</v>
      </c>
      <c r="AF184" s="33">
        <f t="shared" si="10"/>
        <v>0.57802295922199409</v>
      </c>
      <c r="AG184" s="47">
        <f t="shared" si="11"/>
        <v>2.4955562526291952E-3</v>
      </c>
      <c r="AH184" s="18">
        <v>-1.4130727065116659</v>
      </c>
      <c r="AI184" s="46">
        <v>1</v>
      </c>
      <c r="AJ184" s="18">
        <v>-1.8745782124056979E-2</v>
      </c>
      <c r="AK184" s="46">
        <v>1</v>
      </c>
      <c r="AL184" s="18">
        <v>0.91711458668639323</v>
      </c>
      <c r="AM184" s="46">
        <v>1</v>
      </c>
      <c r="AN184" s="48"/>
      <c r="AO184" s="48"/>
      <c r="AP184" s="48"/>
      <c r="AQ184" s="48"/>
    </row>
    <row r="185" spans="1:43" ht="20" customHeight="1" x14ac:dyDescent="0.45">
      <c r="A185" s="26">
        <v>175</v>
      </c>
      <c r="B185" s="16" t="s">
        <v>401</v>
      </c>
      <c r="C185" s="16" t="s">
        <v>227</v>
      </c>
      <c r="D185" s="46">
        <v>26</v>
      </c>
      <c r="E185" s="46">
        <v>0</v>
      </c>
      <c r="F185" s="13">
        <v>0.48931841641211071</v>
      </c>
      <c r="G185" s="13">
        <v>7.1002375655935687E-2</v>
      </c>
      <c r="H185" s="13">
        <v>6.2272085788887849E-2</v>
      </c>
      <c r="I185" s="13">
        <v>-9.485764672627333E-3</v>
      </c>
      <c r="J185" s="13">
        <v>-0.36792135747043853</v>
      </c>
      <c r="K185" s="13">
        <v>18.325260416666669</v>
      </c>
      <c r="L185" s="13">
        <v>0.61208892553278238</v>
      </c>
      <c r="M185" s="13">
        <v>-1.4695218148166349</v>
      </c>
      <c r="N185" s="19">
        <f>(F185-Settings!$D$18)/Settings!$E$18</f>
        <v>1.0629300411681151</v>
      </c>
      <c r="O185" s="19">
        <f>(G185-Settings!$D$19)/Settings!$E$19</f>
        <v>0.32347593348380849</v>
      </c>
      <c r="P185" s="19">
        <f>(H185-Settings!$D$20)/Settings!$E$20</f>
        <v>8.2854461280527411E-2</v>
      </c>
      <c r="Q185" s="19">
        <f>(I185-Settings!$D$21)/Settings!$E$21</f>
        <v>-8.0440241067337173E-2</v>
      </c>
      <c r="R185" s="19">
        <f>(J185-Settings!$D$22)/Settings!$E$22</f>
        <v>-1.6567920411191506</v>
      </c>
      <c r="S185" s="19">
        <f>(K185-Settings!$D$23)/Settings!$E$23</f>
        <v>1.0661573374383067</v>
      </c>
      <c r="T185" s="19">
        <f>(L185-Settings!$D$24)/Settings!$E$24</f>
        <v>-0.48130661734856856</v>
      </c>
      <c r="U185" s="19">
        <f>(M185-Settings!$D$25)/Settings!$E$25</f>
        <v>-0.95509162070069387</v>
      </c>
      <c r="V185" s="31">
        <f>Settings!$B$18*(N185-F$6)^2</f>
        <v>0.20652851204187572</v>
      </c>
      <c r="W185" s="31">
        <f>Settings!$B$19*(O185-G$6)^2</f>
        <v>6.5209476178997271E-3</v>
      </c>
      <c r="X185" s="31">
        <f>Settings!$B$20*(P185-H$6)^2</f>
        <v>0.94932893151682374</v>
      </c>
      <c r="Y185" s="31">
        <f>Settings!$B$21*(Q185-I$6)^2</f>
        <v>0.1214595713826257</v>
      </c>
      <c r="Z185" s="31">
        <f>Settings!$B$22*(R185-J$6)^2</f>
        <v>0.65497296102475722</v>
      </c>
      <c r="AA185" s="31">
        <f>Settings!$B$23*(S185-K$6)^2</f>
        <v>0.43782583823286558</v>
      </c>
      <c r="AB185" s="31">
        <f>Settings!$B$24*(T185-L$6)^2</f>
        <v>4.0301464204311968</v>
      </c>
      <c r="AC185" s="31">
        <f>Settings!$B$25*(U185-M$6)^2</f>
        <v>0.59777132127531574</v>
      </c>
      <c r="AD185" s="19">
        <f t="shared" si="8"/>
        <v>2.6466118913666508</v>
      </c>
      <c r="AE185" s="15">
        <f t="shared" si="9"/>
        <v>1.0475769685968113</v>
      </c>
      <c r="AF185" s="33">
        <f t="shared" si="10"/>
        <v>0.57769527652901831</v>
      </c>
      <c r="AG185" s="47">
        <f t="shared" si="11"/>
        <v>2.4941415154110841E-3</v>
      </c>
      <c r="AH185" s="18">
        <v>0.80719791964916476</v>
      </c>
      <c r="AI185" s="46">
        <v>0</v>
      </c>
      <c r="AJ185" s="18">
        <v>1.278712549178433</v>
      </c>
      <c r="AK185" s="46">
        <v>0</v>
      </c>
      <c r="AL185" s="18">
        <v>-0.50753170966618866</v>
      </c>
      <c r="AM185" s="46">
        <v>0</v>
      </c>
      <c r="AN185" s="18">
        <v>-0.39699797670020448</v>
      </c>
      <c r="AO185" s="46">
        <v>1</v>
      </c>
      <c r="AP185" s="18">
        <v>-0.52622989524420416</v>
      </c>
      <c r="AQ185" s="46">
        <v>1</v>
      </c>
    </row>
    <row r="186" spans="1:43" ht="20" customHeight="1" x14ac:dyDescent="0.45">
      <c r="A186" s="26">
        <v>176</v>
      </c>
      <c r="B186" s="16" t="s">
        <v>402</v>
      </c>
      <c r="C186" s="16" t="s">
        <v>210</v>
      </c>
      <c r="D186" s="46">
        <v>26</v>
      </c>
      <c r="E186" s="46">
        <v>0</v>
      </c>
      <c r="F186" s="13">
        <v>0.34512823390131792</v>
      </c>
      <c r="G186" s="13">
        <v>0.1958416670140645</v>
      </c>
      <c r="H186" s="13">
        <v>5.0841837602043763E-2</v>
      </c>
      <c r="I186" s="13">
        <v>-0.10847872722376441</v>
      </c>
      <c r="J186" s="13">
        <v>-0.29970953425880942</v>
      </c>
      <c r="K186" s="13">
        <v>17.130251141552471</v>
      </c>
      <c r="L186" s="13">
        <v>0.92920881967076352</v>
      </c>
      <c r="M186" s="13">
        <v>1.1549972615621611</v>
      </c>
      <c r="N186" s="19">
        <f>(F186-Settings!$D$18)/Settings!$E$18</f>
        <v>0.54688236653975186</v>
      </c>
      <c r="O186" s="19">
        <f>(G186-Settings!$D$19)/Settings!$E$19</f>
        <v>0.84357233283475452</v>
      </c>
      <c r="P186" s="19">
        <f>(H186-Settings!$D$20)/Settings!$E$20</f>
        <v>-2.0705785308091008E-2</v>
      </c>
      <c r="Q186" s="19">
        <f>(I186-Settings!$D$21)/Settings!$E$21</f>
        <v>-1.2977871463618127</v>
      </c>
      <c r="R186" s="19">
        <f>(J186-Settings!$D$22)/Settings!$E$22</f>
        <v>-1.4732649193157303</v>
      </c>
      <c r="S186" s="19">
        <f>(K186-Settings!$D$23)/Settings!$E$23</f>
        <v>0.65115810287422016</v>
      </c>
      <c r="T186" s="19">
        <f>(L186-Settings!$D$24)/Settings!$E$24</f>
        <v>-0.26206428858569403</v>
      </c>
      <c r="U186" s="19">
        <f>(M186-Settings!$D$25)/Settings!$E$25</f>
        <v>0.81491327499753474</v>
      </c>
      <c r="V186" s="31">
        <f>Settings!$B$18*(N186-F$6)^2</f>
        <v>5.0028512841454813E-2</v>
      </c>
      <c r="W186" s="31">
        <f>Settings!$B$19*(O186-G$6)^2</f>
        <v>2.3055931062482757E-2</v>
      </c>
      <c r="X186" s="31">
        <f>Settings!$B$20*(P186-H$6)^2</f>
        <v>1.0417237137482249</v>
      </c>
      <c r="Y186" s="31">
        <f>Settings!$B$21*(Q186-I$6)^2</f>
        <v>3.83782136402624E-2</v>
      </c>
      <c r="Z186" s="31">
        <f>Settings!$B$22*(R186-J$6)^2</f>
        <v>0.52886081690138198</v>
      </c>
      <c r="AA186" s="31">
        <f>Settings!$B$23*(S186-K$6)^2</f>
        <v>1.1592469867213551</v>
      </c>
      <c r="AB186" s="31">
        <f>Settings!$B$24*(T186-L$6)^2</f>
        <v>3.1979458215657672</v>
      </c>
      <c r="AC186" s="31">
        <f>Settings!$B$25*(U186-M$6)^2</f>
        <v>0.99370627560157043</v>
      </c>
      <c r="AD186" s="19">
        <f t="shared" si="8"/>
        <v>2.6519702622922638</v>
      </c>
      <c r="AE186" s="15">
        <f t="shared" si="9"/>
        <v>1.0496979089542477</v>
      </c>
      <c r="AF186" s="33">
        <f t="shared" si="10"/>
        <v>0.57641185368719272</v>
      </c>
      <c r="AG186" s="47">
        <f t="shared" si="11"/>
        <v>2.4886004657925778E-3</v>
      </c>
      <c r="AH186" s="18">
        <v>0.69302101804985861</v>
      </c>
      <c r="AI186" s="46">
        <v>0</v>
      </c>
      <c r="AJ186" s="18">
        <v>-1.120596360532274</v>
      </c>
      <c r="AK186" s="46">
        <v>0</v>
      </c>
      <c r="AL186" s="18">
        <v>0.52831327418147089</v>
      </c>
      <c r="AM186" s="46">
        <v>0</v>
      </c>
      <c r="AN186" s="18">
        <v>0.97862854330712246</v>
      </c>
      <c r="AO186" s="46">
        <v>0</v>
      </c>
      <c r="AP186" s="18">
        <v>-0.363322528834503</v>
      </c>
      <c r="AQ186" s="46">
        <v>0</v>
      </c>
    </row>
    <row r="187" spans="1:43" ht="20" customHeight="1" x14ac:dyDescent="0.45">
      <c r="A187" s="26">
        <v>177</v>
      </c>
      <c r="B187" s="16" t="s">
        <v>403</v>
      </c>
      <c r="C187" s="16" t="s">
        <v>229</v>
      </c>
      <c r="D187" s="46">
        <v>26</v>
      </c>
      <c r="E187" s="46">
        <v>1</v>
      </c>
      <c r="F187" s="13">
        <v>0.54212015845625339</v>
      </c>
      <c r="G187" s="13">
        <v>-0.1787477297971756</v>
      </c>
      <c r="H187" s="13">
        <v>-3.3872513259999987E-2</v>
      </c>
      <c r="I187" s="13">
        <v>-4.7527522678868107E-3</v>
      </c>
      <c r="J187" s="13">
        <v>0.24050684621868421</v>
      </c>
      <c r="K187" s="13">
        <v>16.93554083885212</v>
      </c>
      <c r="L187" s="13">
        <v>1.684569776997018</v>
      </c>
      <c r="M187" s="13">
        <v>-2.170537999967824</v>
      </c>
      <c r="N187" s="19">
        <f>(F187-Settings!$D$18)/Settings!$E$18</f>
        <v>1.251904184370735</v>
      </c>
      <c r="O187" s="19">
        <f>(G187-Settings!$D$19)/Settings!$E$19</f>
        <v>-0.71701483805583888</v>
      </c>
      <c r="P187" s="19">
        <f>(H187-Settings!$D$20)/Settings!$E$20</f>
        <v>-0.78823409453286586</v>
      </c>
      <c r="Q187" s="19">
        <f>(I187-Settings!$D$21)/Settings!$E$21</f>
        <v>-2.2236931911346507E-2</v>
      </c>
      <c r="R187" s="19">
        <f>(J187-Settings!$D$22)/Settings!$E$22</f>
        <v>-1.9787313937883039E-2</v>
      </c>
      <c r="S187" s="19">
        <f>(K187-Settings!$D$23)/Settings!$E$23</f>
        <v>0.58353969332282551</v>
      </c>
      <c r="T187" s="19">
        <f>(L187-Settings!$D$24)/Settings!$E$24</f>
        <v>0.26015805823656324</v>
      </c>
      <c r="U187" s="19">
        <f>(M187-Settings!$D$25)/Settings!$E$25</f>
        <v>-1.4278647435363294</v>
      </c>
      <c r="V187" s="31">
        <f>Settings!$B$18*(N187-F$6)^2</f>
        <v>0.29048422775175259</v>
      </c>
      <c r="W187" s="31">
        <f>Settings!$B$19*(O187-G$6)^2</f>
        <v>0.29819681743014348</v>
      </c>
      <c r="X187" s="31">
        <f>Settings!$B$20*(P187-H$6)^2</f>
        <v>1.8602171211235055</v>
      </c>
      <c r="Y187" s="31">
        <f>Settings!$B$21*(Q187-I$6)^2</f>
        <v>0.14028007312144225</v>
      </c>
      <c r="Z187" s="31">
        <f>Settings!$B$22*(R187-J$6)^2</f>
        <v>5.9618825799833044E-3</v>
      </c>
      <c r="AA187" s="31">
        <f>Settings!$B$23*(S187-K$6)^2</f>
        <v>1.3094264643612263</v>
      </c>
      <c r="AB187" s="31">
        <f>Settings!$B$24*(T187-L$6)^2</f>
        <v>1.6029023090797536</v>
      </c>
      <c r="AC187" s="31">
        <f>Settings!$B$25*(U187-M$6)^2</f>
        <v>1.5523411855062961</v>
      </c>
      <c r="AD187" s="19">
        <f t="shared" si="8"/>
        <v>2.657030312389022</v>
      </c>
      <c r="AE187" s="15">
        <f t="shared" si="9"/>
        <v>1.0517007685191886</v>
      </c>
      <c r="AF187" s="33">
        <f t="shared" si="10"/>
        <v>0.57520012615481864</v>
      </c>
      <c r="AG187" s="47">
        <f t="shared" si="11"/>
        <v>2.4833689534942268E-3</v>
      </c>
      <c r="AH187" s="18">
        <v>0.13352709672809529</v>
      </c>
      <c r="AI187" s="46">
        <v>1</v>
      </c>
      <c r="AJ187" s="18">
        <v>1.592486299992955</v>
      </c>
      <c r="AK187" s="46">
        <v>1</v>
      </c>
      <c r="AL187" s="18">
        <v>-0.26778527881730069</v>
      </c>
      <c r="AM187" s="46">
        <v>1</v>
      </c>
      <c r="AN187" s="48"/>
      <c r="AO187" s="48"/>
      <c r="AP187" s="48"/>
      <c r="AQ187" s="48"/>
    </row>
    <row r="188" spans="1:43" ht="20" customHeight="1" x14ac:dyDescent="0.45">
      <c r="A188" s="26">
        <v>178</v>
      </c>
      <c r="B188" s="16" t="s">
        <v>404</v>
      </c>
      <c r="C188" s="16" t="s">
        <v>260</v>
      </c>
      <c r="D188" s="46">
        <v>26</v>
      </c>
      <c r="E188" s="46">
        <v>1</v>
      </c>
      <c r="F188" s="13">
        <v>0.11358979194437691</v>
      </c>
      <c r="G188" s="13">
        <v>0.1015563739798649</v>
      </c>
      <c r="H188" s="13">
        <v>-1.0281369120748909E-2</v>
      </c>
      <c r="I188" s="13">
        <v>9.6834316342708088E-2</v>
      </c>
      <c r="J188" s="13">
        <v>0.67773814861230131</v>
      </c>
      <c r="K188" s="13">
        <v>15.673706896551719</v>
      </c>
      <c r="L188" s="13">
        <v>1.8916946538064989</v>
      </c>
      <c r="M188" s="13">
        <v>0.82332939277588291</v>
      </c>
      <c r="N188" s="19">
        <f>(F188-Settings!$D$18)/Settings!$E$18</f>
        <v>-0.28177928350018783</v>
      </c>
      <c r="O188" s="19">
        <f>(G188-Settings!$D$19)/Settings!$E$19</f>
        <v>0.45076778480058299</v>
      </c>
      <c r="P188" s="19">
        <f>(H188-Settings!$D$20)/Settings!$E$20</f>
        <v>-0.5744937920974007</v>
      </c>
      <c r="Q188" s="19">
        <f>(I188-Settings!$D$21)/Settings!$E$21</f>
        <v>1.2270104934009567</v>
      </c>
      <c r="R188" s="19">
        <f>(J188-Settings!$D$22)/Settings!$E$22</f>
        <v>1.1566040902575851</v>
      </c>
      <c r="S188" s="19">
        <f>(K188-Settings!$D$23)/Settings!$E$23</f>
        <v>0.1453337888945043</v>
      </c>
      <c r="T188" s="19">
        <f>(L188-Settings!$D$24)/Settings!$E$24</f>
        <v>0.40335481497070758</v>
      </c>
      <c r="U188" s="19">
        <f>(M188-Settings!$D$25)/Settings!$E$25</f>
        <v>0.59123277033627586</v>
      </c>
      <c r="V188" s="31">
        <f>Settings!$B$18*(N188-F$6)^2</f>
        <v>2.1584960621306357E-2</v>
      </c>
      <c r="W188" s="31">
        <f>Settings!$B$19*(O188-G$6)^2</f>
        <v>5.6766579555843713E-4</v>
      </c>
      <c r="X188" s="31">
        <f>Settings!$B$20*(P188-H$6)^2</f>
        <v>1.6086107600915871</v>
      </c>
      <c r="Y188" s="31">
        <f>Settings!$B$21*(Q188-I$6)^2</f>
        <v>0.87090003104964409</v>
      </c>
      <c r="Z188" s="31">
        <f>Settings!$B$22*(R188-J$6)^2</f>
        <v>0.20149774463793024</v>
      </c>
      <c r="AA188" s="31">
        <f>Settings!$B$23*(S188-K$6)^2</f>
        <v>2.5043304338790708</v>
      </c>
      <c r="AB188" s="31">
        <f>Settings!$B$24*(T188-L$6)^2</f>
        <v>1.2608168835838829</v>
      </c>
      <c r="AC188" s="31">
        <f>Settings!$B$25*(U188-M$6)^2</f>
        <v>0.59778823994246699</v>
      </c>
      <c r="AD188" s="19">
        <f t="shared" si="8"/>
        <v>2.6582130688869632</v>
      </c>
      <c r="AE188" s="15">
        <f t="shared" si="9"/>
        <v>1.0521689249839665</v>
      </c>
      <c r="AF188" s="33">
        <f t="shared" si="10"/>
        <v>0.57491692703100195</v>
      </c>
      <c r="AG188" s="47">
        <f t="shared" si="11"/>
        <v>2.4821462696320994E-3</v>
      </c>
      <c r="AH188" s="18">
        <v>-0.39495004220913282</v>
      </c>
      <c r="AI188" s="46">
        <v>1</v>
      </c>
      <c r="AJ188" s="18">
        <v>-0.9772927601155651</v>
      </c>
      <c r="AK188" s="46">
        <v>1</v>
      </c>
      <c r="AL188" s="18">
        <v>-0.23959047819841739</v>
      </c>
      <c r="AM188" s="46">
        <v>1</v>
      </c>
      <c r="AN188" s="18">
        <v>-0.38837149881362087</v>
      </c>
      <c r="AO188" s="46">
        <v>1</v>
      </c>
      <c r="AP188" s="18">
        <v>-0.32882774728810499</v>
      </c>
      <c r="AQ188" s="46">
        <v>1</v>
      </c>
    </row>
    <row r="189" spans="1:43" ht="20" customHeight="1" x14ac:dyDescent="0.45">
      <c r="A189" s="26">
        <v>179</v>
      </c>
      <c r="B189" s="16" t="s">
        <v>405</v>
      </c>
      <c r="C189" s="16" t="s">
        <v>260</v>
      </c>
      <c r="D189" s="46">
        <v>26</v>
      </c>
      <c r="E189" s="46">
        <v>1</v>
      </c>
      <c r="F189" s="13">
        <v>0.26220416214365949</v>
      </c>
      <c r="G189" s="13">
        <v>9.8977898713800527E-2</v>
      </c>
      <c r="H189" s="13">
        <v>-3.0632476414545922E-4</v>
      </c>
      <c r="I189" s="13">
        <v>7.4440713772890472E-3</v>
      </c>
      <c r="J189" s="13">
        <v>0.63106754300110546</v>
      </c>
      <c r="K189" s="13">
        <v>14.74624183006536</v>
      </c>
      <c r="L189" s="13">
        <v>1.76229227577514</v>
      </c>
      <c r="M189" s="13">
        <v>-0.89336950611097632</v>
      </c>
      <c r="N189" s="19">
        <f>(F189-Settings!$D$18)/Settings!$E$18</f>
        <v>0.25010228306872878</v>
      </c>
      <c r="O189" s="19">
        <f>(G189-Settings!$D$19)/Settings!$E$19</f>
        <v>0.44002552819926632</v>
      </c>
      <c r="P189" s="19">
        <f>(H189-Settings!$D$20)/Settings!$E$20</f>
        <v>-0.48411797204379625</v>
      </c>
      <c r="Q189" s="19">
        <f>(I189-Settings!$D$21)/Settings!$E$21</f>
        <v>0.12775115952704602</v>
      </c>
      <c r="R189" s="19">
        <f>(J189-Settings!$D$22)/Settings!$E$22</f>
        <v>1.0310346285812542</v>
      </c>
      <c r="S189" s="19">
        <f>(K189-Settings!$D$23)/Settings!$E$23</f>
        <v>-0.17675349585898578</v>
      </c>
      <c r="T189" s="19">
        <f>(L189-Settings!$D$24)/Settings!$E$24</f>
        <v>0.31389187293685095</v>
      </c>
      <c r="U189" s="19">
        <f>(M189-Settings!$D$25)/Settings!$E$25</f>
        <v>-0.56652808681168865</v>
      </c>
      <c r="V189" s="31">
        <f>Settings!$B$18*(N189-F$6)^2</f>
        <v>8.2712580614111037E-3</v>
      </c>
      <c r="W189" s="31">
        <f>Settings!$B$19*(O189-G$6)^2</f>
        <v>8.1966666703927552E-4</v>
      </c>
      <c r="X189" s="31">
        <f>Settings!$B$20*(P189-H$6)^2</f>
        <v>1.507720981861127</v>
      </c>
      <c r="Y189" s="31">
        <f>Settings!$B$21*(Q189-I$6)^2</f>
        <v>0.19502515850004298</v>
      </c>
      <c r="Z189" s="31">
        <f>Settings!$B$22*(R189-J$6)^2</f>
        <v>0.15423577771125119</v>
      </c>
      <c r="AA189" s="31">
        <f>Settings!$B$23*(S189-K$6)^2</f>
        <v>3.6274818312729624</v>
      </c>
      <c r="AB189" s="31">
        <f>Settings!$B$24*(T189-L$6)^2</f>
        <v>1.4697294033334356</v>
      </c>
      <c r="AC189" s="31">
        <f>Settings!$B$25*(U189-M$6)^2</f>
        <v>0.14791192258058597</v>
      </c>
      <c r="AD189" s="19">
        <f t="shared" si="8"/>
        <v>2.6666825832835555</v>
      </c>
      <c r="AE189" s="15">
        <f t="shared" si="9"/>
        <v>1.0555213123309786</v>
      </c>
      <c r="AF189" s="33">
        <f t="shared" si="10"/>
        <v>0.57288938837192205</v>
      </c>
      <c r="AG189" s="47">
        <f t="shared" si="11"/>
        <v>2.4733925744762448E-3</v>
      </c>
      <c r="AH189" s="18">
        <v>-0.65192935287646647</v>
      </c>
      <c r="AI189" s="46">
        <v>1</v>
      </c>
      <c r="AJ189" s="18">
        <v>-5.4191228989098887E-2</v>
      </c>
      <c r="AK189" s="46">
        <v>1</v>
      </c>
      <c r="AL189" s="18">
        <v>-1.0821634813795871</v>
      </c>
      <c r="AM189" s="46">
        <v>1</v>
      </c>
      <c r="AN189" s="18">
        <v>-0.49907094865242052</v>
      </c>
      <c r="AO189" s="46">
        <v>1</v>
      </c>
      <c r="AP189" s="18">
        <v>1.2698009209987</v>
      </c>
      <c r="AQ189" s="46">
        <v>1</v>
      </c>
    </row>
    <row r="190" spans="1:43" ht="20" customHeight="1" x14ac:dyDescent="0.45">
      <c r="A190" s="26">
        <v>180</v>
      </c>
      <c r="B190" s="16" t="s">
        <v>406</v>
      </c>
      <c r="C190" s="16" t="s">
        <v>260</v>
      </c>
      <c r="D190" s="46">
        <v>26</v>
      </c>
      <c r="E190" s="46">
        <v>1</v>
      </c>
      <c r="F190" s="13">
        <v>0.44014141606000751</v>
      </c>
      <c r="G190" s="13">
        <v>-4.9071979467437778E-2</v>
      </c>
      <c r="H190" s="13">
        <v>9.4883843701610515E-2</v>
      </c>
      <c r="I190" s="13">
        <v>0.24893386733480799</v>
      </c>
      <c r="J190" s="13">
        <v>0.16696889343613619</v>
      </c>
      <c r="K190" s="13">
        <v>17.545338983050819</v>
      </c>
      <c r="L190" s="13">
        <v>1.415490944334715</v>
      </c>
      <c r="M190" s="13">
        <v>-4.4823016665202157E-2</v>
      </c>
      <c r="N190" s="19">
        <f>(F190-Settings!$D$18)/Settings!$E$18</f>
        <v>0.88692862252089533</v>
      </c>
      <c r="O190" s="19">
        <f>(G190-Settings!$D$19)/Settings!$E$19</f>
        <v>-0.17676913419205006</v>
      </c>
      <c r="P190" s="19">
        <f>(H190-Settings!$D$20)/Settings!$E$20</f>
        <v>0.3783232591511676</v>
      </c>
      <c r="Q190" s="19">
        <f>(I190-Settings!$D$21)/Settings!$E$21</f>
        <v>3.0974254494263871</v>
      </c>
      <c r="R190" s="19">
        <f>(J190-Settings!$D$22)/Settings!$E$22</f>
        <v>-0.21764463810915582</v>
      </c>
      <c r="S190" s="19">
        <f>(K190-Settings!$D$23)/Settings!$E$23</f>
        <v>0.7953085626957237</v>
      </c>
      <c r="T190" s="19">
        <f>(L190-Settings!$D$24)/Settings!$E$24</f>
        <v>7.4129143040184392E-2</v>
      </c>
      <c r="U190" s="19">
        <f>(M190-Settings!$D$25)/Settings!$E$25</f>
        <v>5.7411163593810415E-3</v>
      </c>
      <c r="V190" s="31">
        <f>Settings!$B$18*(N190-F$6)^2</f>
        <v>0.14118344388528301</v>
      </c>
      <c r="W190" s="31">
        <f>Settings!$B$19*(O190-G$6)^2</f>
        <v>9.2701237959485303E-2</v>
      </c>
      <c r="X190" s="31">
        <f>Settings!$B$20*(P190-H$6)^2</f>
        <v>0.70929656052502166</v>
      </c>
      <c r="Y190" s="31">
        <f>Settings!$B$21*(Q190-I$6)^2</f>
        <v>3.1318212617298222</v>
      </c>
      <c r="Z190" s="31">
        <f>Settings!$B$22*(R190-J$6)^2</f>
        <v>2.7455732209522556E-2</v>
      </c>
      <c r="AA190" s="31">
        <f>Settings!$B$23*(S190-K$6)^2</f>
        <v>0.86961754843879302</v>
      </c>
      <c r="AB190" s="31">
        <f>Settings!$B$24*(T190-L$6)^2</f>
        <v>2.1085557781439692</v>
      </c>
      <c r="AC190" s="31">
        <f>Settings!$B$25*(U190-M$6)^2</f>
        <v>3.5222285536128287E-2</v>
      </c>
      <c r="AD190" s="19">
        <f t="shared" si="8"/>
        <v>2.6675557816900524</v>
      </c>
      <c r="AE190" s="15">
        <f t="shared" si="9"/>
        <v>1.055866940091001</v>
      </c>
      <c r="AF190" s="33">
        <f t="shared" si="10"/>
        <v>0.57268039222949307</v>
      </c>
      <c r="AG190" s="47">
        <f t="shared" si="11"/>
        <v>2.4724902545567801E-3</v>
      </c>
      <c r="AH190" s="18">
        <v>0.27347556486271452</v>
      </c>
      <c r="AI190" s="46">
        <v>1</v>
      </c>
      <c r="AJ190" s="18">
        <v>-1.464926058893447</v>
      </c>
      <c r="AK190" s="46">
        <v>1</v>
      </c>
      <c r="AL190" s="18">
        <v>-1.107340762027724</v>
      </c>
      <c r="AM190" s="46">
        <v>1</v>
      </c>
      <c r="AN190" s="18">
        <v>1.157991955593296</v>
      </c>
      <c r="AO190" s="46">
        <v>1</v>
      </c>
      <c r="AP190" s="18">
        <v>-0.33471465173517417</v>
      </c>
      <c r="AQ190" s="46">
        <v>1</v>
      </c>
    </row>
    <row r="191" spans="1:43" ht="20" customHeight="1" x14ac:dyDescent="0.45">
      <c r="A191" s="26">
        <v>181</v>
      </c>
      <c r="B191" s="16" t="s">
        <v>407</v>
      </c>
      <c r="C191" s="16" t="s">
        <v>224</v>
      </c>
      <c r="D191" s="46">
        <v>26</v>
      </c>
      <c r="E191" s="46">
        <v>0</v>
      </c>
      <c r="F191" s="13">
        <v>0.55731295576851081</v>
      </c>
      <c r="G191" s="13">
        <v>-4.9306027486540047E-2</v>
      </c>
      <c r="H191" s="13">
        <v>0.22197544809077729</v>
      </c>
      <c r="I191" s="13">
        <v>-1.111346543581475E-3</v>
      </c>
      <c r="J191" s="13">
        <v>0.17029422211059031</v>
      </c>
      <c r="K191" s="13">
        <v>16.88449367088608</v>
      </c>
      <c r="L191" s="13">
        <v>2.7556823352271271</v>
      </c>
      <c r="M191" s="13">
        <v>2.941510630880626</v>
      </c>
      <c r="N191" s="19">
        <f>(F191-Settings!$D$18)/Settings!$E$18</f>
        <v>1.3062782588574198</v>
      </c>
      <c r="O191" s="19">
        <f>(G191-Settings!$D$19)/Settings!$E$19</f>
        <v>-0.17774420807052244</v>
      </c>
      <c r="P191" s="19">
        <f>(H191-Settings!$D$20)/Settings!$E$20</f>
        <v>1.5297976343999873</v>
      </c>
      <c r="Q191" s="19">
        <f>(I191-Settings!$D$21)/Settings!$E$21</f>
        <v>2.254255417701858E-2</v>
      </c>
      <c r="R191" s="19">
        <f>(J191-Settings!$D$22)/Settings!$E$22</f>
        <v>-0.20869768475211814</v>
      </c>
      <c r="S191" s="19">
        <f>(K191-Settings!$D$23)/Settings!$E$23</f>
        <v>0.56581218603586625</v>
      </c>
      <c r="T191" s="19">
        <f>(L191-Settings!$D$24)/Settings!$E$24</f>
        <v>1.0006767578655167</v>
      </c>
      <c r="U191" s="19">
        <f>(M191-Settings!$D$25)/Settings!$E$25</f>
        <v>2.019757788563429</v>
      </c>
      <c r="V191" s="31">
        <f>Settings!$B$18*(N191-F$6)^2</f>
        <v>0.31728741445614284</v>
      </c>
      <c r="W191" s="31">
        <f>Settings!$B$19*(O191-G$6)^2</f>
        <v>9.2966965258966541E-2</v>
      </c>
      <c r="X191" s="31">
        <f>Settings!$B$20*(P191-H$6)^2</f>
        <v>0.10708763015488497</v>
      </c>
      <c r="Y191" s="31">
        <f>Settings!$B$21*(Q191-I$6)^2</f>
        <v>0.15568217851038674</v>
      </c>
      <c r="Z191" s="31">
        <f>Settings!$B$22*(R191-J$6)^2</f>
        <v>2.6145762694968946E-2</v>
      </c>
      <c r="AA191" s="31">
        <f>Settings!$B$23*(S191-K$6)^2</f>
        <v>1.3503119636235681</v>
      </c>
      <c r="AB191" s="31">
        <f>Settings!$B$24*(T191-L$6)^2</f>
        <v>0.27619132781212385</v>
      </c>
      <c r="AC191" s="31">
        <f>Settings!$B$25*(U191-M$6)^2</f>
        <v>4.8474506763334562</v>
      </c>
      <c r="AD191" s="19">
        <f t="shared" si="8"/>
        <v>2.6782688287109075</v>
      </c>
      <c r="AE191" s="15">
        <f t="shared" si="9"/>
        <v>1.0601073583250276</v>
      </c>
      <c r="AF191" s="33">
        <f t="shared" si="10"/>
        <v>0.57011692615378284</v>
      </c>
      <c r="AG191" s="47">
        <f t="shared" si="11"/>
        <v>2.4614227464386735E-3</v>
      </c>
      <c r="AH191" s="18">
        <v>1.116209226622475</v>
      </c>
      <c r="AI191" s="46">
        <v>0</v>
      </c>
      <c r="AJ191" s="18">
        <v>-1.5556356918332119</v>
      </c>
      <c r="AK191" s="46">
        <v>1</v>
      </c>
      <c r="AL191" s="18">
        <v>-0.33569184481296549</v>
      </c>
      <c r="AM191" s="46">
        <v>1</v>
      </c>
      <c r="AN191" s="18">
        <v>-0.4024988819104296</v>
      </c>
      <c r="AO191" s="46">
        <v>1</v>
      </c>
      <c r="AP191" s="18">
        <v>-6.411836293467843E-2</v>
      </c>
      <c r="AQ191" s="46">
        <v>1</v>
      </c>
    </row>
    <row r="192" spans="1:43" ht="20" customHeight="1" x14ac:dyDescent="0.45">
      <c r="A192" s="26">
        <v>182</v>
      </c>
      <c r="B192" s="16" t="s">
        <v>408</v>
      </c>
      <c r="C192" s="16" t="s">
        <v>234</v>
      </c>
      <c r="D192" s="46">
        <v>26</v>
      </c>
      <c r="E192" s="46">
        <v>1</v>
      </c>
      <c r="F192" s="13">
        <v>0.29830382671402211</v>
      </c>
      <c r="G192" s="13">
        <v>-0.42947591191017309</v>
      </c>
      <c r="H192" s="13">
        <v>3.9195628676396872E-2</v>
      </c>
      <c r="I192" s="13">
        <v>-7.4027384133461124E-3</v>
      </c>
      <c r="J192" s="13">
        <v>0.22562189428606191</v>
      </c>
      <c r="K192" s="13">
        <v>17.677238805970148</v>
      </c>
      <c r="L192" s="13">
        <v>0.59391755547048419</v>
      </c>
      <c r="M192" s="13">
        <v>-0.35083100201125872</v>
      </c>
      <c r="N192" s="19">
        <f>(F192-Settings!$D$18)/Settings!$E$18</f>
        <v>0.37930073217260674</v>
      </c>
      <c r="O192" s="19">
        <f>(G192-Settings!$D$19)/Settings!$E$19</f>
        <v>-1.7615804016225951</v>
      </c>
      <c r="P192" s="19">
        <f>(H192-Settings!$D$20)/Settings!$E$20</f>
        <v>-0.12622267771911774</v>
      </c>
      <c r="Q192" s="19">
        <f>(I192-Settings!$D$21)/Settings!$E$21</f>
        <v>-5.4824626532382598E-2</v>
      </c>
      <c r="R192" s="19">
        <f>(J192-Settings!$D$22)/Settings!$E$22</f>
        <v>-5.9835977904846106E-2</v>
      </c>
      <c r="S192" s="19">
        <f>(K192-Settings!$D$23)/Settings!$E$23</f>
        <v>0.84111433733745555</v>
      </c>
      <c r="T192" s="19">
        <f>(L192-Settings!$D$24)/Settings!$E$24</f>
        <v>-0.49386947941718667</v>
      </c>
      <c r="U192" s="19">
        <f>(M192-Settings!$D$25)/Settings!$E$25</f>
        <v>-0.20063407712277057</v>
      </c>
      <c r="V192" s="31">
        <f>Settings!$B$18*(N192-F$6)^2</f>
        <v>2.2119351708336003E-2</v>
      </c>
      <c r="W192" s="31">
        <f>Settings!$B$19*(O192-G$6)^2</f>
        <v>1.026610563619625</v>
      </c>
      <c r="X192" s="31">
        <f>Settings!$B$20*(P192-H$6)^2</f>
        <v>1.1402764178302831</v>
      </c>
      <c r="Y192" s="31">
        <f>Settings!$B$21*(Q192-I$6)^2</f>
        <v>0.1295756327847791</v>
      </c>
      <c r="Z192" s="31">
        <f>Settings!$B$22*(R192-J$6)^2</f>
        <v>9.0484869145704069E-3</v>
      </c>
      <c r="AA192" s="31">
        <f>Settings!$B$23*(S192-K$6)^2</f>
        <v>0.78628493670587951</v>
      </c>
      <c r="AB192" s="31">
        <f>Settings!$B$24*(T192-L$6)^2</f>
        <v>4.080744701420179</v>
      </c>
      <c r="AC192" s="31">
        <f>Settings!$B$25*(U192-M$6)^2</f>
        <v>3.4965938253240825E-4</v>
      </c>
      <c r="AD192" s="19">
        <f t="shared" si="8"/>
        <v>2.6823515337043697</v>
      </c>
      <c r="AE192" s="15">
        <f t="shared" si="9"/>
        <v>1.0617233669792157</v>
      </c>
      <c r="AF192" s="33">
        <f t="shared" si="10"/>
        <v>0.56914032750091759</v>
      </c>
      <c r="AG192" s="47">
        <f t="shared" si="11"/>
        <v>2.4572063795356225E-3</v>
      </c>
      <c r="AH192" s="18">
        <v>-0.87836531183087696</v>
      </c>
      <c r="AI192" s="46">
        <v>1</v>
      </c>
      <c r="AJ192" s="18">
        <v>0.61328552291183913</v>
      </c>
      <c r="AK192" s="46">
        <v>1</v>
      </c>
      <c r="AL192" s="18">
        <v>1.2633948056596751</v>
      </c>
      <c r="AM192" s="46">
        <v>1</v>
      </c>
      <c r="AN192" s="18">
        <v>-0.22520261178051901</v>
      </c>
      <c r="AO192" s="46">
        <v>1</v>
      </c>
      <c r="AP192" s="18">
        <v>0.72047019679765034</v>
      </c>
      <c r="AQ192" s="46">
        <v>1</v>
      </c>
    </row>
    <row r="193" spans="1:43" ht="20" customHeight="1" x14ac:dyDescent="0.45">
      <c r="A193" s="26">
        <v>183</v>
      </c>
      <c r="B193" s="16" t="s">
        <v>409</v>
      </c>
      <c r="C193" s="16" t="s">
        <v>234</v>
      </c>
      <c r="D193" s="46">
        <v>26</v>
      </c>
      <c r="E193" s="46">
        <v>1</v>
      </c>
      <c r="F193" s="13">
        <v>0.49808426333196099</v>
      </c>
      <c r="G193" s="13">
        <v>0.27493762264846477</v>
      </c>
      <c r="H193" s="13">
        <v>-1.521126614792224E-2</v>
      </c>
      <c r="I193" s="13">
        <v>-0.18295986986709181</v>
      </c>
      <c r="J193" s="13">
        <v>-2.880697800456028E-2</v>
      </c>
      <c r="K193" s="13">
        <v>17.797478070175458</v>
      </c>
      <c r="L193" s="13">
        <v>0.86685468945114363</v>
      </c>
      <c r="M193" s="13">
        <v>0.93644311584207895</v>
      </c>
      <c r="N193" s="19">
        <f>(F193-Settings!$D$18)/Settings!$E$18</f>
        <v>1.094302460845844</v>
      </c>
      <c r="O193" s="19">
        <f>(G193-Settings!$D$19)/Settings!$E$19</f>
        <v>1.1730961652847625</v>
      </c>
      <c r="P193" s="19">
        <f>(H193-Settings!$D$20)/Settings!$E$20</f>
        <v>-0.61915960717376861</v>
      </c>
      <c r="Q193" s="19">
        <f>(I193-Settings!$D$21)/Settings!$E$21</f>
        <v>-2.2137046637592102</v>
      </c>
      <c r="R193" s="19">
        <f>(J193-Settings!$D$22)/Settings!$E$22</f>
        <v>-0.74438883746288109</v>
      </c>
      <c r="S193" s="19">
        <f>(K193-Settings!$D$23)/Settings!$E$23</f>
        <v>0.88287066814500015</v>
      </c>
      <c r="T193" s="19">
        <f>(L193-Settings!$D$24)/Settings!$E$24</f>
        <v>-0.30517310947658643</v>
      </c>
      <c r="U193" s="19">
        <f>(M193-Settings!$D$25)/Settings!$E$25</f>
        <v>0.66751792497651752</v>
      </c>
      <c r="V193" s="31">
        <f>Settings!$B$18*(N193-F$6)^2</f>
        <v>0.21947749618824869</v>
      </c>
      <c r="W193" s="31">
        <f>Settings!$B$19*(O193-G$6)^2</f>
        <v>8.952622559907919E-2</v>
      </c>
      <c r="X193" s="31">
        <f>Settings!$B$20*(P193-H$6)^2</f>
        <v>1.6596791647773248</v>
      </c>
      <c r="Y193" s="31">
        <f>Settings!$B$21*(Q193-I$6)^2</f>
        <v>0.36664762641705073</v>
      </c>
      <c r="Z193" s="31">
        <f>Settings!$B$22*(R193-J$6)^2</f>
        <v>0.16101350444469534</v>
      </c>
      <c r="AA193" s="31">
        <f>Settings!$B$23*(S193-K$6)^2</f>
        <v>0.71397558824127061</v>
      </c>
      <c r="AB193" s="31">
        <f>Settings!$B$24*(T193-L$6)^2</f>
        <v>3.3539854876151147</v>
      </c>
      <c r="AC193" s="31">
        <f>Settings!$B$25*(U193-M$6)^2</f>
        <v>0.72157009470744038</v>
      </c>
      <c r="AD193" s="19">
        <f t="shared" si="8"/>
        <v>2.6992360378429714</v>
      </c>
      <c r="AE193" s="15">
        <f t="shared" si="9"/>
        <v>1.0684065598264463</v>
      </c>
      <c r="AF193" s="33">
        <f t="shared" si="10"/>
        <v>0.56510355099006793</v>
      </c>
      <c r="AG193" s="47">
        <f t="shared" si="11"/>
        <v>2.4397780011271302E-3</v>
      </c>
      <c r="AH193" s="18">
        <v>5.035937034015503E-3</v>
      </c>
      <c r="AI193" s="46">
        <v>1</v>
      </c>
      <c r="AJ193" s="18">
        <v>0.8258213844887079</v>
      </c>
      <c r="AK193" s="46">
        <v>1</v>
      </c>
      <c r="AL193" s="18">
        <v>0.6452872021500673</v>
      </c>
      <c r="AM193" s="46">
        <v>1</v>
      </c>
      <c r="AN193" s="18">
        <v>-0.60225610299950549</v>
      </c>
      <c r="AO193" s="46">
        <v>1</v>
      </c>
      <c r="AP193" s="18">
        <v>-0.51297341404414132</v>
      </c>
      <c r="AQ193" s="46">
        <v>1</v>
      </c>
    </row>
    <row r="194" spans="1:43" ht="20" customHeight="1" x14ac:dyDescent="0.45">
      <c r="A194" s="26">
        <v>184</v>
      </c>
      <c r="B194" s="16" t="s">
        <v>410</v>
      </c>
      <c r="C194" s="16" t="s">
        <v>234</v>
      </c>
      <c r="D194" s="46">
        <v>26</v>
      </c>
      <c r="E194" s="46">
        <v>1</v>
      </c>
      <c r="F194" s="13">
        <v>-0.2288312934476158</v>
      </c>
      <c r="G194" s="13">
        <v>0.1808344009824856</v>
      </c>
      <c r="H194" s="13">
        <v>0.12510007108854479</v>
      </c>
      <c r="I194" s="13">
        <v>3.0386353494995268E-2</v>
      </c>
      <c r="J194" s="13">
        <v>0.43484788098635851</v>
      </c>
      <c r="K194" s="13">
        <v>17.307236842105262</v>
      </c>
      <c r="L194" s="13">
        <v>0.73569604684352963</v>
      </c>
      <c r="M194" s="13">
        <v>1.3953294420825999</v>
      </c>
      <c r="N194" s="19">
        <f>(F194-Settings!$D$18)/Settings!$E$18</f>
        <v>-1.5072830021533725</v>
      </c>
      <c r="O194" s="19">
        <f>(G194-Settings!$D$19)/Settings!$E$19</f>
        <v>0.78105014977673837</v>
      </c>
      <c r="P194" s="19">
        <f>(H194-Settings!$D$20)/Settings!$E$20</f>
        <v>0.65208808980202826</v>
      </c>
      <c r="Q194" s="19">
        <f>(I194-Settings!$D$21)/Settings!$E$21</f>
        <v>0.40987945851552454</v>
      </c>
      <c r="R194" s="19">
        <f>(J194-Settings!$D$22)/Settings!$E$22</f>
        <v>0.5030963897941263</v>
      </c>
      <c r="S194" s="19">
        <f>(K194-Settings!$D$23)/Settings!$E$23</f>
        <v>0.7126211657874163</v>
      </c>
      <c r="T194" s="19">
        <f>(L194-Settings!$D$24)/Settings!$E$24</f>
        <v>-0.39585025327683993</v>
      </c>
      <c r="U194" s="19">
        <f>(M194-Settings!$D$25)/Settings!$E$25</f>
        <v>0.97699597424083451</v>
      </c>
      <c r="V194" s="31">
        <f>Settings!$B$18*(N194-F$6)^2</f>
        <v>0.48299738800274022</v>
      </c>
      <c r="W194" s="31">
        <f>Settings!$B$19*(O194-G$6)^2</f>
        <v>1.5346508573251644E-2</v>
      </c>
      <c r="X194" s="31">
        <f>Settings!$B$20*(P194-H$6)^2</f>
        <v>0.51806324606077758</v>
      </c>
      <c r="Y194" s="31">
        <f>Settings!$B$21*(Q194-I$6)^2</f>
        <v>0.32238337166617348</v>
      </c>
      <c r="Z194" s="31">
        <f>Settings!$B$22*(R194-J$6)^2</f>
        <v>2.453216534931638E-2</v>
      </c>
      <c r="AA194" s="31">
        <f>Settings!$B$23*(S194-K$6)^2</f>
        <v>1.0306721846893898</v>
      </c>
      <c r="AB194" s="31">
        <f>Settings!$B$24*(T194-L$6)^2</f>
        <v>3.6943380704405295</v>
      </c>
      <c r="AC194" s="31">
        <f>Settings!$B$25*(U194-M$6)^2</f>
        <v>1.3431207615093996</v>
      </c>
      <c r="AD194" s="19">
        <f t="shared" si="8"/>
        <v>2.7260692757689737</v>
      </c>
      <c r="AE194" s="15">
        <f t="shared" si="9"/>
        <v>1.0790276418732148</v>
      </c>
      <c r="AF194" s="33">
        <f t="shared" si="10"/>
        <v>0.55869569610118475</v>
      </c>
      <c r="AG194" s="47">
        <f t="shared" si="11"/>
        <v>2.4121127292226771E-3</v>
      </c>
      <c r="AH194" s="18">
        <v>0.68790156634852773</v>
      </c>
      <c r="AI194" s="46">
        <v>1</v>
      </c>
      <c r="AJ194" s="18">
        <v>-0.38182079769280991</v>
      </c>
      <c r="AK194" s="46">
        <v>1</v>
      </c>
      <c r="AL194" s="18">
        <v>0.38827071903461913</v>
      </c>
      <c r="AM194" s="46">
        <v>1</v>
      </c>
      <c r="AN194" s="18">
        <v>0.16421918688212789</v>
      </c>
      <c r="AO194" s="46">
        <v>1</v>
      </c>
      <c r="AP194" s="18">
        <v>-0.29674618775059641</v>
      </c>
      <c r="AQ194" s="46">
        <v>1</v>
      </c>
    </row>
    <row r="195" spans="1:43" ht="20" customHeight="1" x14ac:dyDescent="0.45">
      <c r="A195" s="26">
        <v>185</v>
      </c>
      <c r="B195" s="16" t="s">
        <v>411</v>
      </c>
      <c r="C195" s="16" t="s">
        <v>271</v>
      </c>
      <c r="D195" s="46">
        <v>26</v>
      </c>
      <c r="E195" s="46">
        <v>1</v>
      </c>
      <c r="F195" s="13">
        <v>0.18457623851019389</v>
      </c>
      <c r="G195" s="13">
        <v>-0.34881563700518808</v>
      </c>
      <c r="H195" s="13">
        <v>9.590062785863035E-2</v>
      </c>
      <c r="I195" s="13">
        <v>-7.6624482287995896E-4</v>
      </c>
      <c r="J195" s="13">
        <v>0.36994125180310761</v>
      </c>
      <c r="K195" s="13">
        <v>18.230322580645161</v>
      </c>
      <c r="L195" s="13">
        <v>0.59266606274334654</v>
      </c>
      <c r="M195" s="13">
        <v>-1.98633800812493</v>
      </c>
      <c r="N195" s="19">
        <f>(F195-Settings!$D$18)/Settings!$E$18</f>
        <v>-2.7723216418932627E-2</v>
      </c>
      <c r="O195" s="19">
        <f>(G195-Settings!$D$19)/Settings!$E$19</f>
        <v>-1.4255394157089998</v>
      </c>
      <c r="P195" s="19">
        <f>(H195-Settings!$D$20)/Settings!$E$20</f>
        <v>0.38753551913950018</v>
      </c>
      <c r="Q195" s="19">
        <f>(I195-Settings!$D$21)/Settings!$E$21</f>
        <v>2.67863761708373E-2</v>
      </c>
      <c r="R195" s="19">
        <f>(J195-Settings!$D$22)/Settings!$E$22</f>
        <v>0.32846204813452567</v>
      </c>
      <c r="S195" s="19">
        <f>(K195-Settings!$D$23)/Settings!$E$23</f>
        <v>1.03318761067503</v>
      </c>
      <c r="T195" s="19">
        <f>(L195-Settings!$D$24)/Settings!$E$24</f>
        <v>-0.49473470479408488</v>
      </c>
      <c r="U195" s="19">
        <f>(M195-Settings!$D$25)/Settings!$E$25</f>
        <v>-1.30363821750957</v>
      </c>
      <c r="V195" s="31">
        <f>Settings!$B$18*(N195-F$6)^2</f>
        <v>1.1089488375131509E-3</v>
      </c>
      <c r="W195" s="31">
        <f>Settings!$B$19*(O195-G$6)^2</f>
        <v>0.74465824237082001</v>
      </c>
      <c r="X195" s="31">
        <f>Settings!$B$20*(P195-H$6)^2</f>
        <v>0.70237408278299673</v>
      </c>
      <c r="Y195" s="31">
        <f>Settings!$B$21*(Q195-I$6)^2</f>
        <v>0.15718346938696201</v>
      </c>
      <c r="Z195" s="31">
        <f>Settings!$B$22*(R195-J$6)^2</f>
        <v>6.1667443681933014E-3</v>
      </c>
      <c r="AA195" s="31">
        <f>Settings!$B$23*(S195-K$6)^2</f>
        <v>0.48254392858064599</v>
      </c>
      <c r="AB195" s="31">
        <f>Settings!$B$24*(T195-L$6)^2</f>
        <v>4.084241108200434</v>
      </c>
      <c r="AC195" s="31">
        <f>Settings!$B$25*(U195-M$6)^2</f>
        <v>1.2582183419577113</v>
      </c>
      <c r="AD195" s="19">
        <f t="shared" si="8"/>
        <v>2.7269937415559422</v>
      </c>
      <c r="AE195" s="15">
        <f t="shared" si="9"/>
        <v>1.0793935621918844</v>
      </c>
      <c r="AF195" s="33">
        <f t="shared" si="10"/>
        <v>0.55847510788705246</v>
      </c>
      <c r="AG195" s="47">
        <f t="shared" si="11"/>
        <v>2.4111603616942747E-3</v>
      </c>
      <c r="AH195" s="18">
        <v>-0.24051504297721971</v>
      </c>
      <c r="AI195" s="46">
        <v>1</v>
      </c>
      <c r="AJ195" s="18">
        <v>1.017028475420632</v>
      </c>
      <c r="AK195" s="46">
        <v>1</v>
      </c>
      <c r="AL195" s="18">
        <v>0.38832762789466629</v>
      </c>
      <c r="AM195" s="46">
        <v>1</v>
      </c>
      <c r="AN195" s="18">
        <v>-2.4071076351135261</v>
      </c>
      <c r="AO195" s="46">
        <v>1</v>
      </c>
      <c r="AP195" s="18">
        <v>-2.0188788264519042</v>
      </c>
      <c r="AQ195" s="46">
        <v>1</v>
      </c>
    </row>
    <row r="196" spans="1:43" ht="20" customHeight="1" x14ac:dyDescent="0.45">
      <c r="A196" s="26">
        <v>186</v>
      </c>
      <c r="B196" s="16" t="s">
        <v>412</v>
      </c>
      <c r="C196" s="16" t="s">
        <v>271</v>
      </c>
      <c r="D196" s="46">
        <v>26</v>
      </c>
      <c r="E196" s="46">
        <v>1</v>
      </c>
      <c r="F196" s="13">
        <v>0.35671229327102238</v>
      </c>
      <c r="G196" s="13">
        <v>0.24881344743797279</v>
      </c>
      <c r="H196" s="13">
        <v>3.6368074854222728E-2</v>
      </c>
      <c r="I196" s="13">
        <v>2.2879353964267441E-4</v>
      </c>
      <c r="J196" s="13">
        <v>0.35787739089713938</v>
      </c>
      <c r="K196" s="13">
        <v>13.98047945205481</v>
      </c>
      <c r="L196" s="13">
        <v>1.895604042612949</v>
      </c>
      <c r="M196" s="13">
        <v>-0.10624978458008939</v>
      </c>
      <c r="N196" s="19">
        <f>(F196-Settings!$D$18)/Settings!$E$18</f>
        <v>0.58834099289280084</v>
      </c>
      <c r="O196" s="19">
        <f>(G196-Settings!$D$19)/Settings!$E$19</f>
        <v>1.0642595216673889</v>
      </c>
      <c r="P196" s="19">
        <f>(H196-Settings!$D$20)/Settings!$E$20</f>
        <v>-0.15184085908144157</v>
      </c>
      <c r="Q196" s="19">
        <f>(I196-Settings!$D$21)/Settings!$E$21</f>
        <v>3.9022668933976726E-2</v>
      </c>
      <c r="R196" s="19">
        <f>(J196-Settings!$D$22)/Settings!$E$22</f>
        <v>0.29600366239339088</v>
      </c>
      <c r="S196" s="19">
        <f>(K196-Settings!$D$23)/Settings!$E$23</f>
        <v>-0.44268515626554095</v>
      </c>
      <c r="T196" s="19">
        <f>(L196-Settings!$D$24)/Settings!$E$24</f>
        <v>0.40605758928985108</v>
      </c>
      <c r="U196" s="19">
        <f>(M196-Settings!$D$25)/Settings!$E$25</f>
        <v>-3.5685780063214032E-2</v>
      </c>
      <c r="V196" s="31">
        <f>Settings!$B$18*(N196-F$6)^2</f>
        <v>5.8666365521406076E-2</v>
      </c>
      <c r="W196" s="31">
        <f>Settings!$B$19*(O196-G$6)^2</f>
        <v>6.2768341092700061E-2</v>
      </c>
      <c r="X196" s="31">
        <f>Settings!$B$20*(P196-H$6)^2</f>
        <v>1.1648756698154246</v>
      </c>
      <c r="Y196" s="31">
        <f>Settings!$B$21*(Q196-I$6)^2</f>
        <v>0.1615525010598764</v>
      </c>
      <c r="Z196" s="31">
        <f>Settings!$B$22*(R196-J$6)^2</f>
        <v>4.0976372758863826E-3</v>
      </c>
      <c r="AA196" s="31">
        <f>Settings!$B$23*(S196-K$6)^2</f>
        <v>4.7111856613039578</v>
      </c>
      <c r="AB196" s="31">
        <f>Settings!$B$24*(T196-L$6)^2</f>
        <v>1.2547545086831264</v>
      </c>
      <c r="AC196" s="31">
        <f>Settings!$B$25*(U196-M$6)^2</f>
        <v>2.1388803850737211E-2</v>
      </c>
      <c r="AD196" s="19">
        <f t="shared" si="8"/>
        <v>2.7275060932293282</v>
      </c>
      <c r="AE196" s="15">
        <f t="shared" si="9"/>
        <v>1.0795963602729375</v>
      </c>
      <c r="AF196" s="33">
        <f t="shared" si="10"/>
        <v>0.55835286017365349</v>
      </c>
      <c r="AG196" s="47">
        <f t="shared" si="11"/>
        <v>2.4106325694315711E-3</v>
      </c>
      <c r="AH196" s="18">
        <v>-0.80988648632461602</v>
      </c>
      <c r="AI196" s="46">
        <v>1</v>
      </c>
      <c r="AJ196" s="18">
        <v>0.13511243270400991</v>
      </c>
      <c r="AK196" s="46">
        <v>1</v>
      </c>
      <c r="AL196" s="18">
        <v>-0.88997988671011308</v>
      </c>
      <c r="AM196" s="46">
        <v>1</v>
      </c>
      <c r="AN196" s="48"/>
      <c r="AO196" s="48"/>
      <c r="AP196" s="48"/>
      <c r="AQ196" s="48"/>
    </row>
    <row r="197" spans="1:43" ht="20" customHeight="1" x14ac:dyDescent="0.45">
      <c r="A197" s="26">
        <v>187</v>
      </c>
      <c r="B197" s="16" t="s">
        <v>413</v>
      </c>
      <c r="C197" s="16" t="s">
        <v>220</v>
      </c>
      <c r="D197" s="46">
        <v>26</v>
      </c>
      <c r="E197" s="46">
        <v>1</v>
      </c>
      <c r="F197" s="13">
        <v>-5.1577368829808581E-2</v>
      </c>
      <c r="G197" s="13">
        <v>7.7267072293751973E-2</v>
      </c>
      <c r="H197" s="13">
        <v>-9.2042662881445542E-3</v>
      </c>
      <c r="I197" s="13">
        <v>-7.9031028640199313E-2</v>
      </c>
      <c r="J197" s="13">
        <v>0.78292026394809566</v>
      </c>
      <c r="K197" s="13">
        <v>14.88954802259884</v>
      </c>
      <c r="L197" s="13">
        <v>1.5104066710291391</v>
      </c>
      <c r="M197" s="13">
        <v>-0.1673064040177796</v>
      </c>
      <c r="N197" s="19">
        <f>(F197-Settings!$D$18)/Settings!$E$18</f>
        <v>-0.8729022556630639</v>
      </c>
      <c r="O197" s="19">
        <f>(G197-Settings!$D$19)/Settings!$E$19</f>
        <v>0.34957545815194546</v>
      </c>
      <c r="P197" s="19">
        <f>(H197-Settings!$D$20)/Settings!$E$20</f>
        <v>-0.56473503330910146</v>
      </c>
      <c r="Q197" s="19">
        <f>(I197-Settings!$D$21)/Settings!$E$21</f>
        <v>-0.93565974038354083</v>
      </c>
      <c r="R197" s="19">
        <f>(J197-Settings!$D$22)/Settings!$E$22</f>
        <v>1.439601523604048</v>
      </c>
      <c r="S197" s="19">
        <f>(K197-Settings!$D$23)/Settings!$E$23</f>
        <v>-0.12698655141078946</v>
      </c>
      <c r="T197" s="19">
        <f>(L197-Settings!$D$24)/Settings!$E$24</f>
        <v>0.13974957664076978</v>
      </c>
      <c r="U197" s="19">
        <f>(M197-Settings!$D$25)/Settings!$E$25</f>
        <v>-7.6863044230257763E-2</v>
      </c>
      <c r="V197" s="31">
        <f>Settings!$B$18*(N197-F$6)^2</f>
        <v>0.16914831044124973</v>
      </c>
      <c r="W197" s="31">
        <f>Settings!$B$19*(O197-G$6)^2</f>
        <v>4.772090932950241E-3</v>
      </c>
      <c r="X197" s="31">
        <f>Settings!$B$20*(P197-H$6)^2</f>
        <v>1.5975593621980946</v>
      </c>
      <c r="Y197" s="31">
        <f>Settings!$B$21*(Q197-I$6)^2</f>
        <v>1.1529612608192825E-3</v>
      </c>
      <c r="Z197" s="31">
        <f>Settings!$B$22*(R197-J$6)^2</f>
        <v>0.33113729473985681</v>
      </c>
      <c r="AA197" s="31">
        <f>Settings!$B$23*(S197-K$6)^2</f>
        <v>3.44038684029834</v>
      </c>
      <c r="AB197" s="31">
        <f>Settings!$B$24*(T197-L$6)^2</f>
        <v>1.9222887019695694</v>
      </c>
      <c r="AC197" s="31">
        <f>Settings!$B$25*(U197-M$6)^2</f>
        <v>1.1040093990099382E-2</v>
      </c>
      <c r="AD197" s="19">
        <f t="shared" si="8"/>
        <v>2.7344991599616519</v>
      </c>
      <c r="AE197" s="15">
        <f t="shared" si="9"/>
        <v>1.0823643428670382</v>
      </c>
      <c r="AF197" s="33">
        <f t="shared" si="10"/>
        <v>0.55668469009077914</v>
      </c>
      <c r="AG197" s="47">
        <f t="shared" si="11"/>
        <v>2.4034304121221635E-3</v>
      </c>
      <c r="AH197" s="18">
        <v>-0.22455303525802939</v>
      </c>
      <c r="AI197" s="46">
        <v>1</v>
      </c>
      <c r="AJ197" s="18">
        <v>0.17814361332255649</v>
      </c>
      <c r="AK197" s="46">
        <v>1</v>
      </c>
      <c r="AL197" s="18">
        <v>-0.72671233685612846</v>
      </c>
      <c r="AM197" s="46">
        <v>1</v>
      </c>
      <c r="AN197" s="18">
        <v>-0.87557613426279568</v>
      </c>
      <c r="AO197" s="46">
        <v>1</v>
      </c>
      <c r="AP197" s="48"/>
      <c r="AQ197" s="48"/>
    </row>
    <row r="198" spans="1:43" ht="20" customHeight="1" x14ac:dyDescent="0.45">
      <c r="A198" s="26">
        <v>188</v>
      </c>
      <c r="B198" s="16" t="s">
        <v>414</v>
      </c>
      <c r="C198" s="16" t="s">
        <v>229</v>
      </c>
      <c r="D198" s="46">
        <v>26</v>
      </c>
      <c r="E198" s="46">
        <v>1</v>
      </c>
      <c r="F198" s="13">
        <v>0.64240529001444091</v>
      </c>
      <c r="G198" s="13">
        <v>-9.4782345114957547E-2</v>
      </c>
      <c r="H198" s="13">
        <v>-6.0346283055986768E-3</v>
      </c>
      <c r="I198" s="13">
        <v>3.8425873261420572E-2</v>
      </c>
      <c r="J198" s="13">
        <v>0.21835186330358239</v>
      </c>
      <c r="K198" s="13">
        <v>16.663432835820888</v>
      </c>
      <c r="L198" s="13">
        <v>1.1278286443248491</v>
      </c>
      <c r="M198" s="13">
        <v>-1.522828194801249</v>
      </c>
      <c r="N198" s="19">
        <f>(F198-Settings!$D$18)/Settings!$E$18</f>
        <v>1.6108184186080658</v>
      </c>
      <c r="O198" s="19">
        <f>(G198-Settings!$D$19)/Settings!$E$19</f>
        <v>-0.36720434355325893</v>
      </c>
      <c r="P198" s="19">
        <f>(H198-Settings!$D$20)/Settings!$E$20</f>
        <v>-0.53601750367165168</v>
      </c>
      <c r="Q198" s="19">
        <f>(I198-Settings!$D$21)/Settings!$E$21</f>
        <v>0.50874390559837612</v>
      </c>
      <c r="R198" s="19">
        <f>(J198-Settings!$D$22)/Settings!$E$22</f>
        <v>-7.9396338540517974E-2</v>
      </c>
      <c r="S198" s="19">
        <f>(K198-Settings!$D$23)/Settings!$E$23</f>
        <v>0.48904284268881532</v>
      </c>
      <c r="T198" s="19">
        <f>(L198-Settings!$D$24)/Settings!$E$24</f>
        <v>-0.12474753961917102</v>
      </c>
      <c r="U198" s="19">
        <f>(M198-Settings!$D$25)/Settings!$E$25</f>
        <v>-0.99104203706227001</v>
      </c>
      <c r="V198" s="31">
        <f>Settings!$B$18*(N198-F$6)^2</f>
        <v>0.48926837086605651</v>
      </c>
      <c r="W198" s="31">
        <f>Settings!$B$19*(O198-G$6)^2</f>
        <v>0.15181464977164472</v>
      </c>
      <c r="X198" s="31">
        <f>Settings!$B$20*(P198-H$6)^2</f>
        <v>1.5652589152788834</v>
      </c>
      <c r="Y198" s="31">
        <f>Settings!$B$21*(Q198-I$6)^2</f>
        <v>0.37454603749693099</v>
      </c>
      <c r="Z198" s="31">
        <f>Settings!$B$22*(R198-J$6)^2</f>
        <v>1.0789224990447989E-2</v>
      </c>
      <c r="AA198" s="31">
        <f>Settings!$B$23*(S198-K$6)^2</f>
        <v>1.5346219397064023</v>
      </c>
      <c r="AB198" s="31">
        <f>Settings!$B$24*(T198-L$6)^2</f>
        <v>2.7256800838636623</v>
      </c>
      <c r="AC198" s="31">
        <f>Settings!$B$25*(U198-M$6)^2</f>
        <v>0.65465436605850214</v>
      </c>
      <c r="AD198" s="19">
        <f t="shared" si="8"/>
        <v>2.7398236417756032</v>
      </c>
      <c r="AE198" s="15">
        <f t="shared" si="9"/>
        <v>1.0844718692996833</v>
      </c>
      <c r="AF198" s="33">
        <f t="shared" si="10"/>
        <v>0.55541504402266317</v>
      </c>
      <c r="AG198" s="47">
        <f t="shared" si="11"/>
        <v>2.3979488423447664E-3</v>
      </c>
      <c r="AH198" s="18">
        <v>-0.30172292498487652</v>
      </c>
      <c r="AI198" s="46">
        <v>1</v>
      </c>
      <c r="AJ198" s="18">
        <v>7.8652906793735156E-2</v>
      </c>
      <c r="AK198" s="46">
        <v>1</v>
      </c>
      <c r="AL198" s="18">
        <v>-0.11551483460870959</v>
      </c>
      <c r="AM198" s="46">
        <v>1</v>
      </c>
      <c r="AN198" s="48"/>
      <c r="AO198" s="48"/>
      <c r="AP198" s="48"/>
      <c r="AQ198" s="48"/>
    </row>
    <row r="199" spans="1:43" ht="20" customHeight="1" x14ac:dyDescent="0.45">
      <c r="A199" s="26">
        <v>189</v>
      </c>
      <c r="B199" s="16" t="s">
        <v>415</v>
      </c>
      <c r="C199" s="16" t="s">
        <v>258</v>
      </c>
      <c r="D199" s="46">
        <v>26</v>
      </c>
      <c r="E199" s="46">
        <v>0</v>
      </c>
      <c r="F199" s="13">
        <v>0.30220195219487289</v>
      </c>
      <c r="G199" s="13">
        <v>-7.8415612002314519E-2</v>
      </c>
      <c r="H199" s="13">
        <v>0.1744346866278339</v>
      </c>
      <c r="I199" s="13">
        <v>2.996039115801108E-5</v>
      </c>
      <c r="J199" s="13">
        <v>0.44491778878382082</v>
      </c>
      <c r="K199" s="13">
        <v>20.137893081760971</v>
      </c>
      <c r="L199" s="13">
        <v>4.7521846306496913</v>
      </c>
      <c r="M199" s="13">
        <v>-4.0273467524307609</v>
      </c>
      <c r="N199" s="19">
        <f>(F199-Settings!$D$18)/Settings!$E$18</f>
        <v>0.39325188026586921</v>
      </c>
      <c r="O199" s="19">
        <f>(G199-Settings!$D$19)/Settings!$E$19</f>
        <v>-0.2990184473628984</v>
      </c>
      <c r="P199" s="19">
        <f>(H199-Settings!$D$20)/Settings!$E$20</f>
        <v>1.0990691935442822</v>
      </c>
      <c r="Q199" s="19">
        <f>(I199-Settings!$D$21)/Settings!$E$21</f>
        <v>3.6577556556895111E-2</v>
      </c>
      <c r="R199" s="19">
        <f>(J199-Settings!$D$22)/Settings!$E$22</f>
        <v>0.53018995082034737</v>
      </c>
      <c r="S199" s="19">
        <f>(K199-Settings!$D$23)/Settings!$E$23</f>
        <v>1.6956429692448958</v>
      </c>
      <c r="T199" s="19">
        <f>(L199-Settings!$D$24)/Settings!$E$24</f>
        <v>2.38096800013748</v>
      </c>
      <c r="U199" s="19">
        <f>(M199-Settings!$D$25)/Settings!$E$25</f>
        <v>-2.680117246409877</v>
      </c>
      <c r="V199" s="31">
        <f>Settings!$B$18*(N199-F$6)^2</f>
        <v>2.4014121214465101E-2</v>
      </c>
      <c r="W199" s="31">
        <f>Settings!$B$19*(O199-G$6)^2</f>
        <v>0.12898178010376163</v>
      </c>
      <c r="X199" s="31">
        <f>Settings!$B$20*(P199-H$6)^2</f>
        <v>0.2702648986046482</v>
      </c>
      <c r="Y199" s="31">
        <f>Settings!$B$21*(Q199-I$6)^2</f>
        <v>0.16067467292111245</v>
      </c>
      <c r="Z199" s="31">
        <f>Settings!$B$22*(R199-J$6)^2</f>
        <v>2.8474565211400689E-2</v>
      </c>
      <c r="AA199" s="31">
        <f>Settings!$B$23*(S199-K$6)^2</f>
        <v>1.0367408693374043E-3</v>
      </c>
      <c r="AB199" s="31">
        <f>Settings!$B$24*(T199-L$6)^2</f>
        <v>0.73060125369609008</v>
      </c>
      <c r="AC199" s="31">
        <f>Settings!$B$25*(U199-M$6)^2</f>
        <v>6.2409150569508682</v>
      </c>
      <c r="AD199" s="19">
        <f t="shared" si="8"/>
        <v>2.754081169750028</v>
      </c>
      <c r="AE199" s="15">
        <f t="shared" si="9"/>
        <v>1.0901152573551263</v>
      </c>
      <c r="AF199" s="33">
        <f t="shared" si="10"/>
        <v>0.55201744101682326</v>
      </c>
      <c r="AG199" s="47">
        <f t="shared" si="11"/>
        <v>2.3832800315477212E-3</v>
      </c>
      <c r="AH199" s="18">
        <v>-1.5351307526472491</v>
      </c>
      <c r="AI199" s="46">
        <v>0</v>
      </c>
      <c r="AJ199" s="18">
        <v>0.82126239066334161</v>
      </c>
      <c r="AK199" s="46">
        <v>0</v>
      </c>
      <c r="AL199" s="18">
        <v>0.44538757045919031</v>
      </c>
      <c r="AM199" s="46">
        <v>0</v>
      </c>
      <c r="AN199" s="18">
        <v>0.33541604755708843</v>
      </c>
      <c r="AO199" s="46">
        <v>0</v>
      </c>
      <c r="AP199" s="18">
        <v>-0.90861391392200641</v>
      </c>
      <c r="AQ199" s="46">
        <v>0</v>
      </c>
    </row>
    <row r="200" spans="1:43" ht="20" customHeight="1" x14ac:dyDescent="0.45">
      <c r="A200" s="26">
        <v>190</v>
      </c>
      <c r="B200" s="16" t="s">
        <v>416</v>
      </c>
      <c r="C200" s="16" t="s">
        <v>283</v>
      </c>
      <c r="D200" s="46">
        <v>26</v>
      </c>
      <c r="E200" s="46">
        <v>0</v>
      </c>
      <c r="F200" s="13">
        <v>3.6250067956795987E-2</v>
      </c>
      <c r="G200" s="13">
        <v>-0.28109866036108538</v>
      </c>
      <c r="H200" s="13">
        <v>1.5949683483964701E-2</v>
      </c>
      <c r="I200" s="13">
        <v>-3.5937652096142969E-2</v>
      </c>
      <c r="J200" s="13">
        <v>0.63076393610201098</v>
      </c>
      <c r="K200" s="13">
        <v>16.619062499999998</v>
      </c>
      <c r="L200" s="13">
        <v>0.81917252024163867</v>
      </c>
      <c r="M200" s="13">
        <v>0.58704542939754267</v>
      </c>
      <c r="N200" s="19">
        <f>(F200-Settings!$D$18)/Settings!$E$18</f>
        <v>-0.55857333442111778</v>
      </c>
      <c r="O200" s="19">
        <f>(G200-Settings!$D$19)/Settings!$E$19</f>
        <v>-1.143421860055023</v>
      </c>
      <c r="P200" s="19">
        <f>(H200-Settings!$D$20)/Settings!$E$20</f>
        <v>-0.33683541131527772</v>
      </c>
      <c r="Q200" s="19">
        <f>(I200-Settings!$D$21)/Settings!$E$21</f>
        <v>-0.40572723586336013</v>
      </c>
      <c r="R200" s="19">
        <f>(J200-Settings!$D$22)/Settings!$E$22</f>
        <v>1.03021775992525</v>
      </c>
      <c r="S200" s="19">
        <f>(K200-Settings!$D$23)/Settings!$E$23</f>
        <v>0.47363404563051537</v>
      </c>
      <c r="T200" s="19">
        <f>(L200-Settings!$D$24)/Settings!$E$24</f>
        <v>-0.33813840118865013</v>
      </c>
      <c r="U200" s="19">
        <f>(M200-Settings!$D$25)/Settings!$E$25</f>
        <v>0.43188023382063689</v>
      </c>
      <c r="V200" s="31">
        <f>Settings!$B$18*(N200-F$6)^2</f>
        <v>7.3280803624980503E-2</v>
      </c>
      <c r="W200" s="31">
        <f>Settings!$B$19*(O200-G$6)^2</f>
        <v>0.5428285904161152</v>
      </c>
      <c r="X200" s="31">
        <f>Settings!$B$20*(P200-H$6)^2</f>
        <v>1.3503047493832487</v>
      </c>
      <c r="Y200" s="31">
        <f>Settings!$B$21*(Q200-I$6)^2</f>
        <v>4.1224322835051674E-2</v>
      </c>
      <c r="Z200" s="31">
        <f>Settings!$B$22*(R200-J$6)^2</f>
        <v>0.15394897202804106</v>
      </c>
      <c r="AA200" s="31">
        <f>Settings!$B$23*(S200-K$6)^2</f>
        <v>1.5730361627864506</v>
      </c>
      <c r="AB200" s="31">
        <f>Settings!$B$24*(T200-L$6)^2</f>
        <v>3.4758167400485709</v>
      </c>
      <c r="AC200" s="31">
        <f>Settings!$B$25*(U200-M$6)^2</f>
        <v>0.37676901333837887</v>
      </c>
      <c r="AD200" s="19">
        <f t="shared" si="8"/>
        <v>2.7544889461496913</v>
      </c>
      <c r="AE200" s="15">
        <f t="shared" si="9"/>
        <v>1.0902766626469329</v>
      </c>
      <c r="AF200" s="33">
        <f t="shared" si="10"/>
        <v>0.55192031469825997</v>
      </c>
      <c r="AG200" s="47">
        <f t="shared" si="11"/>
        <v>2.3828606983919733E-3</v>
      </c>
      <c r="AH200" s="18">
        <v>-0.67993981102983403</v>
      </c>
      <c r="AI200" s="46">
        <v>0</v>
      </c>
      <c r="AJ200" s="18">
        <v>-0.100710230105343</v>
      </c>
      <c r="AK200" s="46">
        <v>0</v>
      </c>
      <c r="AL200" s="18">
        <v>2.178815122177165</v>
      </c>
      <c r="AM200" s="46">
        <v>0</v>
      </c>
      <c r="AN200" s="18">
        <v>-0.42023708156176709</v>
      </c>
      <c r="AO200" s="46">
        <v>0</v>
      </c>
      <c r="AP200" s="18">
        <v>-0.98479609858175843</v>
      </c>
      <c r="AQ200" s="46">
        <v>0</v>
      </c>
    </row>
    <row r="201" spans="1:43" ht="20" customHeight="1" x14ac:dyDescent="0.45">
      <c r="A201" s="26">
        <v>191</v>
      </c>
      <c r="B201" s="16" t="s">
        <v>417</v>
      </c>
      <c r="C201" s="16" t="s">
        <v>216</v>
      </c>
      <c r="D201" s="46">
        <v>26</v>
      </c>
      <c r="E201" s="46">
        <v>1</v>
      </c>
      <c r="F201" s="13">
        <v>0.27191807414281077</v>
      </c>
      <c r="G201" s="13">
        <v>0.33405587414669952</v>
      </c>
      <c r="H201" s="13">
        <v>0.30539065666515819</v>
      </c>
      <c r="I201" s="13">
        <v>-3.6287034452956592E-2</v>
      </c>
      <c r="J201" s="13">
        <v>5.2348360592374937E-2</v>
      </c>
      <c r="K201" s="13">
        <v>15.51049382716044</v>
      </c>
      <c r="L201" s="13">
        <v>0.52084901373330628</v>
      </c>
      <c r="M201" s="13">
        <v>-1.1475503711441351</v>
      </c>
      <c r="N201" s="19">
        <f>(F201-Settings!$D$18)/Settings!$E$18</f>
        <v>0.28486776856446533</v>
      </c>
      <c r="O201" s="19">
        <f>(G201-Settings!$D$19)/Settings!$E$19</f>
        <v>1.4193903360194433</v>
      </c>
      <c r="P201" s="19">
        <f>(H201-Settings!$D$20)/Settings!$E$20</f>
        <v>2.285555464675852</v>
      </c>
      <c r="Q201" s="19">
        <f>(I201-Settings!$D$21)/Settings!$E$21</f>
        <v>-0.41002369815593814</v>
      </c>
      <c r="R201" s="19">
        <f>(J201-Settings!$D$22)/Settings!$E$22</f>
        <v>-0.5260365781270202</v>
      </c>
      <c r="S201" s="19">
        <f>(K201-Settings!$D$23)/Settings!$E$23</f>
        <v>8.8653643996245493E-2</v>
      </c>
      <c r="T201" s="19">
        <f>(L201-Settings!$D$24)/Settings!$E$24</f>
        <v>-0.54438575905114706</v>
      </c>
      <c r="U201" s="19">
        <f>(M201-Settings!$D$25)/Settings!$E$25</f>
        <v>-0.73795049313012828</v>
      </c>
      <c r="V201" s="31">
        <f>Settings!$B$18*(N201-F$6)^2</f>
        <v>1.1340983724970588E-2</v>
      </c>
      <c r="W201" s="31">
        <f>Settings!$B$19*(O201-G$6)^2</f>
        <v>0.16757187275547653</v>
      </c>
      <c r="X201" s="31">
        <f>Settings!$B$20*(P201-H$6)^2</f>
        <v>1.1540587706327507E-4</v>
      </c>
      <c r="Y201" s="31">
        <f>Settings!$B$21*(Q201-I$6)^2</f>
        <v>4.0447766574406317E-2</v>
      </c>
      <c r="Z201" s="31">
        <f>Settings!$B$22*(R201-J$6)^2</f>
        <v>9.2181935647859703E-2</v>
      </c>
      <c r="AA201" s="31">
        <f>Settings!$B$23*(S201-K$6)^2</f>
        <v>2.6869365974957162</v>
      </c>
      <c r="AB201" s="31">
        <f>Settings!$B$24*(T201-L$6)^2</f>
        <v>4.2873909857809185</v>
      </c>
      <c r="AC201" s="31">
        <f>Settings!$B$25*(U201-M$6)^2</f>
        <v>0.30915334448599241</v>
      </c>
      <c r="AD201" s="19">
        <f t="shared" si="8"/>
        <v>2.7559279548533926</v>
      </c>
      <c r="AE201" s="15">
        <f t="shared" si="9"/>
        <v>1.0908462483804986</v>
      </c>
      <c r="AF201" s="33">
        <f t="shared" si="10"/>
        <v>0.5515775857812758</v>
      </c>
      <c r="AG201" s="47">
        <f t="shared" si="11"/>
        <v>2.3813810006081898E-3</v>
      </c>
      <c r="AH201" s="18">
        <v>-3.7691506388763167E-2</v>
      </c>
      <c r="AI201" s="46">
        <v>1</v>
      </c>
      <c r="AJ201" s="18">
        <v>2.0804669886132832E-2</v>
      </c>
      <c r="AK201" s="46">
        <v>1</v>
      </c>
      <c r="AL201" s="48"/>
      <c r="AM201" s="48"/>
      <c r="AN201" s="48"/>
      <c r="AO201" s="48"/>
      <c r="AP201" s="48"/>
      <c r="AQ201" s="48"/>
    </row>
    <row r="202" spans="1:43" ht="20" customHeight="1" x14ac:dyDescent="0.45">
      <c r="A202" s="26">
        <v>192</v>
      </c>
      <c r="B202" s="16" t="s">
        <v>418</v>
      </c>
      <c r="C202" s="16" t="s">
        <v>232</v>
      </c>
      <c r="D202" s="46">
        <v>26</v>
      </c>
      <c r="E202" s="46">
        <v>0</v>
      </c>
      <c r="F202" s="13">
        <v>0.39913110142746738</v>
      </c>
      <c r="G202" s="13">
        <v>-6.27913314608642E-3</v>
      </c>
      <c r="H202" s="13">
        <v>-3.4281812815915608E-2</v>
      </c>
      <c r="I202" s="13">
        <v>2.4350918873340389E-2</v>
      </c>
      <c r="J202" s="13">
        <v>0.53595703373719017</v>
      </c>
      <c r="K202" s="13">
        <v>15.19679487179487</v>
      </c>
      <c r="L202" s="13">
        <v>1.4016155977166149</v>
      </c>
      <c r="M202" s="13">
        <v>9.8137515209906878E-2</v>
      </c>
      <c r="N202" s="19">
        <f>(F202-Settings!$D$18)/Settings!$E$18</f>
        <v>0.74015526296629619</v>
      </c>
      <c r="O202" s="19">
        <f>(G202-Settings!$D$19)/Settings!$E$19</f>
        <v>1.5113178001504826E-3</v>
      </c>
      <c r="P202" s="19">
        <f>(H202-Settings!$D$20)/Settings!$E$20</f>
        <v>-0.79194242721701702</v>
      </c>
      <c r="Q202" s="19">
        <f>(I202-Settings!$D$21)/Settings!$E$21</f>
        <v>0.33565986280453314</v>
      </c>
      <c r="R202" s="19">
        <f>(J202-Settings!$D$22)/Settings!$E$22</f>
        <v>0.77513532554828635</v>
      </c>
      <c r="S202" s="19">
        <f>(K202-Settings!$D$23)/Settings!$E$23</f>
        <v>-2.0286787740423945E-2</v>
      </c>
      <c r="T202" s="19">
        <f>(L202-Settings!$D$24)/Settings!$E$24</f>
        <v>6.4536356964074296E-2</v>
      </c>
      <c r="U202" s="19">
        <f>(M202-Settings!$D$25)/Settings!$E$25</f>
        <v>0.1021552912792681</v>
      </c>
      <c r="V202" s="31">
        <f>Settings!$B$18*(N202-F$6)^2</f>
        <v>9.6164994573465223E-2</v>
      </c>
      <c r="W202" s="31">
        <f>Settings!$B$19*(O202-G$6)^2</f>
        <v>5.0507770044408401E-2</v>
      </c>
      <c r="X202" s="31">
        <f>Settings!$B$20*(P202-H$6)^2</f>
        <v>1.8647436933939827</v>
      </c>
      <c r="Y202" s="31">
        <f>Settings!$B$21*(Q202-I$6)^2</f>
        <v>0.28579301955714415</v>
      </c>
      <c r="Z202" s="31">
        <f>Settings!$B$22*(R202-J$6)^2</f>
        <v>7.7443645317575971E-2</v>
      </c>
      <c r="AA202" s="31">
        <f>Settings!$B$23*(S202-K$6)^2</f>
        <v>3.0559522653529854</v>
      </c>
      <c r="AB202" s="31">
        <f>Settings!$B$24*(T202-L$6)^2</f>
        <v>2.1365069138020214</v>
      </c>
      <c r="AC202" s="31">
        <f>Settings!$B$25*(U202-M$6)^2</f>
        <v>8.0707234388799953E-2</v>
      </c>
      <c r="AD202" s="19">
        <f t="shared" si="8"/>
        <v>2.7654691349625264</v>
      </c>
      <c r="AE202" s="15">
        <f t="shared" si="9"/>
        <v>1.0946228204453967</v>
      </c>
      <c r="AF202" s="33">
        <f t="shared" si="10"/>
        <v>0.54930603086023166</v>
      </c>
      <c r="AG202" s="47">
        <f t="shared" si="11"/>
        <v>2.3715737896731217E-3</v>
      </c>
      <c r="AH202" s="18">
        <v>-0.14516385057536191</v>
      </c>
      <c r="AI202" s="46">
        <v>0</v>
      </c>
      <c r="AJ202" s="18">
        <v>-0.79930182946701989</v>
      </c>
      <c r="AK202" s="46">
        <v>0</v>
      </c>
      <c r="AL202" s="18">
        <v>-0.13784298428557759</v>
      </c>
      <c r="AM202" s="46">
        <v>1</v>
      </c>
      <c r="AN202" s="18">
        <v>0.5944934299097564</v>
      </c>
      <c r="AO202" s="46">
        <v>1</v>
      </c>
      <c r="AP202" s="18">
        <v>0.35597275571721099</v>
      </c>
      <c r="AQ202" s="46">
        <v>1</v>
      </c>
    </row>
    <row r="203" spans="1:43" ht="20" customHeight="1" x14ac:dyDescent="0.45">
      <c r="A203" s="26">
        <v>193</v>
      </c>
      <c r="B203" s="16" t="s">
        <v>419</v>
      </c>
      <c r="C203" s="16" t="s">
        <v>234</v>
      </c>
      <c r="D203" s="46">
        <v>26</v>
      </c>
      <c r="E203" s="46">
        <v>1</v>
      </c>
      <c r="F203" s="13">
        <v>0.28164286626467189</v>
      </c>
      <c r="G203" s="13">
        <v>0.2300486940565771</v>
      </c>
      <c r="H203" s="13">
        <v>0.12861185656312271</v>
      </c>
      <c r="I203" s="13">
        <v>-3.3430219618338872E-5</v>
      </c>
      <c r="J203" s="13">
        <v>0.35966315289600992</v>
      </c>
      <c r="K203" s="13">
        <v>14.05744047619047</v>
      </c>
      <c r="L203" s="13">
        <v>1.301790489287749</v>
      </c>
      <c r="M203" s="13">
        <v>-0.15193453318411601</v>
      </c>
      <c r="N203" s="19">
        <f>(F203-Settings!$D$18)/Settings!$E$18</f>
        <v>0.31967219334113151</v>
      </c>
      <c r="O203" s="19">
        <f>(G203-Settings!$D$19)/Settings!$E$19</f>
        <v>0.98608316739463697</v>
      </c>
      <c r="P203" s="19">
        <f>(H203-Settings!$D$20)/Settings!$E$20</f>
        <v>0.68390554151162508</v>
      </c>
      <c r="Q203" s="19">
        <f>(I203-Settings!$D$21)/Settings!$E$21</f>
        <v>3.5798022720704953E-2</v>
      </c>
      <c r="R203" s="19">
        <f>(J203-Settings!$D$22)/Settings!$E$22</f>
        <v>0.30080833912607141</v>
      </c>
      <c r="S203" s="19">
        <f>(K203-Settings!$D$23)/Settings!$E$23</f>
        <v>-0.41595836278143622</v>
      </c>
      <c r="T203" s="19">
        <f>(L203-Settings!$D$24)/Settings!$E$24</f>
        <v>-4.4782007647710433E-3</v>
      </c>
      <c r="U203" s="19">
        <f>(M203-Settings!$D$25)/Settings!$E$25</f>
        <v>-6.6496083335781719E-2</v>
      </c>
      <c r="V203" s="31">
        <f>Settings!$B$18*(N203-F$6)^2</f>
        <v>1.4898415794081089E-2</v>
      </c>
      <c r="W203" s="31">
        <f>Settings!$B$19*(O203-G$6)^2</f>
        <v>4.6472399061787628E-2</v>
      </c>
      <c r="X203" s="31">
        <f>Settings!$B$20*(P203-H$6)^2</f>
        <v>0.49778232873112738</v>
      </c>
      <c r="Y203" s="31">
        <f>Settings!$B$21*(Q203-I$6)^2</f>
        <v>0.16039531256248662</v>
      </c>
      <c r="Z203" s="31">
        <f>Settings!$B$22*(R203-J$6)^2</f>
        <v>4.3773449683788884E-3</v>
      </c>
      <c r="AA203" s="31">
        <f>Settings!$B$23*(S203-K$6)^2</f>
        <v>4.5958775511528431</v>
      </c>
      <c r="AB203" s="31">
        <f>Settings!$B$24*(T203-L$6)^2</f>
        <v>2.3430242492328812</v>
      </c>
      <c r="AC203" s="31">
        <f>Settings!$B$25*(U203-M$6)^2</f>
        <v>1.3326119420737867E-2</v>
      </c>
      <c r="AD203" s="19">
        <f t="shared" ref="AD203:AD266" si="12">SQRT(SUM(V203:AC203))</f>
        <v>2.7705872519962846</v>
      </c>
      <c r="AE203" s="15">
        <f t="shared" ref="AE203:AE266" si="13">AD203/Yardstick</f>
        <v>1.0966486639567321</v>
      </c>
      <c r="AF203" s="33">
        <f t="shared" ref="AF203:AF266" si="14">EXP(-(AD203^2)/(2*Yardstick^2))</f>
        <v>0.54808815067253269</v>
      </c>
      <c r="AG203" s="47">
        <f t="shared" ref="AG203:AG266" si="15">AF203/$E$7</f>
        <v>2.3663157139014322E-3</v>
      </c>
      <c r="AH203" s="18">
        <v>-0.12933800103866799</v>
      </c>
      <c r="AI203" s="46">
        <v>1</v>
      </c>
      <c r="AJ203" s="48"/>
      <c r="AK203" s="48"/>
      <c r="AL203" s="48"/>
      <c r="AM203" s="48"/>
      <c r="AN203" s="48"/>
      <c r="AO203" s="48"/>
      <c r="AP203" s="48"/>
      <c r="AQ203" s="48"/>
    </row>
    <row r="204" spans="1:43" ht="20" customHeight="1" x14ac:dyDescent="0.45">
      <c r="A204" s="26">
        <v>194</v>
      </c>
      <c r="B204" s="16" t="s">
        <v>420</v>
      </c>
      <c r="C204" s="16" t="s">
        <v>220</v>
      </c>
      <c r="D204" s="46">
        <v>26</v>
      </c>
      <c r="E204" s="46">
        <v>1</v>
      </c>
      <c r="F204" s="13">
        <v>0.28434277116737738</v>
      </c>
      <c r="G204" s="13">
        <v>-3.9302551154932593E-2</v>
      </c>
      <c r="H204" s="13">
        <v>0.25913571675650499</v>
      </c>
      <c r="I204" s="13">
        <v>2.6369142996201432E-4</v>
      </c>
      <c r="J204" s="13">
        <v>0.41695526949122302</v>
      </c>
      <c r="K204" s="13">
        <v>14.568656716417889</v>
      </c>
      <c r="L204" s="13">
        <v>1.2585299583150631</v>
      </c>
      <c r="M204" s="13">
        <v>-1.918642344216086</v>
      </c>
      <c r="N204" s="19">
        <f>(F204-Settings!$D$18)/Settings!$E$18</f>
        <v>0.32933498468030331</v>
      </c>
      <c r="O204" s="19">
        <f>(G204-Settings!$D$19)/Settings!$E$19</f>
        <v>-0.13606845066706075</v>
      </c>
      <c r="P204" s="19">
        <f>(H204-Settings!$D$20)/Settings!$E$20</f>
        <v>1.8664768143631481</v>
      </c>
      <c r="Q204" s="19">
        <f>(I204-Settings!$D$21)/Settings!$E$21</f>
        <v>3.9451819023909721E-2</v>
      </c>
      <c r="R204" s="19">
        <f>(J204-Settings!$D$22)/Settings!$E$22</f>
        <v>0.45495547617185017</v>
      </c>
      <c r="S204" s="19">
        <f>(K204-Settings!$D$23)/Settings!$E$23</f>
        <v>-0.23842472115272575</v>
      </c>
      <c r="T204" s="19">
        <f>(L204-Settings!$D$24)/Settings!$E$24</f>
        <v>-3.4386572107261856E-2</v>
      </c>
      <c r="U204" s="19">
        <f>(M204-Settings!$D$25)/Settings!$E$25</f>
        <v>-1.2579835078088044</v>
      </c>
      <c r="V204" s="31">
        <f>Settings!$B$18*(N204-F$6)^2</f>
        <v>1.5972005120446737E-2</v>
      </c>
      <c r="W204" s="31">
        <f>Settings!$B$19*(O204-G$6)^2</f>
        <v>8.1948727113768327E-2</v>
      </c>
      <c r="X204" s="31">
        <f>Settings!$B$20*(P204-H$6)^2</f>
        <v>3.1214040523292033E-2</v>
      </c>
      <c r="Y204" s="31">
        <f>Settings!$B$21*(Q204-I$6)^2</f>
        <v>0.16170681839619364</v>
      </c>
      <c r="Z204" s="31">
        <f>Settings!$B$22*(R204-J$6)^2</f>
        <v>1.825152420821477E-2</v>
      </c>
      <c r="AA204" s="31">
        <f>Settings!$B$23*(S204-K$6)^2</f>
        <v>3.8662025768232784</v>
      </c>
      <c r="AB204" s="31">
        <f>Settings!$B$24*(T204-L$6)^2</f>
        <v>2.4354798915298139</v>
      </c>
      <c r="AC204" s="31">
        <f>Settings!$B$25*(U204-M$6)^2</f>
        <v>1.1578806154285493</v>
      </c>
      <c r="AD204" s="19">
        <f t="shared" si="12"/>
        <v>2.7872309195944918</v>
      </c>
      <c r="AE204" s="15">
        <f t="shared" si="13"/>
        <v>1.1032365293350062</v>
      </c>
      <c r="AF204" s="33">
        <f t="shared" si="14"/>
        <v>0.54413090883786752</v>
      </c>
      <c r="AG204" s="47">
        <f t="shared" si="15"/>
        <v>2.3492307184940584E-3</v>
      </c>
      <c r="AH204" s="18">
        <v>-0.902619657732876</v>
      </c>
      <c r="AI204" s="46">
        <v>1</v>
      </c>
      <c r="AJ204" s="18">
        <v>-0.77133426174960884</v>
      </c>
      <c r="AK204" s="46">
        <v>1</v>
      </c>
      <c r="AL204" s="48"/>
      <c r="AM204" s="48"/>
      <c r="AN204" s="48"/>
      <c r="AO204" s="48"/>
      <c r="AP204" s="48"/>
      <c r="AQ204" s="48"/>
    </row>
    <row r="205" spans="1:43" ht="20" customHeight="1" x14ac:dyDescent="0.45">
      <c r="A205" s="26">
        <v>195</v>
      </c>
      <c r="B205" s="16" t="s">
        <v>421</v>
      </c>
      <c r="C205" s="16" t="s">
        <v>236</v>
      </c>
      <c r="D205" s="46">
        <v>26</v>
      </c>
      <c r="E205" s="46">
        <v>0</v>
      </c>
      <c r="F205" s="13">
        <v>0.38509084611976069</v>
      </c>
      <c r="G205" s="13">
        <v>-0.1610796542287124</v>
      </c>
      <c r="H205" s="13">
        <v>3.7182014118210108E-2</v>
      </c>
      <c r="I205" s="13">
        <v>-3.9442480585285154E-3</v>
      </c>
      <c r="J205" s="13">
        <v>0.41270323747478838</v>
      </c>
      <c r="K205" s="13">
        <v>14.607575757575781</v>
      </c>
      <c r="L205" s="13">
        <v>1.3062827651942039</v>
      </c>
      <c r="M205" s="13">
        <v>-0.27431128182091119</v>
      </c>
      <c r="N205" s="19">
        <f>(F205-Settings!$D$18)/Settings!$E$18</f>
        <v>0.68990606446633418</v>
      </c>
      <c r="O205" s="19">
        <f>(G205-Settings!$D$19)/Settings!$E$19</f>
        <v>-0.64340738333024949</v>
      </c>
      <c r="P205" s="19">
        <f>(H205-Settings!$D$20)/Settings!$E$20</f>
        <v>-0.14446641283068481</v>
      </c>
      <c r="Q205" s="19">
        <f>(I205-Settings!$D$21)/Settings!$E$21</f>
        <v>-1.2294506997338594E-2</v>
      </c>
      <c r="R205" s="19">
        <f>(J205-Settings!$D$22)/Settings!$E$22</f>
        <v>0.44351518384347854</v>
      </c>
      <c r="S205" s="19">
        <f>(K205-Settings!$D$23)/Settings!$E$23</f>
        <v>-0.22490903334440346</v>
      </c>
      <c r="T205" s="19">
        <f>(L205-Settings!$D$24)/Settings!$E$24</f>
        <v>-1.3724447104126189E-3</v>
      </c>
      <c r="U205" s="19">
        <f>(M205-Settings!$D$25)/Settings!$E$25</f>
        <v>-0.14902832558780799</v>
      </c>
      <c r="V205" s="31">
        <f>Settings!$B$18*(N205-F$6)^2</f>
        <v>8.2732562922110953E-2</v>
      </c>
      <c r="W205" s="31">
        <f>Settings!$B$19*(O205-G$6)^2</f>
        <v>0.26332882287244658</v>
      </c>
      <c r="X205" s="31">
        <f>Settings!$B$20*(P205-H$6)^2</f>
        <v>1.1577676249497146</v>
      </c>
      <c r="Y205" s="31">
        <f>Settings!$B$21*(Q205-I$6)^2</f>
        <v>0.14363054185886456</v>
      </c>
      <c r="Z205" s="31">
        <f>Settings!$B$22*(R205-J$6)^2</f>
        <v>1.6895306760442496E-2</v>
      </c>
      <c r="AA205" s="31">
        <f>Settings!$B$23*(S205-K$6)^2</f>
        <v>3.8132343717484831</v>
      </c>
      <c r="AB205" s="31">
        <f>Settings!$B$24*(T205-L$6)^2</f>
        <v>2.333525970378918</v>
      </c>
      <c r="AC205" s="31">
        <f>Settings!$B$25*(U205-M$6)^2</f>
        <v>1.0828423624426264E-3</v>
      </c>
      <c r="AD205" s="19">
        <f t="shared" si="12"/>
        <v>2.7950309557951991</v>
      </c>
      <c r="AE205" s="15">
        <f t="shared" si="13"/>
        <v>1.1063239250747203</v>
      </c>
      <c r="AF205" s="33">
        <f t="shared" si="14"/>
        <v>0.54227809777976799</v>
      </c>
      <c r="AG205" s="47">
        <f t="shared" si="15"/>
        <v>2.3412313922610583E-3</v>
      </c>
      <c r="AH205" s="18">
        <v>-0.44258365559343282</v>
      </c>
      <c r="AI205" s="46">
        <v>1</v>
      </c>
      <c r="AJ205" s="18">
        <v>-4.9079021104965433E-2</v>
      </c>
      <c r="AK205" s="46">
        <v>1</v>
      </c>
      <c r="AL205" s="18">
        <v>-0.32577682208154002</v>
      </c>
      <c r="AM205" s="46">
        <v>1</v>
      </c>
      <c r="AN205" s="48"/>
      <c r="AO205" s="48"/>
      <c r="AP205" s="48"/>
      <c r="AQ205" s="48"/>
    </row>
    <row r="206" spans="1:43" ht="20" customHeight="1" x14ac:dyDescent="0.45">
      <c r="A206" s="26">
        <v>196</v>
      </c>
      <c r="B206" s="16" t="s">
        <v>422</v>
      </c>
      <c r="C206" s="16" t="s">
        <v>271</v>
      </c>
      <c r="D206" s="46">
        <v>26</v>
      </c>
      <c r="E206" s="46">
        <v>1</v>
      </c>
      <c r="F206" s="13">
        <v>0.5133724422660797</v>
      </c>
      <c r="G206" s="13">
        <v>-0.1111365886047652</v>
      </c>
      <c r="H206" s="13">
        <v>-5.8474157715889836E-3</v>
      </c>
      <c r="I206" s="13">
        <v>-2.160406942450609E-2</v>
      </c>
      <c r="J206" s="13">
        <v>0.34803948393306</v>
      </c>
      <c r="K206" s="13">
        <v>16.129035639412951</v>
      </c>
      <c r="L206" s="13">
        <v>0.75544743104027556</v>
      </c>
      <c r="M206" s="13">
        <v>-0.80939319402201826</v>
      </c>
      <c r="N206" s="19">
        <f>(F206-Settings!$D$18)/Settings!$E$18</f>
        <v>1.1490179002112373</v>
      </c>
      <c r="O206" s="19">
        <f>(G206-Settings!$D$19)/Settings!$E$19</f>
        <v>-0.4353382063830063</v>
      </c>
      <c r="P206" s="19">
        <f>(H206-Settings!$D$20)/Settings!$E$20</f>
        <v>-0.53432132211289607</v>
      </c>
      <c r="Q206" s="19">
        <f>(I206-Settings!$D$21)/Settings!$E$21</f>
        <v>-0.22946276152675232</v>
      </c>
      <c r="R206" s="19">
        <f>(J206-Settings!$D$22)/Settings!$E$22</f>
        <v>0.26953431053212151</v>
      </c>
      <c r="S206" s="19">
        <f>(K206-Settings!$D$23)/Settings!$E$23</f>
        <v>0.30345898816911354</v>
      </c>
      <c r="T206" s="19">
        <f>(L206-Settings!$D$24)/Settings!$E$24</f>
        <v>-0.3821950410128605</v>
      </c>
      <c r="U206" s="19">
        <f>(M206-Settings!$D$25)/Settings!$E$25</f>
        <v>-0.50989352665249055</v>
      </c>
      <c r="V206" s="31">
        <f>Settings!$B$18*(N206-F$6)^2</f>
        <v>0.24300339205387364</v>
      </c>
      <c r="W206" s="31">
        <f>Settings!$B$19*(O206-G$6)^2</f>
        <v>0.17648769379361118</v>
      </c>
      <c r="X206" s="31">
        <f>Settings!$B$20*(P206-H$6)^2</f>
        <v>1.5633614285576942</v>
      </c>
      <c r="Y206" s="31">
        <f>Settings!$B$21*(Q206-I$6)^2</f>
        <v>7.9448220292415453E-2</v>
      </c>
      <c r="Z206" s="31">
        <f>Settings!$B$22*(R206-J$6)^2</f>
        <v>2.7222656787239986E-3</v>
      </c>
      <c r="AA206" s="31">
        <f>Settings!$B$23*(S206-K$6)^2</f>
        <v>2.0288653403457078</v>
      </c>
      <c r="AB206" s="31">
        <f>Settings!$B$24*(T206-L$6)^2</f>
        <v>3.6420320942593385</v>
      </c>
      <c r="AC206" s="31">
        <f>Settings!$B$25*(U206-M$6)^2</f>
        <v>0.10755686355749</v>
      </c>
      <c r="AD206" s="19">
        <f t="shared" si="12"/>
        <v>2.8006208773303922</v>
      </c>
      <c r="AE206" s="15">
        <f t="shared" si="13"/>
        <v>1.1085365173613468</v>
      </c>
      <c r="AF206" s="33">
        <f t="shared" si="14"/>
        <v>0.54095098490139015</v>
      </c>
      <c r="AG206" s="47">
        <f t="shared" si="15"/>
        <v>2.3355017152841468E-3</v>
      </c>
      <c r="AH206" s="18">
        <v>-0.32970963241587953</v>
      </c>
      <c r="AI206" s="46">
        <v>1</v>
      </c>
      <c r="AJ206" s="18">
        <v>-0.7714400257124312</v>
      </c>
      <c r="AK206" s="46">
        <v>1</v>
      </c>
      <c r="AL206" s="18">
        <v>0.50145392518172582</v>
      </c>
      <c r="AM206" s="46">
        <v>1</v>
      </c>
      <c r="AN206" s="18">
        <v>0.54322132878170948</v>
      </c>
      <c r="AO206" s="46">
        <v>1</v>
      </c>
      <c r="AP206" s="18">
        <v>-0.53698282359016192</v>
      </c>
      <c r="AQ206" s="46">
        <v>1</v>
      </c>
    </row>
    <row r="207" spans="1:43" ht="20" customHeight="1" x14ac:dyDescent="0.45">
      <c r="A207" s="26">
        <v>197</v>
      </c>
      <c r="B207" s="16" t="s">
        <v>423</v>
      </c>
      <c r="C207" s="16" t="s">
        <v>246</v>
      </c>
      <c r="D207" s="46">
        <v>26</v>
      </c>
      <c r="E207" s="46">
        <v>1</v>
      </c>
      <c r="F207" s="13">
        <v>-4.3246877116125002E-2</v>
      </c>
      <c r="G207" s="13">
        <v>-0.19921983908114879</v>
      </c>
      <c r="H207" s="13">
        <v>9.5321974375170065E-2</v>
      </c>
      <c r="I207" s="13">
        <v>3.3683632582764522E-2</v>
      </c>
      <c r="J207" s="13">
        <v>0.62852767684479172</v>
      </c>
      <c r="K207" s="13">
        <v>16.605161290322581</v>
      </c>
      <c r="L207" s="13">
        <v>1.5369055918752781</v>
      </c>
      <c r="M207" s="13">
        <v>-2.7786451088860629</v>
      </c>
      <c r="N207" s="19">
        <f>(F207-Settings!$D$18)/Settings!$E$18</f>
        <v>-0.8430879451288813</v>
      </c>
      <c r="O207" s="19">
        <f>(G207-Settings!$D$19)/Settings!$E$19</f>
        <v>-0.80230425463197863</v>
      </c>
      <c r="P207" s="19">
        <f>(H207-Settings!$D$20)/Settings!$E$20</f>
        <v>0.38229280730534398</v>
      </c>
      <c r="Q207" s="19">
        <f>(I207-Settings!$D$21)/Settings!$E$21</f>
        <v>0.45042711351993558</v>
      </c>
      <c r="R207" s="19">
        <f>(J207-Settings!$D$22)/Settings!$E$22</f>
        <v>1.024200999109308</v>
      </c>
      <c r="S207" s="19">
        <f>(K207-Settings!$D$23)/Settings!$E$23</f>
        <v>0.46880647525446806</v>
      </c>
      <c r="T207" s="19">
        <f>(L207-Settings!$D$24)/Settings!$E$24</f>
        <v>0.15806973006981567</v>
      </c>
      <c r="U207" s="19">
        <f>(M207-Settings!$D$25)/Settings!$E$25</f>
        <v>-1.837978950585373</v>
      </c>
      <c r="V207" s="31">
        <f>Settings!$B$18*(N207-F$6)^2</f>
        <v>0.15835869126251001</v>
      </c>
      <c r="W207" s="31">
        <f>Settings!$B$19*(O207-G$6)^2</f>
        <v>0.34130902434159782</v>
      </c>
      <c r="X207" s="31">
        <f>Settings!$B$20*(P207-H$6)^2</f>
        <v>0.70630951365382233</v>
      </c>
      <c r="Y207" s="31">
        <f>Settings!$B$21*(Q207-I$6)^2</f>
        <v>0.34330412410740957</v>
      </c>
      <c r="Z207" s="31">
        <f>Settings!$B$22*(R207-J$6)^2</f>
        <v>0.151844687748976</v>
      </c>
      <c r="AA207" s="31">
        <f>Settings!$B$23*(S207-K$6)^2</f>
        <v>1.5851690170497417</v>
      </c>
      <c r="AB207" s="31">
        <f>Settings!$B$24*(T207-L$6)^2</f>
        <v>1.8718237806198457</v>
      </c>
      <c r="AC207" s="31">
        <f>Settings!$B$25*(U207-M$6)^2</f>
        <v>2.7424819114245684</v>
      </c>
      <c r="AD207" s="19">
        <f t="shared" si="12"/>
        <v>2.8108007311455703</v>
      </c>
      <c r="AE207" s="15">
        <f t="shared" si="13"/>
        <v>1.1125658880579909</v>
      </c>
      <c r="AF207" s="33">
        <f t="shared" si="14"/>
        <v>0.53853573321869819</v>
      </c>
      <c r="AG207" s="47">
        <f t="shared" si="15"/>
        <v>2.3250741079681196E-3</v>
      </c>
      <c r="AH207" s="18">
        <v>-1.4879452917472371</v>
      </c>
      <c r="AI207" s="46">
        <v>1</v>
      </c>
      <c r="AJ207" s="48"/>
      <c r="AK207" s="48"/>
      <c r="AL207" s="48"/>
      <c r="AM207" s="48"/>
      <c r="AN207" s="48"/>
      <c r="AO207" s="48"/>
      <c r="AP207" s="48"/>
      <c r="AQ207" s="48"/>
    </row>
    <row r="208" spans="1:43" ht="20" customHeight="1" x14ac:dyDescent="0.45">
      <c r="A208" s="26">
        <v>198</v>
      </c>
      <c r="B208" s="16" t="s">
        <v>424</v>
      </c>
      <c r="C208" s="16" t="s">
        <v>214</v>
      </c>
      <c r="D208" s="46">
        <v>26</v>
      </c>
      <c r="E208" s="46">
        <v>1</v>
      </c>
      <c r="F208" s="13">
        <v>1.2550083812186299E-2</v>
      </c>
      <c r="G208" s="13">
        <v>7.8314893243116829E-2</v>
      </c>
      <c r="H208" s="13">
        <v>0.22563851202081081</v>
      </c>
      <c r="I208" s="13">
        <v>1.263358947030635E-4</v>
      </c>
      <c r="J208" s="13">
        <v>0.68337017502918318</v>
      </c>
      <c r="K208" s="13">
        <v>15.20388548057258</v>
      </c>
      <c r="L208" s="13">
        <v>1.1430801772236201</v>
      </c>
      <c r="M208" s="13">
        <v>1.5530433093366609</v>
      </c>
      <c r="N208" s="19">
        <f>(F208-Settings!$D$18)/Settings!$E$18</f>
        <v>-0.64339410025681842</v>
      </c>
      <c r="O208" s="19">
        <f>(G208-Settings!$D$19)/Settings!$E$19</f>
        <v>0.35394081377837078</v>
      </c>
      <c r="P208" s="19">
        <f>(H208-Settings!$D$20)/Settings!$E$20</f>
        <v>1.5629856980065819</v>
      </c>
      <c r="Q208" s="19">
        <f>(I208-Settings!$D$21)/Settings!$E$21</f>
        <v>3.7762715763805001E-2</v>
      </c>
      <c r="R208" s="19">
        <f>(J208-Settings!$D$22)/Settings!$E$22</f>
        <v>1.1717573224913036</v>
      </c>
      <c r="S208" s="19">
        <f>(K208-Settings!$D$23)/Settings!$E$23</f>
        <v>-1.7824382404647666E-2</v>
      </c>
      <c r="T208" s="19">
        <f>(L208-Settings!$D$24)/Settings!$E$24</f>
        <v>-0.11420332069206944</v>
      </c>
      <c r="U208" s="19">
        <f>(M208-Settings!$D$25)/Settings!$E$25</f>
        <v>1.0833599628555997</v>
      </c>
      <c r="V208" s="31">
        <f>Settings!$B$18*(N208-F$6)^2</f>
        <v>9.5256966309692645E-2</v>
      </c>
      <c r="W208" s="31">
        <f>Settings!$B$19*(O208-G$6)^2</f>
        <v>4.5061785797745066E-3</v>
      </c>
      <c r="X208" s="31">
        <f>Settings!$B$20*(P208-H$6)^2</f>
        <v>9.7593954068877026E-2</v>
      </c>
      <c r="Y208" s="31">
        <f>Settings!$B$21*(Q208-I$6)^2</f>
        <v>0.16109986232347698</v>
      </c>
      <c r="Z208" s="31">
        <f>Settings!$B$22*(R208-J$6)^2</f>
        <v>0.20762761496112556</v>
      </c>
      <c r="AA208" s="31">
        <f>Settings!$B$23*(S208-K$6)^2</f>
        <v>3.0473491282914851</v>
      </c>
      <c r="AB208" s="31">
        <f>Settings!$B$24*(T208-L$6)^2</f>
        <v>2.6909750257664924</v>
      </c>
      <c r="AC208" s="31">
        <f>Settings!$B$25*(U208-M$6)^2</f>
        <v>1.6009710793138665</v>
      </c>
      <c r="AD208" s="19">
        <f t="shared" si="12"/>
        <v>2.8116507268177515</v>
      </c>
      <c r="AE208" s="15">
        <f t="shared" si="13"/>
        <v>1.1129023317551152</v>
      </c>
      <c r="AF208" s="33">
        <f t="shared" si="14"/>
        <v>0.53833415805013618</v>
      </c>
      <c r="AG208" s="47">
        <f t="shared" si="15"/>
        <v>2.3242038273603095E-3</v>
      </c>
      <c r="AH208" s="48"/>
      <c r="AI208" s="48"/>
      <c r="AJ208" s="48"/>
      <c r="AK208" s="48"/>
      <c r="AL208" s="48"/>
      <c r="AM208" s="48"/>
      <c r="AN208" s="48"/>
      <c r="AO208" s="48"/>
      <c r="AP208" s="48"/>
      <c r="AQ208" s="48"/>
    </row>
    <row r="209" spans="1:43" ht="20" customHeight="1" x14ac:dyDescent="0.45">
      <c r="A209" s="26">
        <v>199</v>
      </c>
      <c r="B209" s="16" t="s">
        <v>425</v>
      </c>
      <c r="C209" s="16" t="s">
        <v>234</v>
      </c>
      <c r="D209" s="46">
        <v>26</v>
      </c>
      <c r="E209" s="46">
        <v>1</v>
      </c>
      <c r="F209" s="13">
        <v>0.39251374771158543</v>
      </c>
      <c r="G209" s="13">
        <v>0.1390510870989061</v>
      </c>
      <c r="H209" s="13">
        <v>3.6394519537270097E-2</v>
      </c>
      <c r="I209" s="13">
        <v>0.1715332804113692</v>
      </c>
      <c r="J209" s="13">
        <v>0.26050736524086932</v>
      </c>
      <c r="K209" s="13">
        <v>16.184637681159419</v>
      </c>
      <c r="L209" s="13">
        <v>1.1402553585844579</v>
      </c>
      <c r="M209" s="13">
        <v>0.39844095481036113</v>
      </c>
      <c r="N209" s="19">
        <f>(F209-Settings!$D$18)/Settings!$E$18</f>
        <v>0.71647216653205292</v>
      </c>
      <c r="O209" s="19">
        <f>(G209-Settings!$D$19)/Settings!$E$19</f>
        <v>0.60697553859155495</v>
      </c>
      <c r="P209" s="19">
        <f>(H209-Settings!$D$20)/Settings!$E$20</f>
        <v>-0.15160126516776823</v>
      </c>
      <c r="Q209" s="19">
        <f>(I209-Settings!$D$21)/Settings!$E$21</f>
        <v>2.1456066278556003</v>
      </c>
      <c r="R209" s="19">
        <f>(J209-Settings!$D$22)/Settings!$E$22</f>
        <v>3.4025024127439317E-2</v>
      </c>
      <c r="S209" s="19">
        <f>(K209-Settings!$D$23)/Settings!$E$23</f>
        <v>0.32276829835231646</v>
      </c>
      <c r="T209" s="19">
        <f>(L209-Settings!$D$24)/Settings!$E$24</f>
        <v>-0.11615627233033285</v>
      </c>
      <c r="U209" s="19">
        <f>(M209-Settings!$D$25)/Settings!$E$25</f>
        <v>0.30468327557619174</v>
      </c>
      <c r="V209" s="31">
        <f>Settings!$B$18*(N209-F$6)^2</f>
        <v>8.9708282488018043E-2</v>
      </c>
      <c r="W209" s="31">
        <f>Settings!$B$19*(O209-G$6)^2</f>
        <v>2.1189904235153589E-3</v>
      </c>
      <c r="X209" s="31">
        <f>Settings!$B$20*(P209-H$6)^2</f>
        <v>1.1646443893226615</v>
      </c>
      <c r="Y209" s="31">
        <f>Settings!$B$21*(Q209-I$6)^2</f>
        <v>1.806413759246837</v>
      </c>
      <c r="Z209" s="31">
        <f>Settings!$B$22*(R209-J$6)^2</f>
        <v>2.8246693865788697E-3</v>
      </c>
      <c r="AA209" s="31">
        <f>Settings!$B$23*(S209-K$6)^2</f>
        <v>1.9742305050312123</v>
      </c>
      <c r="AB209" s="31">
        <f>Settings!$B$24*(T209-L$6)^2</f>
        <v>2.6973861583647909</v>
      </c>
      <c r="AC209" s="31">
        <f>Settings!$B$25*(U209-M$6)^2</f>
        <v>0.23679724470334507</v>
      </c>
      <c r="AD209" s="19">
        <f t="shared" si="12"/>
        <v>2.8238491459295343</v>
      </c>
      <c r="AE209" s="15">
        <f t="shared" si="13"/>
        <v>1.1177306871919208</v>
      </c>
      <c r="AF209" s="33">
        <f t="shared" si="14"/>
        <v>0.53544294259597069</v>
      </c>
      <c r="AG209" s="47">
        <f t="shared" si="15"/>
        <v>2.3117212941162111E-3</v>
      </c>
      <c r="AH209" s="18">
        <v>0.25828388381517531</v>
      </c>
      <c r="AI209" s="46">
        <v>1</v>
      </c>
      <c r="AJ209" s="18">
        <v>-0.7732228181759131</v>
      </c>
      <c r="AK209" s="46">
        <v>1</v>
      </c>
      <c r="AL209" s="18">
        <v>-1.258337144620725</v>
      </c>
      <c r="AM209" s="46">
        <v>1</v>
      </c>
      <c r="AN209" s="18">
        <v>1.5115233559365711</v>
      </c>
      <c r="AO209" s="46">
        <v>1</v>
      </c>
      <c r="AP209" s="18">
        <v>0.47670654877892787</v>
      </c>
      <c r="AQ209" s="46">
        <v>1</v>
      </c>
    </row>
    <row r="210" spans="1:43" ht="20" customHeight="1" x14ac:dyDescent="0.45">
      <c r="A210" s="26">
        <v>200</v>
      </c>
      <c r="B210" s="16" t="s">
        <v>426</v>
      </c>
      <c r="C210" s="16" t="s">
        <v>227</v>
      </c>
      <c r="D210" s="46">
        <v>26</v>
      </c>
      <c r="E210" s="46">
        <v>0</v>
      </c>
      <c r="F210" s="13">
        <v>0.31379009164367511</v>
      </c>
      <c r="G210" s="13">
        <v>-0.22781993475946621</v>
      </c>
      <c r="H210" s="13">
        <v>9.5853658751353151E-3</v>
      </c>
      <c r="I210" s="13">
        <v>9.5032518612982089E-6</v>
      </c>
      <c r="J210" s="13">
        <v>0.44879510446986193</v>
      </c>
      <c r="K210" s="13">
        <v>16.545031055900619</v>
      </c>
      <c r="L210" s="13">
        <v>1.426408911272234</v>
      </c>
      <c r="M210" s="13">
        <v>-2.538981831018889</v>
      </c>
      <c r="N210" s="19">
        <f>(F210-Settings!$D$18)/Settings!$E$18</f>
        <v>0.43472510896766359</v>
      </c>
      <c r="O210" s="19">
        <f>(G210-Settings!$D$19)/Settings!$E$19</f>
        <v>-0.92145589848995124</v>
      </c>
      <c r="P210" s="19">
        <f>(H210-Settings!$D$20)/Settings!$E$20</f>
        <v>-0.39449735269790254</v>
      </c>
      <c r="Q210" s="19">
        <f>(I210-Settings!$D$21)/Settings!$E$21</f>
        <v>3.6325988823469949E-2</v>
      </c>
      <c r="R210" s="19">
        <f>(J210-Settings!$D$22)/Settings!$E$22</f>
        <v>0.54062205121993123</v>
      </c>
      <c r="S210" s="19">
        <f>(K210-Settings!$D$23)/Settings!$E$23</f>
        <v>0.44792462790906684</v>
      </c>
      <c r="T210" s="19">
        <f>(L210-Settings!$D$24)/Settings!$E$24</f>
        <v>8.167733077922365E-2</v>
      </c>
      <c r="U210" s="19">
        <f>(M210-Settings!$D$25)/Settings!$E$25</f>
        <v>-1.6763473667413404</v>
      </c>
      <c r="V210" s="31">
        <f>Settings!$B$18*(N210-F$6)^2</f>
        <v>3.0106516479607749E-2</v>
      </c>
      <c r="W210" s="31">
        <f>Settings!$B$19*(O210-G$6)^2</f>
        <v>0.40640985229746385</v>
      </c>
      <c r="X210" s="31">
        <f>Settings!$B$20*(P210-H$6)^2</f>
        <v>1.4109005398167695</v>
      </c>
      <c r="Y210" s="31">
        <f>Settings!$B$21*(Q210-I$6)^2</f>
        <v>0.16058449241016812</v>
      </c>
      <c r="Z210" s="31">
        <f>Settings!$B$22*(R210-J$6)^2</f>
        <v>3.0070840516590619E-2</v>
      </c>
      <c r="AA210" s="31">
        <f>Settings!$B$23*(S210-K$6)^2</f>
        <v>1.6381870200496675</v>
      </c>
      <c r="AB210" s="31">
        <f>Settings!$B$24*(T210-L$6)^2</f>
        <v>2.0866915072642773</v>
      </c>
      <c r="AC210" s="31">
        <f>Settings!$B$25*(U210-M$6)^2</f>
        <v>2.2332686333362157</v>
      </c>
      <c r="AD210" s="19">
        <f t="shared" si="12"/>
        <v>2.8277587241790556</v>
      </c>
      <c r="AE210" s="15">
        <f t="shared" si="13"/>
        <v>1.1192781691421401</v>
      </c>
      <c r="AF210" s="33">
        <f t="shared" si="14"/>
        <v>0.53451696452843578</v>
      </c>
      <c r="AG210" s="47">
        <f t="shared" si="15"/>
        <v>2.3077234765220022E-3</v>
      </c>
      <c r="AH210" s="18">
        <v>-0.73497703347730348</v>
      </c>
      <c r="AI210" s="46">
        <v>0</v>
      </c>
      <c r="AJ210" s="18">
        <v>0.45559309834850048</v>
      </c>
      <c r="AK210" s="46">
        <v>0</v>
      </c>
      <c r="AL210" s="18">
        <v>-1.109748066810226</v>
      </c>
      <c r="AM210" s="46">
        <v>0</v>
      </c>
      <c r="AN210" s="18">
        <v>-0.64671980455401212</v>
      </c>
      <c r="AO210" s="46">
        <v>1</v>
      </c>
      <c r="AP210" s="18">
        <v>0.72493330262476807</v>
      </c>
      <c r="AQ210" s="46">
        <v>1</v>
      </c>
    </row>
    <row r="211" spans="1:43" ht="20" customHeight="1" x14ac:dyDescent="0.45">
      <c r="A211" s="26">
        <v>201</v>
      </c>
      <c r="B211" s="16" t="s">
        <v>427</v>
      </c>
      <c r="C211" s="16" t="s">
        <v>229</v>
      </c>
      <c r="D211" s="46">
        <v>26</v>
      </c>
      <c r="E211" s="46">
        <v>1</v>
      </c>
      <c r="F211" s="13">
        <v>0.39523454650953321</v>
      </c>
      <c r="G211" s="13">
        <v>0.15652692799349799</v>
      </c>
      <c r="H211" s="13">
        <v>5.8436287991122507E-2</v>
      </c>
      <c r="I211" s="13">
        <v>-1.2263254960578109E-5</v>
      </c>
      <c r="J211" s="13">
        <v>0.38978997425088552</v>
      </c>
      <c r="K211" s="13">
        <v>13.938589743589739</v>
      </c>
      <c r="L211" s="13">
        <v>1.552592246075879</v>
      </c>
      <c r="M211" s="13">
        <v>-0.96622159892649795</v>
      </c>
      <c r="N211" s="19">
        <f>(F211-Settings!$D$18)/Settings!$E$18</f>
        <v>0.72620973581980597</v>
      </c>
      <c r="O211" s="19">
        <f>(G211-Settings!$D$19)/Settings!$E$19</f>
        <v>0.67978211916427811</v>
      </c>
      <c r="P211" s="19">
        <f>(H211-Settings!$D$20)/Settings!$E$20</f>
        <v>4.8101395615875731E-2</v>
      </c>
      <c r="Q211" s="19">
        <f>(I211-Settings!$D$21)/Settings!$E$21</f>
        <v>3.6058319394898251E-2</v>
      </c>
      <c r="R211" s="19">
        <f>(J211-Settings!$D$22)/Settings!$E$22</f>
        <v>0.38186597036973396</v>
      </c>
      <c r="S211" s="19">
        <f>(K211-Settings!$D$23)/Settings!$E$23</f>
        <v>-0.45723248850064507</v>
      </c>
      <c r="T211" s="19">
        <f>(L211-Settings!$D$24)/Settings!$E$24</f>
        <v>0.16891477215330367</v>
      </c>
      <c r="U211" s="19">
        <f>(M211-Settings!$D$25)/Settings!$E$25</f>
        <v>-0.61566034959685878</v>
      </c>
      <c r="V211" s="31">
        <f>Settings!$B$18*(N211-F$6)^2</f>
        <v>9.233587258026027E-2</v>
      </c>
      <c r="W211" s="31">
        <f>Settings!$B$19*(O211-G$6)^2</f>
        <v>6.1767945429330772E-3</v>
      </c>
      <c r="X211" s="31">
        <f>Settings!$B$20*(P211-H$6)^2</f>
        <v>0.97985680425924437</v>
      </c>
      <c r="Y211" s="31">
        <f>Settings!$B$21*(Q211-I$6)^2</f>
        <v>0.16048856765570715</v>
      </c>
      <c r="Z211" s="31">
        <f>Settings!$B$22*(R211-J$6)^2</f>
        <v>1.0488132006466665E-2</v>
      </c>
      <c r="AA211" s="31">
        <f>Settings!$B$23*(S211-K$6)^2</f>
        <v>4.7745480289276214</v>
      </c>
      <c r="AB211" s="31">
        <f>Settings!$B$24*(T211-L$6)^2</f>
        <v>1.8422661912606928</v>
      </c>
      <c r="AC211" s="31">
        <f>Settings!$B$25*(U211-M$6)^2</f>
        <v>0.18811776928035001</v>
      </c>
      <c r="AD211" s="19">
        <f t="shared" si="12"/>
        <v>2.8380060184068103</v>
      </c>
      <c r="AE211" s="15">
        <f t="shared" si="13"/>
        <v>1.1233342339767494</v>
      </c>
      <c r="AF211" s="33">
        <f t="shared" si="14"/>
        <v>0.53209145282276671</v>
      </c>
      <c r="AG211" s="47">
        <f t="shared" si="15"/>
        <v>2.2972515725840428E-3</v>
      </c>
      <c r="AH211" s="18">
        <v>1.216542459828136</v>
      </c>
      <c r="AI211" s="46">
        <v>1</v>
      </c>
      <c r="AJ211" s="48"/>
      <c r="AK211" s="48"/>
      <c r="AL211" s="48"/>
      <c r="AM211" s="48"/>
      <c r="AN211" s="48"/>
      <c r="AO211" s="48"/>
      <c r="AP211" s="48"/>
      <c r="AQ211" s="48"/>
    </row>
    <row r="212" spans="1:43" ht="20" customHeight="1" x14ac:dyDescent="0.45">
      <c r="A212" s="26">
        <v>202</v>
      </c>
      <c r="B212" s="16" t="s">
        <v>428</v>
      </c>
      <c r="C212" s="16" t="s">
        <v>242</v>
      </c>
      <c r="D212" s="46">
        <v>26</v>
      </c>
      <c r="E212" s="46">
        <v>0</v>
      </c>
      <c r="F212" s="13">
        <v>0.27887861748681603</v>
      </c>
      <c r="G212" s="13">
        <v>-0.16610937903338269</v>
      </c>
      <c r="H212" s="13">
        <v>8.5882754352658658E-2</v>
      </c>
      <c r="I212" s="13">
        <v>-2.4606027627270211E-2</v>
      </c>
      <c r="J212" s="13">
        <v>0.44452322149987239</v>
      </c>
      <c r="K212" s="13">
        <v>16.400435729847452</v>
      </c>
      <c r="L212" s="13">
        <v>1.526619062506904</v>
      </c>
      <c r="M212" s="13">
        <v>2.349966581257414</v>
      </c>
      <c r="N212" s="19">
        <f>(F212-Settings!$D$18)/Settings!$E$18</f>
        <v>0.30977911928388746</v>
      </c>
      <c r="O212" s="19">
        <f>(G212-Settings!$D$19)/Settings!$E$19</f>
        <v>-0.66436185793657154</v>
      </c>
      <c r="P212" s="19">
        <f>(H212-Settings!$D$20)/Settings!$E$20</f>
        <v>0.2967716587566524</v>
      </c>
      <c r="Q212" s="19">
        <f>(I212-Settings!$D$21)/Settings!$E$21</f>
        <v>-0.26637876478375649</v>
      </c>
      <c r="R212" s="19">
        <f>(J212-Settings!$D$22)/Settings!$E$22</f>
        <v>0.52912834896642558</v>
      </c>
      <c r="S212" s="19">
        <f>(K212-Settings!$D$23)/Settings!$E$23</f>
        <v>0.39770999704113946</v>
      </c>
      <c r="T212" s="19">
        <f>(L212-Settings!$D$24)/Settings!$E$24</f>
        <v>0.15095808966094004</v>
      </c>
      <c r="U212" s="19">
        <f>(M212-Settings!$D$25)/Settings!$E$25</f>
        <v>1.6208138931740692</v>
      </c>
      <c r="V212" s="31">
        <f>Settings!$B$18*(N212-F$6)^2</f>
        <v>1.3837934314599794E-2</v>
      </c>
      <c r="W212" s="31">
        <f>Settings!$B$19*(O212-G$6)^2</f>
        <v>0.27303433516790554</v>
      </c>
      <c r="X212" s="31">
        <f>Settings!$B$20*(P212-H$6)^2</f>
        <v>0.77205823408585683</v>
      </c>
      <c r="Y212" s="31">
        <f>Settings!$B$21*(Q212-I$6)^2</f>
        <v>7.0413949096535353E-2</v>
      </c>
      <c r="Z212" s="31">
        <f>Settings!$B$22*(R212-J$6)^2</f>
        <v>2.8314563791435751E-2</v>
      </c>
      <c r="AA212" s="31">
        <f>Settings!$B$23*(S212-K$6)^2</f>
        <v>1.7692496287113506</v>
      </c>
      <c r="AB212" s="31">
        <f>Settings!$B$24*(T212-L$6)^2</f>
        <v>1.8913338823834109</v>
      </c>
      <c r="AC212" s="31">
        <f>Settings!$B$25*(U212-M$6)^2</f>
        <v>3.2499031961098201</v>
      </c>
      <c r="AD212" s="19">
        <f t="shared" si="12"/>
        <v>2.8404481554256389</v>
      </c>
      <c r="AE212" s="15">
        <f t="shared" si="13"/>
        <v>1.1243008760837496</v>
      </c>
      <c r="AF212" s="33">
        <f t="shared" si="14"/>
        <v>0.53151374010038588</v>
      </c>
      <c r="AG212" s="47">
        <f t="shared" si="15"/>
        <v>2.2947573557479135E-3</v>
      </c>
      <c r="AH212" s="18">
        <v>0.54646112777743672</v>
      </c>
      <c r="AI212" s="46">
        <v>0</v>
      </c>
      <c r="AJ212" s="18">
        <v>-0.49171001500076211</v>
      </c>
      <c r="AK212" s="46">
        <v>0</v>
      </c>
      <c r="AL212" s="18">
        <v>-4.6472566071246828E-2</v>
      </c>
      <c r="AM212" s="46">
        <v>0</v>
      </c>
      <c r="AN212" s="18">
        <v>-1.304634470099272</v>
      </c>
      <c r="AO212" s="46">
        <v>0</v>
      </c>
      <c r="AP212" s="18">
        <v>0.17709396683148029</v>
      </c>
      <c r="AQ212" s="46">
        <v>0</v>
      </c>
    </row>
    <row r="213" spans="1:43" ht="20" customHeight="1" x14ac:dyDescent="0.45">
      <c r="A213" s="26">
        <v>203</v>
      </c>
      <c r="B213" s="16" t="s">
        <v>429</v>
      </c>
      <c r="C213" s="16" t="s">
        <v>212</v>
      </c>
      <c r="D213" s="46">
        <v>26</v>
      </c>
      <c r="E213" s="46">
        <v>0</v>
      </c>
      <c r="F213" s="13">
        <v>0.15825000385917651</v>
      </c>
      <c r="G213" s="13">
        <v>-0.11831428451248489</v>
      </c>
      <c r="H213" s="13">
        <v>-5.2234925524246627E-2</v>
      </c>
      <c r="I213" s="13">
        <v>5.0858556587568948E-3</v>
      </c>
      <c r="J213" s="13">
        <v>0.66611493044533521</v>
      </c>
      <c r="K213" s="13">
        <v>16.849530516431901</v>
      </c>
      <c r="L213" s="13">
        <v>2.1395600523600402</v>
      </c>
      <c r="M213" s="13">
        <v>-3.0209254093979179</v>
      </c>
      <c r="N213" s="19">
        <f>(F213-Settings!$D$18)/Settings!$E$18</f>
        <v>-0.12194316910094867</v>
      </c>
      <c r="O213" s="19">
        <f>(G213-Settings!$D$19)/Settings!$E$19</f>
        <v>-0.46524140237706102</v>
      </c>
      <c r="P213" s="19">
        <f>(H213-Settings!$D$20)/Settings!$E$20</f>
        <v>-0.95460108070521876</v>
      </c>
      <c r="Q213" s="19">
        <f>(I213-Settings!$D$21)/Settings!$E$21</f>
        <v>9.8751455578505801E-2</v>
      </c>
      <c r="R213" s="19">
        <f>(J213-Settings!$D$22)/Settings!$E$22</f>
        <v>1.1253312745514534</v>
      </c>
      <c r="S213" s="19">
        <f>(K213-Settings!$D$23)/Settings!$E$23</f>
        <v>0.5536702866894837</v>
      </c>
      <c r="T213" s="19">
        <f>(L213-Settings!$D$24)/Settings!$E$24</f>
        <v>0.57471772282716505</v>
      </c>
      <c r="U213" s="19">
        <f>(M213-Settings!$D$25)/Settings!$E$25</f>
        <v>-2.0013754836480757</v>
      </c>
      <c r="V213" s="31">
        <f>Settings!$B$18*(N213-F$6)^2</f>
        <v>5.6907903412936542E-3</v>
      </c>
      <c r="W213" s="31">
        <f>Settings!$B$19*(O213-G$6)^2</f>
        <v>0.18790274317897879</v>
      </c>
      <c r="X213" s="31">
        <f>Settings!$B$20*(P213-H$6)^2</f>
        <v>2.068705008417246</v>
      </c>
      <c r="Y213" s="31">
        <f>Settings!$B$21*(Q213-I$6)^2</f>
        <v>0.18373865089537977</v>
      </c>
      <c r="Z213" s="31">
        <f>Settings!$B$22*(R213-J$6)^2</f>
        <v>0.18913746482756233</v>
      </c>
      <c r="AA213" s="31">
        <f>Settings!$B$23*(S213-K$6)^2</f>
        <v>1.3786778735767025</v>
      </c>
      <c r="AB213" s="31">
        <f>Settings!$B$24*(T213-L$6)^2</f>
        <v>0.90534866872402553</v>
      </c>
      <c r="AC213" s="31">
        <f>Settings!$B$25*(U213-M$6)^2</f>
        <v>3.3103640527469529</v>
      </c>
      <c r="AD213" s="19">
        <f t="shared" si="12"/>
        <v>2.8687218848658267</v>
      </c>
      <c r="AE213" s="15">
        <f t="shared" si="13"/>
        <v>1.1354921307873562</v>
      </c>
      <c r="AF213" s="33">
        <f t="shared" si="14"/>
        <v>0.52483508500380516</v>
      </c>
      <c r="AG213" s="47">
        <f t="shared" si="15"/>
        <v>2.265922931060252E-3</v>
      </c>
      <c r="AH213" s="18">
        <v>-2.3642191242361399</v>
      </c>
      <c r="AI213" s="46">
        <v>0</v>
      </c>
      <c r="AJ213" s="18">
        <v>2.686707544086114E-2</v>
      </c>
      <c r="AK213" s="46">
        <v>0</v>
      </c>
      <c r="AL213" s="18">
        <v>1.1763278477341541</v>
      </c>
      <c r="AM213" s="46">
        <v>0</v>
      </c>
      <c r="AN213" s="18">
        <v>4.6977323239775333E-2</v>
      </c>
      <c r="AO213" s="46">
        <v>0</v>
      </c>
      <c r="AP213" s="18">
        <v>-0.79610743483883517</v>
      </c>
      <c r="AQ213" s="46">
        <v>0</v>
      </c>
    </row>
    <row r="214" spans="1:43" ht="20" customHeight="1" x14ac:dyDescent="0.45">
      <c r="A214" s="26">
        <v>204</v>
      </c>
      <c r="B214" s="16" t="s">
        <v>430</v>
      </c>
      <c r="C214" s="16" t="s">
        <v>271</v>
      </c>
      <c r="D214" s="46">
        <v>26</v>
      </c>
      <c r="E214" s="46">
        <v>1</v>
      </c>
      <c r="F214" s="13">
        <v>0.77612266909472816</v>
      </c>
      <c r="G214" s="13">
        <v>-2.7381045456174511E-2</v>
      </c>
      <c r="H214" s="13">
        <v>0.12572135645277679</v>
      </c>
      <c r="I214" s="13">
        <v>2.5310096394862561E-5</v>
      </c>
      <c r="J214" s="13">
        <v>-7.0749618899925648E-2</v>
      </c>
      <c r="K214" s="13">
        <v>14.91586757990865</v>
      </c>
      <c r="L214" s="13">
        <v>1.018730811009257</v>
      </c>
      <c r="M214" s="13">
        <v>5.5662891756800059E-2</v>
      </c>
      <c r="N214" s="19">
        <f>(F214-Settings!$D$18)/Settings!$E$18</f>
        <v>2.0893845826159132</v>
      </c>
      <c r="O214" s="19">
        <f>(G214-Settings!$D$19)/Settings!$E$19</f>
        <v>-8.640193845514138E-2</v>
      </c>
      <c r="P214" s="19">
        <f>(H214-Settings!$D$20)/Settings!$E$20</f>
        <v>0.65771705467400898</v>
      </c>
      <c r="Q214" s="19">
        <f>(I214-Settings!$D$21)/Settings!$E$21</f>
        <v>3.6520370452017184E-2</v>
      </c>
      <c r="R214" s="19">
        <f>(J214-Settings!$D$22)/Settings!$E$22</f>
        <v>-0.8572374874759261</v>
      </c>
      <c r="S214" s="19">
        <f>(K214-Settings!$D$23)/Settings!$E$23</f>
        <v>-0.11784637453928115</v>
      </c>
      <c r="T214" s="19">
        <f>(L214-Settings!$D$24)/Settings!$E$24</f>
        <v>-0.20017283926526341</v>
      </c>
      <c r="U214" s="19">
        <f>(M214-Settings!$D$25)/Settings!$E$25</f>
        <v>7.3509932161258354E-2</v>
      </c>
      <c r="V214" s="31">
        <f>Settings!$B$18*(N214-F$6)^2</f>
        <v>0.83447952308222928</v>
      </c>
      <c r="W214" s="31">
        <f>Settings!$B$19*(O214-G$6)^2</f>
        <v>6.9725223333192143E-2</v>
      </c>
      <c r="X214" s="31">
        <f>Settings!$B$20*(P214-H$6)^2</f>
        <v>0.51444577724847207</v>
      </c>
      <c r="Y214" s="31">
        <f>Settings!$B$21*(Q214-I$6)^2</f>
        <v>0.1606541709617858</v>
      </c>
      <c r="Z214" s="31">
        <f>Settings!$B$22*(R214-J$6)^2</f>
        <v>0.20406209902580899</v>
      </c>
      <c r="AA214" s="31">
        <f>Settings!$B$23*(S214-K$6)^2</f>
        <v>3.4065634715005539</v>
      </c>
      <c r="AB214" s="31">
        <f>Settings!$B$24*(T214-L$6)^2</f>
        <v>2.9804178750533432</v>
      </c>
      <c r="AC214" s="31">
        <f>Settings!$B$25*(U214-M$6)^2</f>
        <v>6.5252060126821568E-2</v>
      </c>
      <c r="AD214" s="19">
        <f t="shared" si="12"/>
        <v>2.8697735451307316</v>
      </c>
      <c r="AE214" s="15">
        <f t="shared" si="13"/>
        <v>1.135908396986377</v>
      </c>
      <c r="AF214" s="33">
        <f t="shared" si="14"/>
        <v>0.52458702595115814</v>
      </c>
      <c r="AG214" s="47">
        <f t="shared" si="15"/>
        <v>2.2648519609370448E-3</v>
      </c>
      <c r="AH214" s="48"/>
      <c r="AI214" s="48"/>
      <c r="AJ214" s="48"/>
      <c r="AK214" s="48"/>
      <c r="AL214" s="18">
        <v>-0.1097834997685334</v>
      </c>
      <c r="AM214" s="46">
        <v>1</v>
      </c>
      <c r="AN214" s="18">
        <v>0.217473958489351</v>
      </c>
      <c r="AO214" s="46">
        <v>1</v>
      </c>
      <c r="AP214" s="18">
        <v>0.44814389034577862</v>
      </c>
      <c r="AQ214" s="46">
        <v>1</v>
      </c>
    </row>
    <row r="215" spans="1:43" ht="20" customHeight="1" x14ac:dyDescent="0.45">
      <c r="A215" s="26">
        <v>205</v>
      </c>
      <c r="B215" s="16" t="s">
        <v>431</v>
      </c>
      <c r="C215" s="16" t="s">
        <v>246</v>
      </c>
      <c r="D215" s="46">
        <v>26</v>
      </c>
      <c r="E215" s="46">
        <v>1</v>
      </c>
      <c r="F215" s="13">
        <v>2.8951627526545092E-3</v>
      </c>
      <c r="G215" s="13">
        <v>-0.1837710571297882</v>
      </c>
      <c r="H215" s="13">
        <v>3.5693083010284003E-2</v>
      </c>
      <c r="I215" s="13">
        <v>6.6747280869358482E-5</v>
      </c>
      <c r="J215" s="13">
        <v>0.77757394982640404</v>
      </c>
      <c r="K215" s="13">
        <v>16.753726708074542</v>
      </c>
      <c r="L215" s="13">
        <v>0.61961341200648878</v>
      </c>
      <c r="M215" s="13">
        <v>-1.5660617539775781</v>
      </c>
      <c r="N215" s="19">
        <f>(F215-Settings!$D$18)/Settings!$E$18</f>
        <v>-0.67794846085705462</v>
      </c>
      <c r="O215" s="19">
        <f>(G215-Settings!$D$19)/Settings!$E$19</f>
        <v>-0.73794265997817055</v>
      </c>
      <c r="P215" s="19">
        <f>(H215-Settings!$D$20)/Settings!$E$20</f>
        <v>-0.15795641498722288</v>
      </c>
      <c r="Q215" s="19">
        <f>(I215-Settings!$D$21)/Settings!$E$21</f>
        <v>3.7029936253304183E-2</v>
      </c>
      <c r="R215" s="19">
        <f>(J215-Settings!$D$22)/Settings!$E$22</f>
        <v>1.425217013752041</v>
      </c>
      <c r="S215" s="19">
        <f>(K215-Settings!$D$23)/Settings!$E$23</f>
        <v>0.52039982765239445</v>
      </c>
      <c r="T215" s="19">
        <f>(L215-Settings!$D$24)/Settings!$E$24</f>
        <v>-0.47610452827205557</v>
      </c>
      <c r="U215" s="19">
        <f>(M215-Settings!$D$25)/Settings!$E$25</f>
        <v>-1.0201992308846695</v>
      </c>
      <c r="V215" s="31">
        <f>Settings!$B$18*(N215-F$6)^2</f>
        <v>0.1050346216508391</v>
      </c>
      <c r="W215" s="31">
        <f>Settings!$B$19*(O215-G$6)^2</f>
        <v>0.30850605089130934</v>
      </c>
      <c r="X215" s="31">
        <f>Settings!$B$20*(P215-H$6)^2</f>
        <v>1.1707868014394187</v>
      </c>
      <c r="Y215" s="31">
        <f>Settings!$B$21*(Q215-I$6)^2</f>
        <v>0.16083690300536452</v>
      </c>
      <c r="Z215" s="31">
        <f>Settings!$B$22*(R215-J$6)^2</f>
        <v>0.32377505773860621</v>
      </c>
      <c r="AA215" s="31">
        <f>Settings!$B$23*(S215-K$6)^2</f>
        <v>1.4579152228674814</v>
      </c>
      <c r="AB215" s="31">
        <f>Settings!$B$24*(T215-L$6)^2</f>
        <v>4.0092868608599854</v>
      </c>
      <c r="AC215" s="31">
        <f>Settings!$B$25*(U215-M$6)^2</f>
        <v>0.70268709549245134</v>
      </c>
      <c r="AD215" s="19">
        <f t="shared" si="12"/>
        <v>2.8703359757954217</v>
      </c>
      <c r="AE215" s="15">
        <f t="shared" si="13"/>
        <v>1.1361310172401</v>
      </c>
      <c r="AF215" s="33">
        <f t="shared" si="14"/>
        <v>0.52445437414469842</v>
      </c>
      <c r="AG215" s="47">
        <f t="shared" si="15"/>
        <v>2.2642792500442476E-3</v>
      </c>
      <c r="AH215" s="18">
        <v>0.2041791690258771</v>
      </c>
      <c r="AI215" s="46">
        <v>1</v>
      </c>
      <c r="AJ215" s="48"/>
      <c r="AK215" s="48"/>
      <c r="AL215" s="48"/>
      <c r="AM215" s="48"/>
      <c r="AN215" s="48"/>
      <c r="AO215" s="48"/>
      <c r="AP215" s="48"/>
      <c r="AQ215" s="48"/>
    </row>
    <row r="216" spans="1:43" ht="20" customHeight="1" x14ac:dyDescent="0.45">
      <c r="A216" s="26">
        <v>206</v>
      </c>
      <c r="B216" s="16" t="s">
        <v>432</v>
      </c>
      <c r="C216" s="16" t="s">
        <v>232</v>
      </c>
      <c r="D216" s="46">
        <v>26</v>
      </c>
      <c r="E216" s="46">
        <v>0</v>
      </c>
      <c r="F216" s="13">
        <v>0.1044875280643817</v>
      </c>
      <c r="G216" s="13">
        <v>0.23002422650808371</v>
      </c>
      <c r="H216" s="13">
        <v>-2.290684535650624E-2</v>
      </c>
      <c r="I216" s="13">
        <v>-0.12429860765667471</v>
      </c>
      <c r="J216" s="13">
        <v>0.51828279241435371</v>
      </c>
      <c r="K216" s="13">
        <v>15.299612403100801</v>
      </c>
      <c r="L216" s="13">
        <v>1.228273745077034</v>
      </c>
      <c r="M216" s="13">
        <v>-1.711234922668162</v>
      </c>
      <c r="N216" s="19">
        <f>(F216-Settings!$D$18)/Settings!$E$18</f>
        <v>-0.31435571850659799</v>
      </c>
      <c r="O216" s="19">
        <f>(G216-Settings!$D$19)/Settings!$E$19</f>
        <v>0.98598123246907055</v>
      </c>
      <c r="P216" s="19">
        <f>(H216-Settings!$D$20)/Settings!$E$20</f>
        <v>-0.68888303464933986</v>
      </c>
      <c r="Q216" s="19">
        <f>(I216-Settings!$D$21)/Settings!$E$21</f>
        <v>-1.4923290813724319</v>
      </c>
      <c r="R216" s="19">
        <f>(J216-Settings!$D$22)/Settings!$E$22</f>
        <v>0.72758194715557623</v>
      </c>
      <c r="S216" s="19">
        <f>(K216-Settings!$D$23)/Settings!$E$23</f>
        <v>1.541937595245004E-2</v>
      </c>
      <c r="T216" s="19">
        <f>(L216-Settings!$D$24)/Settings!$E$24</f>
        <v>-5.5304347284637984E-2</v>
      </c>
      <c r="U216" s="19">
        <f>(M216-Settings!$D$25)/Settings!$E$25</f>
        <v>-1.1181056327161614</v>
      </c>
      <c r="V216" s="31">
        <f>Settings!$B$18*(N216-F$6)^2</f>
        <v>2.607799796881409E-2</v>
      </c>
      <c r="W216" s="31">
        <f>Settings!$B$19*(O216-G$6)^2</f>
        <v>4.6452746479275664E-2</v>
      </c>
      <c r="X216" s="31">
        <f>Settings!$B$20*(P216-H$6)^2</f>
        <v>1.740992169565782</v>
      </c>
      <c r="Y216" s="31">
        <f>Settings!$B$21*(Q216-I$6)^2</f>
        <v>8.0035454452574428E-2</v>
      </c>
      <c r="Z216" s="31">
        <f>Settings!$B$22*(R216-J$6)^2</f>
        <v>6.6059520152624507E-2</v>
      </c>
      <c r="AA216" s="31">
        <f>Settings!$B$23*(S216-K$6)^2</f>
        <v>2.932389290887381</v>
      </c>
      <c r="AB216" s="31">
        <f>Settings!$B$24*(T216-L$6)^2</f>
        <v>2.501206105681911</v>
      </c>
      <c r="AC216" s="31">
        <f>Settings!$B$25*(U216-M$6)^2</f>
        <v>0.87641564867770183</v>
      </c>
      <c r="AD216" s="19">
        <f t="shared" si="12"/>
        <v>2.8756962520172511</v>
      </c>
      <c r="AE216" s="15">
        <f t="shared" si="13"/>
        <v>1.1382527117483212</v>
      </c>
      <c r="AF216" s="33">
        <f t="shared" si="14"/>
        <v>0.52319050972880532</v>
      </c>
      <c r="AG216" s="47">
        <f t="shared" si="15"/>
        <v>2.2588226419714423E-3</v>
      </c>
      <c r="AH216" s="18">
        <v>-1.408013955527976</v>
      </c>
      <c r="AI216" s="46">
        <v>0</v>
      </c>
      <c r="AJ216" s="18">
        <v>-0.50907618883723815</v>
      </c>
      <c r="AK216" s="46">
        <v>0</v>
      </c>
      <c r="AL216" s="18">
        <v>0.7247142863139886</v>
      </c>
      <c r="AM216" s="46">
        <v>1</v>
      </c>
      <c r="AN216" s="18">
        <v>1.686248819294881</v>
      </c>
      <c r="AO216" s="46">
        <v>1</v>
      </c>
      <c r="AP216" s="48"/>
      <c r="AQ216" s="48"/>
    </row>
    <row r="217" spans="1:43" ht="20" customHeight="1" x14ac:dyDescent="0.45">
      <c r="A217" s="26">
        <v>207</v>
      </c>
      <c r="B217" s="16" t="s">
        <v>433</v>
      </c>
      <c r="C217" s="16" t="s">
        <v>218</v>
      </c>
      <c r="D217" s="46">
        <v>26</v>
      </c>
      <c r="E217" s="46">
        <v>0</v>
      </c>
      <c r="F217" s="13">
        <v>0.20213977075115641</v>
      </c>
      <c r="G217" s="13">
        <v>0.25022970159679808</v>
      </c>
      <c r="H217" s="13">
        <v>-4.0788622079917812E-2</v>
      </c>
      <c r="I217" s="13">
        <v>2.226243621229839E-3</v>
      </c>
      <c r="J217" s="13">
        <v>0.50461566195089791</v>
      </c>
      <c r="K217" s="13">
        <v>16.018260869565239</v>
      </c>
      <c r="L217" s="13">
        <v>1.9649046353058359</v>
      </c>
      <c r="M217" s="13">
        <v>2.1452186830412221</v>
      </c>
      <c r="N217" s="19">
        <f>(F217-Settings!$D$18)/Settings!$E$18</f>
        <v>3.513557058988865E-2</v>
      </c>
      <c r="O217" s="19">
        <f>(G217-Settings!$D$19)/Settings!$E$19</f>
        <v>1.0701598170035564</v>
      </c>
      <c r="P217" s="19">
        <f>(H217-Settings!$D$20)/Settings!$E$20</f>
        <v>-0.85089537039639207</v>
      </c>
      <c r="Q217" s="19">
        <f>(I217-Settings!$D$21)/Settings!$E$21</f>
        <v>6.358592689329115E-2</v>
      </c>
      <c r="R217" s="19">
        <f>(J217-Settings!$D$22)/Settings!$E$22</f>
        <v>0.69080988918715269</v>
      </c>
      <c r="S217" s="19">
        <f>(K217-Settings!$D$23)/Settings!$E$23</f>
        <v>0.264989458556952</v>
      </c>
      <c r="T217" s="19">
        <f>(L217-Settings!$D$24)/Settings!$E$24</f>
        <v>0.4539688796487748</v>
      </c>
      <c r="U217" s="19">
        <f>(M217-Settings!$D$25)/Settings!$E$25</f>
        <v>1.4827296302367947</v>
      </c>
      <c r="V217" s="31">
        <f>Settings!$B$18*(N217-F$6)^2</f>
        <v>2.6931733180666004E-5</v>
      </c>
      <c r="W217" s="31">
        <f>Settings!$B$19*(O217-G$6)^2</f>
        <v>6.4097479180344072E-2</v>
      </c>
      <c r="X217" s="31">
        <f>Settings!$B$20*(P217-H$6)^2</f>
        <v>1.9374433528984825</v>
      </c>
      <c r="Y217" s="31">
        <f>Settings!$B$21*(Q217-I$6)^2</f>
        <v>0.17050372283872778</v>
      </c>
      <c r="Z217" s="31">
        <f>Settings!$B$22*(R217-J$6)^2</f>
        <v>5.7876572234764917E-2</v>
      </c>
      <c r="AA217" s="31">
        <f>Settings!$B$23*(S217-K$6)^2</f>
        <v>2.1399358900976386</v>
      </c>
      <c r="AB217" s="31">
        <f>Settings!$B$24*(T217-L$6)^2</f>
        <v>1.1497135459439032</v>
      </c>
      <c r="AC217" s="31">
        <f>Settings!$B$25*(U217-M$6)^2</f>
        <v>2.7711079842105377</v>
      </c>
      <c r="AD217" s="19">
        <f t="shared" si="12"/>
        <v>2.8793585186873791</v>
      </c>
      <c r="AE217" s="15">
        <f t="shared" si="13"/>
        <v>1.1397023032917586</v>
      </c>
      <c r="AF217" s="33">
        <f t="shared" si="14"/>
        <v>0.52232740761539342</v>
      </c>
      <c r="AG217" s="47">
        <f t="shared" si="15"/>
        <v>2.255096285013785E-3</v>
      </c>
      <c r="AH217" s="18">
        <v>1.811348301291547</v>
      </c>
      <c r="AI217" s="46">
        <v>0</v>
      </c>
      <c r="AJ217" s="18">
        <v>-0.76356591656875406</v>
      </c>
      <c r="AK217" s="46">
        <v>0</v>
      </c>
      <c r="AL217" s="18">
        <v>-0.84418729848285157</v>
      </c>
      <c r="AM217" s="46">
        <v>0</v>
      </c>
      <c r="AN217" s="18">
        <v>-0.51455005757610439</v>
      </c>
      <c r="AO217" s="46">
        <v>0</v>
      </c>
      <c r="AP217" s="18">
        <v>-0.69335653931505914</v>
      </c>
      <c r="AQ217" s="46">
        <v>1</v>
      </c>
    </row>
    <row r="218" spans="1:43" ht="20" customHeight="1" x14ac:dyDescent="0.45">
      <c r="A218" s="26">
        <v>208</v>
      </c>
      <c r="B218" s="16" t="s">
        <v>434</v>
      </c>
      <c r="C218" s="16" t="s">
        <v>258</v>
      </c>
      <c r="D218" s="46">
        <v>26</v>
      </c>
      <c r="E218" s="46">
        <v>0</v>
      </c>
      <c r="F218" s="13">
        <v>0.41184027675520202</v>
      </c>
      <c r="G218" s="13">
        <v>0.22595810849273401</v>
      </c>
      <c r="H218" s="13">
        <v>5.7359541662832997E-2</v>
      </c>
      <c r="I218" s="13">
        <v>-2.9712683820668682E-3</v>
      </c>
      <c r="J218" s="13">
        <v>-0.30187080470716399</v>
      </c>
      <c r="K218" s="13">
        <v>16.535062893081761</v>
      </c>
      <c r="L218" s="13">
        <v>0.44333199580307248</v>
      </c>
      <c r="M218" s="13">
        <v>-1.24371498281084</v>
      </c>
      <c r="N218" s="19">
        <f>(F218-Settings!$D$18)/Settings!$E$18</f>
        <v>0.78564060919526502</v>
      </c>
      <c r="O218" s="19">
        <f>(G218-Settings!$D$19)/Settings!$E$19</f>
        <v>0.96904126656480483</v>
      </c>
      <c r="P218" s="19">
        <f>(H218-Settings!$D$20)/Settings!$E$20</f>
        <v>3.8345866825224097E-2</v>
      </c>
      <c r="Q218" s="19">
        <f>(I218-Settings!$D$21)/Settings!$E$21</f>
        <v>-3.2947668073250545E-4</v>
      </c>
      <c r="R218" s="19">
        <f>(J218-Settings!$D$22)/Settings!$E$22</f>
        <v>-1.4790799192109052</v>
      </c>
      <c r="S218" s="19">
        <f>(K218-Settings!$D$23)/Settings!$E$23</f>
        <v>0.44446291424208229</v>
      </c>
      <c r="T218" s="19">
        <f>(L218-Settings!$D$24)/Settings!$E$24</f>
        <v>-0.59797751360181961</v>
      </c>
      <c r="U218" s="19">
        <f>(M218-Settings!$D$25)/Settings!$E$25</f>
        <v>-0.80280497827177866</v>
      </c>
      <c r="V218" s="31">
        <f>Settings!$B$18*(N218-F$6)^2</f>
        <v>0.10919487447107637</v>
      </c>
      <c r="W218" s="31">
        <f>Settings!$B$19*(O218-G$6)^2</f>
        <v>4.3244537192261553E-2</v>
      </c>
      <c r="X218" s="31">
        <f>Settings!$B$20*(P218-H$6)^2</f>
        <v>0.98851312063901264</v>
      </c>
      <c r="Y218" s="31">
        <f>Settings!$B$21*(Q218-I$6)^2</f>
        <v>0.14771502715759732</v>
      </c>
      <c r="Z218" s="31">
        <f>Settings!$B$22*(R218-J$6)^2</f>
        <v>0.53264996185392632</v>
      </c>
      <c r="AA218" s="31">
        <f>Settings!$B$23*(S218-K$6)^2</f>
        <v>1.6470604144833745</v>
      </c>
      <c r="AB218" s="31">
        <f>Settings!$B$24*(T218-L$6)^2</f>
        <v>4.5121974073719313</v>
      </c>
      <c r="AC218" s="31">
        <f>Settings!$B$25*(U218-M$6)^2</f>
        <v>0.38547965932148082</v>
      </c>
      <c r="AD218" s="19">
        <f t="shared" si="12"/>
        <v>2.892413352633171</v>
      </c>
      <c r="AE218" s="15">
        <f t="shared" si="13"/>
        <v>1.1448696432463166</v>
      </c>
      <c r="AF218" s="33">
        <f t="shared" si="14"/>
        <v>0.51925340951700383</v>
      </c>
      <c r="AG218" s="47">
        <f t="shared" si="15"/>
        <v>2.2418246060041279E-3</v>
      </c>
      <c r="AH218" s="18">
        <v>0.3178170424063988</v>
      </c>
      <c r="AI218" s="46">
        <v>0</v>
      </c>
      <c r="AJ218" s="18">
        <v>1.1409399939415581</v>
      </c>
      <c r="AK218" s="46">
        <v>0</v>
      </c>
      <c r="AL218" s="18">
        <v>-0.39915436604351551</v>
      </c>
      <c r="AM218" s="46">
        <v>0</v>
      </c>
      <c r="AN218" s="18">
        <v>-0.62008284391914703</v>
      </c>
      <c r="AO218" s="46">
        <v>0</v>
      </c>
      <c r="AP218" s="18">
        <v>-0.53100377843789526</v>
      </c>
      <c r="AQ218" s="46">
        <v>0</v>
      </c>
    </row>
    <row r="219" spans="1:43" ht="20" customHeight="1" x14ac:dyDescent="0.45">
      <c r="A219" s="26">
        <v>209</v>
      </c>
      <c r="B219" s="16" t="s">
        <v>435</v>
      </c>
      <c r="C219" s="16" t="s">
        <v>227</v>
      </c>
      <c r="D219" s="46">
        <v>26</v>
      </c>
      <c r="E219" s="46">
        <v>0</v>
      </c>
      <c r="F219" s="13">
        <v>0.28275198374469401</v>
      </c>
      <c r="G219" s="13">
        <v>2.38940588019288E-2</v>
      </c>
      <c r="H219" s="13">
        <v>-2.1495152475504271E-3</v>
      </c>
      <c r="I219" s="13">
        <v>0.13429555358588871</v>
      </c>
      <c r="J219" s="13">
        <v>0.55690888861993815</v>
      </c>
      <c r="K219" s="13">
        <v>15.09653679653675</v>
      </c>
      <c r="L219" s="13">
        <v>1.383726501288977</v>
      </c>
      <c r="M219" s="13">
        <v>-0.74996054046981309</v>
      </c>
      <c r="N219" s="19">
        <f>(F219-Settings!$D$18)/Settings!$E$18</f>
        <v>0.32364165566157932</v>
      </c>
      <c r="O219" s="19">
        <f>(G219-Settings!$D$19)/Settings!$E$19</f>
        <v>0.12721668121869925</v>
      </c>
      <c r="P219" s="19">
        <f>(H219-Settings!$D$20)/Settings!$E$20</f>
        <v>-0.50081763226560261</v>
      </c>
      <c r="Q219" s="19">
        <f>(I219-Settings!$D$21)/Settings!$E$21</f>
        <v>1.6876828488012776</v>
      </c>
      <c r="R219" s="19">
        <f>(J219-Settings!$D$22)/Settings!$E$22</f>
        <v>0.83150727753590192</v>
      </c>
      <c r="S219" s="19">
        <f>(K219-Settings!$D$23)/Settings!$E$23</f>
        <v>-5.5104111218530212E-2</v>
      </c>
      <c r="T219" s="19">
        <f>(L219-Settings!$D$24)/Settings!$E$24</f>
        <v>5.2168646099008079E-2</v>
      </c>
      <c r="U219" s="19">
        <f>(M219-Settings!$D$25)/Settings!$E$25</f>
        <v>-0.46981148316554239</v>
      </c>
      <c r="V219" s="31">
        <f>Settings!$B$18*(N219-F$6)^2</f>
        <v>1.5334925024897392E-2</v>
      </c>
      <c r="W219" s="31">
        <f>Settings!$B$19*(O219-G$6)^2</f>
        <v>2.8399728674524984E-2</v>
      </c>
      <c r="X219" s="31">
        <f>Settings!$B$20*(P219-H$6)^2</f>
        <v>1.5261173397914722</v>
      </c>
      <c r="Y219" s="31">
        <f>Settings!$B$21*(Q219-I$6)^2</f>
        <v>1.29786592812222</v>
      </c>
      <c r="Z219" s="31">
        <f>Settings!$B$22*(R219-J$6)^2</f>
        <v>9.2110603259445881E-2</v>
      </c>
      <c r="AA219" s="31">
        <f>Settings!$B$23*(S219-K$6)^2</f>
        <v>3.1788948026375907</v>
      </c>
      <c r="AB219" s="31">
        <f>Settings!$B$24*(T219-L$6)^2</f>
        <v>2.1728151325438629</v>
      </c>
      <c r="AC219" s="31">
        <f>Settings!$B$25*(U219-M$6)^2</f>
        <v>8.2872929559243441E-2</v>
      </c>
      <c r="AD219" s="19">
        <f t="shared" si="12"/>
        <v>2.8973110619354037</v>
      </c>
      <c r="AE219" s="15">
        <f t="shared" si="13"/>
        <v>1.146808245381612</v>
      </c>
      <c r="AF219" s="33">
        <f t="shared" si="14"/>
        <v>0.51810125863417333</v>
      </c>
      <c r="AG219" s="47">
        <f t="shared" si="15"/>
        <v>2.2368503099251453E-3</v>
      </c>
      <c r="AH219" s="18">
        <v>0.206333158346899</v>
      </c>
      <c r="AI219" s="46">
        <v>0</v>
      </c>
      <c r="AJ219" s="18">
        <v>9.7958830611905467E-2</v>
      </c>
      <c r="AK219" s="46">
        <v>0</v>
      </c>
      <c r="AL219" s="18">
        <v>-0.3901911487900156</v>
      </c>
      <c r="AM219" s="46">
        <v>0</v>
      </c>
      <c r="AN219" s="18">
        <v>-0.29712984464124959</v>
      </c>
      <c r="AO219" s="46">
        <v>1</v>
      </c>
      <c r="AP219" s="18">
        <v>-0.69459827413594966</v>
      </c>
      <c r="AQ219" s="46">
        <v>1</v>
      </c>
    </row>
    <row r="220" spans="1:43" ht="20" customHeight="1" x14ac:dyDescent="0.45">
      <c r="A220" s="26">
        <v>210</v>
      </c>
      <c r="B220" s="16" t="s">
        <v>436</v>
      </c>
      <c r="C220" s="16" t="s">
        <v>260</v>
      </c>
      <c r="D220" s="46">
        <v>26</v>
      </c>
      <c r="E220" s="46">
        <v>1</v>
      </c>
      <c r="F220" s="13">
        <v>9.9559070053150997E-2</v>
      </c>
      <c r="G220" s="13">
        <v>0.1461415119192796</v>
      </c>
      <c r="H220" s="13">
        <v>2.1410159725384299E-2</v>
      </c>
      <c r="I220" s="13">
        <v>-1.2473863468012899E-2</v>
      </c>
      <c r="J220" s="13">
        <v>0.72041539483417216</v>
      </c>
      <c r="K220" s="13">
        <v>14.038333333333339</v>
      </c>
      <c r="L220" s="13">
        <v>1.5600107396769649</v>
      </c>
      <c r="M220" s="13">
        <v>-1.1279872260975661</v>
      </c>
      <c r="N220" s="19">
        <f>(F220-Settings!$D$18)/Settings!$E$18</f>
        <v>-0.33199436249686248</v>
      </c>
      <c r="O220" s="19">
        <f>(G220-Settings!$D$19)/Settings!$E$19</f>
        <v>0.63651515211247645</v>
      </c>
      <c r="P220" s="19">
        <f>(H220-Settings!$D$20)/Settings!$E$20</f>
        <v>-0.28736244652842668</v>
      </c>
      <c r="Q220" s="19">
        <f>(I220-Settings!$D$21)/Settings!$E$21</f>
        <v>-0.11718581092941406</v>
      </c>
      <c r="R220" s="19">
        <f>(J220-Settings!$D$22)/Settings!$E$22</f>
        <v>1.2714292304872417</v>
      </c>
      <c r="S220" s="19">
        <f>(K220-Settings!$D$23)/Settings!$E$23</f>
        <v>-0.42259383400793199</v>
      </c>
      <c r="T220" s="19">
        <f>(L220-Settings!$D$24)/Settings!$E$24</f>
        <v>0.17404358255933541</v>
      </c>
      <c r="U220" s="19">
        <f>(M220-Settings!$D$25)/Settings!$E$25</f>
        <v>-0.72475689022614087</v>
      </c>
      <c r="V220" s="31">
        <f>Settings!$B$18*(N220-F$6)^2</f>
        <v>2.8687916599959132E-2</v>
      </c>
      <c r="W220" s="31">
        <f>Settings!$B$19*(O220-G$6)^2</f>
        <v>3.5097342219730164E-3</v>
      </c>
      <c r="X220" s="31">
        <f>Settings!$B$20*(P220-H$6)^2</f>
        <v>1.2993746483081443</v>
      </c>
      <c r="Y220" s="31">
        <f>Settings!$B$21*(Q220-I$6)^2</f>
        <v>0.11027539000086256</v>
      </c>
      <c r="Z220" s="31">
        <f>Settings!$B$22*(R220-J$6)^2</f>
        <v>0.25023642125831108</v>
      </c>
      <c r="AA220" s="31">
        <f>Settings!$B$23*(S220-K$6)^2</f>
        <v>4.6243718243108116</v>
      </c>
      <c r="AB220" s="31">
        <f>Settings!$B$24*(T220-L$6)^2</f>
        <v>1.8283698162657118</v>
      </c>
      <c r="AC220" s="31">
        <f>Settings!$B$25*(U220-M$6)^2</f>
        <v>0.2946557176441108</v>
      </c>
      <c r="AD220" s="19">
        <f t="shared" si="12"/>
        <v>2.905078564963413</v>
      </c>
      <c r="AE220" s="15">
        <f t="shared" si="13"/>
        <v>1.149882763901759</v>
      </c>
      <c r="AF220" s="33">
        <f t="shared" si="14"/>
        <v>0.51627527071924817</v>
      </c>
      <c r="AG220" s="47">
        <f t="shared" si="15"/>
        <v>2.2289667899271677E-3</v>
      </c>
      <c r="AH220" s="18">
        <v>-1.329725212053354</v>
      </c>
      <c r="AI220" s="46">
        <v>1</v>
      </c>
      <c r="AJ220" s="48"/>
      <c r="AK220" s="48"/>
      <c r="AL220" s="48"/>
      <c r="AM220" s="48"/>
      <c r="AN220" s="48"/>
      <c r="AO220" s="48"/>
      <c r="AP220" s="48"/>
      <c r="AQ220" s="48"/>
    </row>
    <row r="221" spans="1:43" ht="20" customHeight="1" x14ac:dyDescent="0.45">
      <c r="A221" s="26">
        <v>211</v>
      </c>
      <c r="B221" s="16" t="s">
        <v>437</v>
      </c>
      <c r="C221" s="16" t="s">
        <v>271</v>
      </c>
      <c r="D221" s="46">
        <v>26</v>
      </c>
      <c r="E221" s="46">
        <v>1</v>
      </c>
      <c r="F221" s="13">
        <v>7.5389709464178681E-2</v>
      </c>
      <c r="G221" s="13">
        <v>6.2932077868663922E-2</v>
      </c>
      <c r="H221" s="13">
        <v>-1.9334932372433129E-2</v>
      </c>
      <c r="I221" s="13">
        <v>0.1050032110113978</v>
      </c>
      <c r="J221" s="13">
        <v>0.7373400692833264</v>
      </c>
      <c r="K221" s="13">
        <v>15.65118203309695</v>
      </c>
      <c r="L221" s="13">
        <v>1.110323432803374</v>
      </c>
      <c r="M221" s="13">
        <v>-0.94349773377279122</v>
      </c>
      <c r="N221" s="19">
        <f>(F221-Settings!$D$18)/Settings!$E$18</f>
        <v>-0.41849499736678492</v>
      </c>
      <c r="O221" s="19">
        <f>(G221-Settings!$D$19)/Settings!$E$19</f>
        <v>0.28985404429181533</v>
      </c>
      <c r="P221" s="19">
        <f>(H221-Settings!$D$20)/Settings!$E$20</f>
        <v>-0.65652081614130664</v>
      </c>
      <c r="Q221" s="19">
        <f>(I221-Settings!$D$21)/Settings!$E$21</f>
        <v>1.3274659034455745</v>
      </c>
      <c r="R221" s="19">
        <f>(J221-Settings!$D$22)/Settings!$E$22</f>
        <v>1.3169658639162629</v>
      </c>
      <c r="S221" s="19">
        <f>(K221-Settings!$D$23)/Settings!$E$23</f>
        <v>0.13751142191622567</v>
      </c>
      <c r="T221" s="19">
        <f>(L221-Settings!$D$24)/Settings!$E$24</f>
        <v>-0.13684984985072343</v>
      </c>
      <c r="U221" s="19">
        <f>(M221-Settings!$D$25)/Settings!$E$25</f>
        <v>-0.60033512185008886</v>
      </c>
      <c r="V221" s="31">
        <f>Settings!$B$18*(N221-F$6)^2</f>
        <v>4.3288687551440441E-2</v>
      </c>
      <c r="W221" s="31">
        <f>Settings!$B$19*(O221-G$6)^2</f>
        <v>9.1754464162402474E-3</v>
      </c>
      <c r="X221" s="31">
        <f>Settings!$B$20*(P221-H$6)^2</f>
        <v>1.7030088155252814</v>
      </c>
      <c r="Y221" s="31">
        <f>Settings!$B$21*(Q221-I$6)^2</f>
        <v>0.95676817507574552</v>
      </c>
      <c r="Z221" s="31">
        <f>Settings!$B$22*(R221-J$6)^2</f>
        <v>0.27102536679184658</v>
      </c>
      <c r="AA221" s="31">
        <f>Settings!$B$23*(S221-K$6)^2</f>
        <v>2.5291495343321531</v>
      </c>
      <c r="AB221" s="31">
        <f>Settings!$B$24*(T221-L$6)^2</f>
        <v>2.7657874918009084</v>
      </c>
      <c r="AC221" s="31">
        <f>Settings!$B$25*(U221-M$6)^2</f>
        <v>0.1750587491675043</v>
      </c>
      <c r="AD221" s="19">
        <f t="shared" si="12"/>
        <v>2.9074494435262532</v>
      </c>
      <c r="AE221" s="15">
        <f t="shared" si="13"/>
        <v>1.1508212006199925</v>
      </c>
      <c r="AF221" s="33">
        <f t="shared" si="14"/>
        <v>0.5157182354883274</v>
      </c>
      <c r="AG221" s="47">
        <f t="shared" si="15"/>
        <v>2.2265618460901096E-3</v>
      </c>
      <c r="AH221" s="18">
        <v>0.97809070895033745</v>
      </c>
      <c r="AI221" s="46">
        <v>1</v>
      </c>
      <c r="AJ221" s="18">
        <v>0.45327030569974402</v>
      </c>
      <c r="AK221" s="46">
        <v>1</v>
      </c>
      <c r="AL221" s="18">
        <v>-0.98281469044490244</v>
      </c>
      <c r="AM221" s="46">
        <v>1</v>
      </c>
      <c r="AN221" s="18">
        <v>-1.17008555670829</v>
      </c>
      <c r="AO221" s="46">
        <v>1</v>
      </c>
      <c r="AP221" s="18">
        <v>0.17116243672306961</v>
      </c>
      <c r="AQ221" s="46">
        <v>1</v>
      </c>
    </row>
    <row r="222" spans="1:43" ht="20" customHeight="1" x14ac:dyDescent="0.45">
      <c r="A222" s="26">
        <v>212</v>
      </c>
      <c r="B222" s="16" t="s">
        <v>438</v>
      </c>
      <c r="C222" s="16" t="s">
        <v>234</v>
      </c>
      <c r="D222" s="46">
        <v>26</v>
      </c>
      <c r="E222" s="46">
        <v>1</v>
      </c>
      <c r="F222" s="13">
        <v>0.42208093386557588</v>
      </c>
      <c r="G222" s="13">
        <v>-8.1700530139399735E-2</v>
      </c>
      <c r="H222" s="13">
        <v>0.12253768473065541</v>
      </c>
      <c r="I222" s="13">
        <v>-3.1076972405614731E-2</v>
      </c>
      <c r="J222" s="13">
        <v>-0.34260387885875432</v>
      </c>
      <c r="K222" s="13">
        <v>17.42435897435897</v>
      </c>
      <c r="L222" s="13">
        <v>-1.4833325973627021E-2</v>
      </c>
      <c r="M222" s="13">
        <v>0.22284849740393389</v>
      </c>
      <c r="N222" s="19">
        <f>(F222-Settings!$D$18)/Settings!$E$18</f>
        <v>0.82229128260764717</v>
      </c>
      <c r="O222" s="19">
        <f>(G222-Settings!$D$19)/Settings!$E$19</f>
        <v>-0.31270383500547566</v>
      </c>
      <c r="P222" s="19">
        <f>(H222-Settings!$D$20)/Settings!$E$20</f>
        <v>0.62887237665734252</v>
      </c>
      <c r="Q222" s="19">
        <f>(I222-Settings!$D$21)/Settings!$E$21</f>
        <v>-0.34595396283058638</v>
      </c>
      <c r="R222" s="19">
        <f>(J222-Settings!$D$22)/Settings!$E$22</f>
        <v>-1.5886741729527136</v>
      </c>
      <c r="S222" s="19">
        <f>(K222-Settings!$D$23)/Settings!$E$23</f>
        <v>0.75329498836603848</v>
      </c>
      <c r="T222" s="19">
        <f>(L222-Settings!$D$24)/Settings!$E$24</f>
        <v>-0.91473226144810005</v>
      </c>
      <c r="U222" s="19">
        <f>(M222-Settings!$D$25)/Settings!$E$25</f>
        <v>0.18626176663982411</v>
      </c>
      <c r="V222" s="31">
        <f>Settings!$B$18*(N222-F$6)^2</f>
        <v>0.12029601340810354</v>
      </c>
      <c r="W222" s="31">
        <f>Settings!$B$19*(O222-G$6)^2</f>
        <v>0.13341532508574608</v>
      </c>
      <c r="X222" s="31">
        <f>Settings!$B$20*(P222-H$6)^2</f>
        <v>0.53311681402407307</v>
      </c>
      <c r="Y222" s="31">
        <f>Settings!$B$21*(Q222-I$6)^2</f>
        <v>5.2793865882162151E-2</v>
      </c>
      <c r="Z222" s="31">
        <f>Settings!$B$22*(R222-J$6)^2</f>
        <v>0.60659293125104163</v>
      </c>
      <c r="AA222" s="31">
        <f>Settings!$B$23*(S222-K$6)^2</f>
        <v>0.94974076673008823</v>
      </c>
      <c r="AB222" s="31">
        <f>Settings!$B$24*(T222-L$6)^2</f>
        <v>5.9582276384283102</v>
      </c>
      <c r="AC222" s="31">
        <f>Settings!$B$25*(U222-M$6)^2</f>
        <v>0.13556878222413554</v>
      </c>
      <c r="AD222" s="19">
        <f t="shared" si="12"/>
        <v>2.9137179233813386</v>
      </c>
      <c r="AE222" s="15">
        <f t="shared" si="13"/>
        <v>1.1533023785916177</v>
      </c>
      <c r="AF222" s="33">
        <f t="shared" si="14"/>
        <v>0.51424617513407433</v>
      </c>
      <c r="AG222" s="47">
        <f t="shared" si="15"/>
        <v>2.220206372898788E-3</v>
      </c>
      <c r="AH222" s="18">
        <v>1.589106185852543</v>
      </c>
      <c r="AI222" s="46">
        <v>1</v>
      </c>
      <c r="AJ222" s="18">
        <v>0.1664776599467879</v>
      </c>
      <c r="AK222" s="46">
        <v>1</v>
      </c>
      <c r="AL222" s="18">
        <v>-1.4775353045881481</v>
      </c>
      <c r="AM222" s="46">
        <v>1</v>
      </c>
      <c r="AN222" s="18">
        <v>0.85145490752728226</v>
      </c>
      <c r="AO222" s="46">
        <v>1</v>
      </c>
      <c r="AP222" s="18">
        <v>0.44090580216841557</v>
      </c>
      <c r="AQ222" s="46">
        <v>1</v>
      </c>
    </row>
    <row r="223" spans="1:43" ht="20" customHeight="1" x14ac:dyDescent="0.45">
      <c r="A223" s="26">
        <v>213</v>
      </c>
      <c r="B223" s="16" t="s">
        <v>439</v>
      </c>
      <c r="C223" s="16" t="s">
        <v>260</v>
      </c>
      <c r="D223" s="46">
        <v>26</v>
      </c>
      <c r="E223" s="46">
        <v>1</v>
      </c>
      <c r="F223" s="13">
        <v>0.16796107560892601</v>
      </c>
      <c r="G223" s="13">
        <v>-9.4294667628261289E-2</v>
      </c>
      <c r="H223" s="13">
        <v>-0.1030737410914256</v>
      </c>
      <c r="I223" s="13">
        <v>-3.3690060982192287E-2</v>
      </c>
      <c r="J223" s="13">
        <v>0.60098045468919492</v>
      </c>
      <c r="K223" s="13">
        <v>17.01991150442478</v>
      </c>
      <c r="L223" s="13">
        <v>1.328752961661225</v>
      </c>
      <c r="M223" s="13">
        <v>1.752228563001121</v>
      </c>
      <c r="N223" s="19">
        <f>(F223-Settings!$D$18)/Settings!$E$18</f>
        <v>-8.7187848680764651E-2</v>
      </c>
      <c r="O223" s="19">
        <f>(G223-Settings!$D$19)/Settings!$E$19</f>
        <v>-0.36517261698611891</v>
      </c>
      <c r="P223" s="19">
        <f>(H223-Settings!$D$20)/Settings!$E$20</f>
        <v>-1.4152105259550678</v>
      </c>
      <c r="Q223" s="19">
        <f>(I223-Settings!$D$21)/Settings!$E$21</f>
        <v>-0.37808791669941616</v>
      </c>
      <c r="R223" s="19">
        <f>(J223-Settings!$D$22)/Settings!$E$22</f>
        <v>0.95008390096034401</v>
      </c>
      <c r="S223" s="19">
        <f>(K223-Settings!$D$23)/Settings!$E$23</f>
        <v>0.61283968484713425</v>
      </c>
      <c r="T223" s="19">
        <f>(L223-Settings!$D$24)/Settings!$E$24</f>
        <v>1.4162431190641695E-2</v>
      </c>
      <c r="U223" s="19">
        <f>(M223-Settings!$D$25)/Settings!$E$25</f>
        <v>1.2176927163532174</v>
      </c>
      <c r="V223" s="31">
        <f>Settings!$B$18*(N223-F$6)^2</f>
        <v>3.5873242296825835E-3</v>
      </c>
      <c r="W223" s="31">
        <f>Settings!$B$19*(O223-G$6)^2</f>
        <v>0.15110742019102774</v>
      </c>
      <c r="X223" s="31">
        <f>Settings!$B$20*(P223-H$6)^2</f>
        <v>2.7036901040685346</v>
      </c>
      <c r="Y223" s="31">
        <f>Settings!$B$21*(Q223-I$6)^2</f>
        <v>4.6396477945228928E-2</v>
      </c>
      <c r="Z223" s="31">
        <f>Settings!$B$22*(R223-J$6)^2</f>
        <v>0.12711104906480547</v>
      </c>
      <c r="AA223" s="31">
        <f>Settings!$B$23*(S223-K$6)^2</f>
        <v>1.2432288914979157</v>
      </c>
      <c r="AB223" s="31">
        <f>Settings!$B$24*(T223-L$6)^2</f>
        <v>2.2863055138579997</v>
      </c>
      <c r="AC223" s="31">
        <f>Settings!$B$25*(U223-M$6)^2</f>
        <v>1.958957452672484</v>
      </c>
      <c r="AD223" s="19">
        <f t="shared" si="12"/>
        <v>2.9189697212420138</v>
      </c>
      <c r="AE223" s="15">
        <f t="shared" si="13"/>
        <v>1.1553811353978256</v>
      </c>
      <c r="AF223" s="33">
        <f t="shared" si="14"/>
        <v>0.51301367152689459</v>
      </c>
      <c r="AG223" s="47">
        <f t="shared" si="15"/>
        <v>2.2148851619776416E-3</v>
      </c>
      <c r="AH223" s="18">
        <v>3.7487604048789258E-3</v>
      </c>
      <c r="AI223" s="46">
        <v>1</v>
      </c>
      <c r="AJ223" s="18">
        <v>-1.5035086505362449</v>
      </c>
      <c r="AK223" s="46">
        <v>1</v>
      </c>
      <c r="AL223" s="18">
        <v>3.1873818917387407E-2</v>
      </c>
      <c r="AM223" s="46">
        <v>1</v>
      </c>
      <c r="AN223" s="18">
        <v>0.70781425219316585</v>
      </c>
      <c r="AO223" s="46">
        <v>1</v>
      </c>
      <c r="AP223" s="18">
        <v>0.38203760470111248</v>
      </c>
      <c r="AQ223" s="46">
        <v>1</v>
      </c>
    </row>
    <row r="224" spans="1:43" ht="20" customHeight="1" x14ac:dyDescent="0.45">
      <c r="A224" s="26">
        <v>214</v>
      </c>
      <c r="B224" s="16" t="s">
        <v>440</v>
      </c>
      <c r="C224" s="16" t="s">
        <v>218</v>
      </c>
      <c r="D224" s="46">
        <v>26</v>
      </c>
      <c r="E224" s="46">
        <v>0</v>
      </c>
      <c r="F224" s="13">
        <v>0.46286791948652811</v>
      </c>
      <c r="G224" s="13">
        <v>0.36590046197508358</v>
      </c>
      <c r="H224" s="13">
        <v>3.8610530217491709E-2</v>
      </c>
      <c r="I224" s="13">
        <v>-3.8563320334903083E-2</v>
      </c>
      <c r="J224" s="13">
        <v>-9.4057767985993621E-2</v>
      </c>
      <c r="K224" s="13">
        <v>14.94830508474576</v>
      </c>
      <c r="L224" s="13">
        <v>0.84910743537739086</v>
      </c>
      <c r="M224" s="13">
        <v>-0.53685130828787797</v>
      </c>
      <c r="N224" s="19">
        <f>(F224-Settings!$D$18)/Settings!$E$18</f>
        <v>0.96826536155173493</v>
      </c>
      <c r="O224" s="19">
        <f>(G224-Settings!$D$19)/Settings!$E$19</f>
        <v>1.5520589477055275</v>
      </c>
      <c r="P224" s="19">
        <f>(H224-Settings!$D$20)/Settings!$E$20</f>
        <v>-0.13152378227016154</v>
      </c>
      <c r="Q224" s="19">
        <f>(I224-Settings!$D$21)/Settings!$E$21</f>
        <v>-0.43801588570686256</v>
      </c>
      <c r="R224" s="19">
        <f>(J224-Settings!$D$22)/Settings!$E$22</f>
        <v>-0.9199491599532833</v>
      </c>
      <c r="S224" s="19">
        <f>(K224-Settings!$D$23)/Settings!$E$23</f>
        <v>-0.10658157521185892</v>
      </c>
      <c r="T224" s="19">
        <f>(L224-Settings!$D$24)/Settings!$E$24</f>
        <v>-0.31744275696386454</v>
      </c>
      <c r="U224" s="19">
        <f>(M224-Settings!$D$25)/Settings!$E$25</f>
        <v>-0.3260882434773909</v>
      </c>
      <c r="V224" s="31">
        <f>Settings!$B$18*(N224-F$6)^2</f>
        <v>0.16984186376917026</v>
      </c>
      <c r="W224" s="31">
        <f>Settings!$B$19*(O224-G$6)^2</f>
        <v>0.21966716891840413</v>
      </c>
      <c r="X224" s="31">
        <f>Settings!$B$20*(P224-H$6)^2</f>
        <v>1.1453451373494945</v>
      </c>
      <c r="Y224" s="31">
        <f>Settings!$B$21*(Q224-I$6)^2</f>
        <v>3.5569135549309731E-2</v>
      </c>
      <c r="Z224" s="31">
        <f>Settings!$B$22*(R224-J$6)^2</f>
        <v>0.23018677930552156</v>
      </c>
      <c r="AA224" s="31">
        <f>Settings!$B$23*(S224-K$6)^2</f>
        <v>3.3651077617280105</v>
      </c>
      <c r="AB224" s="31">
        <f>Settings!$B$24*(T224-L$6)^2</f>
        <v>3.39907702553137</v>
      </c>
      <c r="AC224" s="31">
        <f>Settings!$B$25*(U224-M$6)^2</f>
        <v>2.0780187649609573E-2</v>
      </c>
      <c r="AD224" s="19">
        <f t="shared" si="12"/>
        <v>2.930115195653729</v>
      </c>
      <c r="AE224" s="15">
        <f t="shared" si="13"/>
        <v>1.1597927162328867</v>
      </c>
      <c r="AF224" s="33">
        <f t="shared" si="14"/>
        <v>0.51040049745554306</v>
      </c>
      <c r="AG224" s="47">
        <f t="shared" si="15"/>
        <v>2.203603044565303E-3</v>
      </c>
      <c r="AH224" s="18">
        <v>1.3099212483681131</v>
      </c>
      <c r="AI224" s="46">
        <v>0</v>
      </c>
      <c r="AJ224" s="18">
        <v>-0.15061742707231129</v>
      </c>
      <c r="AK224" s="46">
        <v>0</v>
      </c>
      <c r="AL224" s="18">
        <v>-1.821883746939148</v>
      </c>
      <c r="AM224" s="46">
        <v>0</v>
      </c>
      <c r="AN224" s="18">
        <v>-9.9872687358712131E-2</v>
      </c>
      <c r="AO224" s="46">
        <v>0</v>
      </c>
      <c r="AP224" s="18">
        <v>-0.75138744373328925</v>
      </c>
      <c r="AQ224" s="46">
        <v>1</v>
      </c>
    </row>
    <row r="225" spans="1:43" ht="20" customHeight="1" x14ac:dyDescent="0.45">
      <c r="A225" s="26">
        <v>215</v>
      </c>
      <c r="B225" s="16" t="s">
        <v>441</v>
      </c>
      <c r="C225" s="16" t="s">
        <v>258</v>
      </c>
      <c r="D225" s="46">
        <v>26</v>
      </c>
      <c r="E225" s="46">
        <v>0</v>
      </c>
      <c r="F225" s="13">
        <v>-4.8782864172019678E-2</v>
      </c>
      <c r="G225" s="13">
        <v>-1.2642134383728861E-2</v>
      </c>
      <c r="H225" s="13">
        <v>-9.0251558176868169E-2</v>
      </c>
      <c r="I225" s="13">
        <v>-5.8048844551838653E-2</v>
      </c>
      <c r="J225" s="13">
        <v>0.79027459871554462</v>
      </c>
      <c r="K225" s="13">
        <v>16.12102102102099</v>
      </c>
      <c r="L225" s="13">
        <v>0.83039967059022635</v>
      </c>
      <c r="M225" s="13">
        <v>-0.48942033151436931</v>
      </c>
      <c r="N225" s="19">
        <f>(F225-Settings!$D$18)/Settings!$E$18</f>
        <v>-0.86290089769764111</v>
      </c>
      <c r="O225" s="19">
        <f>(G225-Settings!$D$19)/Settings!$E$19</f>
        <v>-2.4997756360401933E-2</v>
      </c>
      <c r="P225" s="19">
        <f>(H225-Settings!$D$20)/Settings!$E$20</f>
        <v>-1.2990390830668652</v>
      </c>
      <c r="Q225" s="19">
        <f>(I225-Settings!$D$21)/Settings!$E$21</f>
        <v>-0.67763536968052018</v>
      </c>
      <c r="R225" s="19">
        <f>(J225-Settings!$D$22)/Settings!$E$22</f>
        <v>1.4593887075422516</v>
      </c>
      <c r="S225" s="19">
        <f>(K225-Settings!$D$23)/Settings!$E$23</f>
        <v>0.30067569554766571</v>
      </c>
      <c r="T225" s="19">
        <f>(L225-Settings!$D$24)/Settings!$E$24</f>
        <v>-0.33037645804570659</v>
      </c>
      <c r="U225" s="19">
        <f>(M225-Settings!$D$25)/Settings!$E$25</f>
        <v>-0.29410026447870358</v>
      </c>
      <c r="V225" s="31">
        <f>Settings!$B$18*(N225-F$6)^2</f>
        <v>0.16548924802336554</v>
      </c>
      <c r="W225" s="31">
        <f>Settings!$B$19*(O225-G$6)^2</f>
        <v>5.597698410302529E-2</v>
      </c>
      <c r="X225" s="31">
        <f>Settings!$B$20*(P225-H$6)^2</f>
        <v>2.5355361768778391</v>
      </c>
      <c r="Y225" s="31">
        <f>Settings!$B$21*(Q225-I$6)^2</f>
        <v>6.6319399010756194E-3</v>
      </c>
      <c r="Z225" s="31">
        <f>Settings!$B$22*(R225-J$6)^2</f>
        <v>0.34139994462304601</v>
      </c>
      <c r="AA225" s="31">
        <f>Settings!$B$23*(S225-K$6)^2</f>
        <v>2.0368020333439709</v>
      </c>
      <c r="AB225" s="31">
        <f>Settings!$B$24*(T225-L$6)^2</f>
        <v>3.4469349645589018</v>
      </c>
      <c r="AC225" s="31">
        <f>Settings!$B$25*(U225-M$6)^2</f>
        <v>1.2581069933172217E-2</v>
      </c>
      <c r="AD225" s="19">
        <f t="shared" si="12"/>
        <v>2.932806226358025</v>
      </c>
      <c r="AE225" s="15">
        <f t="shared" si="13"/>
        <v>1.1608578749729359</v>
      </c>
      <c r="AF225" s="33">
        <f t="shared" si="14"/>
        <v>0.50977006751130438</v>
      </c>
      <c r="AG225" s="47">
        <f t="shared" si="15"/>
        <v>2.2008812264020469E-3</v>
      </c>
      <c r="AH225" s="18">
        <v>0.178813622954997</v>
      </c>
      <c r="AI225" s="46">
        <v>0</v>
      </c>
      <c r="AJ225" s="18">
        <v>-1.1056540782005091</v>
      </c>
      <c r="AK225" s="46">
        <v>0</v>
      </c>
      <c r="AL225" s="18">
        <v>-1.9021189802797409</v>
      </c>
      <c r="AM225" s="46">
        <v>0</v>
      </c>
      <c r="AN225" s="48"/>
      <c r="AO225" s="48"/>
      <c r="AP225" s="48"/>
      <c r="AQ225" s="48"/>
    </row>
    <row r="226" spans="1:43" ht="20" customHeight="1" x14ac:dyDescent="0.45">
      <c r="A226" s="26">
        <v>216</v>
      </c>
      <c r="B226" s="16" t="s">
        <v>442</v>
      </c>
      <c r="C226" s="16" t="s">
        <v>234</v>
      </c>
      <c r="D226" s="46">
        <v>26</v>
      </c>
      <c r="E226" s="46">
        <v>1</v>
      </c>
      <c r="F226" s="13">
        <v>-9.5603624908242313E-2</v>
      </c>
      <c r="G226" s="13">
        <v>0.48114794597190907</v>
      </c>
      <c r="H226" s="13">
        <v>2.7715432056304029E-2</v>
      </c>
      <c r="I226" s="13">
        <v>-3.2823577741888467E-2</v>
      </c>
      <c r="J226" s="13">
        <v>0.36270941932165601</v>
      </c>
      <c r="K226" s="13">
        <v>14.853282828282831</v>
      </c>
      <c r="L226" s="13">
        <v>0.99010313551354856</v>
      </c>
      <c r="M226" s="13">
        <v>0.21609126507123261</v>
      </c>
      <c r="N226" s="19">
        <f>(F226-Settings!$D$18)/Settings!$E$18</f>
        <v>-1.0304694816437092</v>
      </c>
      <c r="O226" s="19">
        <f>(G226-Settings!$D$19)/Settings!$E$19</f>
        <v>2.0321946550530989</v>
      </c>
      <c r="P226" s="19">
        <f>(H226-Settings!$D$20)/Settings!$E$20</f>
        <v>-0.23023546671796222</v>
      </c>
      <c r="Q226" s="19">
        <f>(I226-Settings!$D$21)/Settings!$E$21</f>
        <v>-0.36743250581070275</v>
      </c>
      <c r="R226" s="19">
        <f>(J226-Settings!$D$22)/Settings!$E$22</f>
        <v>0.30900446236427725</v>
      </c>
      <c r="S226" s="19">
        <f>(K226-Settings!$D$23)/Settings!$E$23</f>
        <v>-0.13958061925266732</v>
      </c>
      <c r="T226" s="19">
        <f>(L226-Settings!$D$24)/Settings!$E$24</f>
        <v>-0.21996471722299282</v>
      </c>
      <c r="U226" s="19">
        <f>(M226-Settings!$D$25)/Settings!$E$25</f>
        <v>0.18170461389595682</v>
      </c>
      <c r="V226" s="31">
        <f>Settings!$B$18*(N226-F$6)^2</f>
        <v>0.23207597705192079</v>
      </c>
      <c r="W226" s="31">
        <f>Settings!$B$19*(O226-G$6)^2</f>
        <v>0.46704903479797316</v>
      </c>
      <c r="X226" s="31">
        <f>Settings!$B$20*(P226-H$6)^2</f>
        <v>1.2417830436803741</v>
      </c>
      <c r="Y226" s="31">
        <f>Settings!$B$21*(Q226-I$6)^2</f>
        <v>4.8472037792646805E-2</v>
      </c>
      <c r="Z226" s="31">
        <f>Settings!$B$22*(R226-J$6)^2</f>
        <v>4.8757993766418584E-3</v>
      </c>
      <c r="AA226" s="31">
        <f>Settings!$B$23*(S226-K$6)^2</f>
        <v>3.4872651097067338</v>
      </c>
      <c r="AB226" s="31">
        <f>Settings!$B$24*(T226-L$6)^2</f>
        <v>3.04914654161789</v>
      </c>
      <c r="AC226" s="31">
        <f>Settings!$B$25*(U226-M$6)^2</f>
        <v>0.13223369300432078</v>
      </c>
      <c r="AD226" s="19">
        <f t="shared" si="12"/>
        <v>2.9432806928712223</v>
      </c>
      <c r="AE226" s="15">
        <f t="shared" si="13"/>
        <v>1.1650038587166642</v>
      </c>
      <c r="AF226" s="33">
        <f t="shared" si="14"/>
        <v>0.50731813071723098</v>
      </c>
      <c r="AG226" s="47">
        <f t="shared" si="15"/>
        <v>2.19029523479068E-3</v>
      </c>
      <c r="AH226" s="18">
        <v>-0.1366509069874875</v>
      </c>
      <c r="AI226" s="46">
        <v>1</v>
      </c>
      <c r="AJ226" s="18">
        <v>-1.032178505068426</v>
      </c>
      <c r="AK226" s="46">
        <v>1</v>
      </c>
      <c r="AL226" s="18">
        <v>-0.62906974439610397</v>
      </c>
      <c r="AM226" s="46">
        <v>1</v>
      </c>
      <c r="AN226" s="18">
        <v>0.29134231879638123</v>
      </c>
      <c r="AO226" s="46">
        <v>1</v>
      </c>
      <c r="AP226" s="18">
        <v>0.18160059804679601</v>
      </c>
      <c r="AQ226" s="46">
        <v>1</v>
      </c>
    </row>
    <row r="227" spans="1:43" ht="20" customHeight="1" x14ac:dyDescent="0.45">
      <c r="A227" s="26">
        <v>217</v>
      </c>
      <c r="B227" s="16" t="s">
        <v>443</v>
      </c>
      <c r="C227" s="16" t="s">
        <v>246</v>
      </c>
      <c r="D227" s="46">
        <v>26</v>
      </c>
      <c r="E227" s="46">
        <v>1</v>
      </c>
      <c r="F227" s="13">
        <v>0.18927822733656249</v>
      </c>
      <c r="G227" s="13">
        <v>4.7819324462992203E-2</v>
      </c>
      <c r="H227" s="13">
        <v>-2.4913398004124461E-2</v>
      </c>
      <c r="I227" s="13">
        <v>-3.7760125979504608E-4</v>
      </c>
      <c r="J227" s="13">
        <v>0.73761144893652586</v>
      </c>
      <c r="K227" s="13">
        <v>15.86840958605667</v>
      </c>
      <c r="L227" s="13">
        <v>2.4173549277433861</v>
      </c>
      <c r="M227" s="13">
        <v>2.532012928486771</v>
      </c>
      <c r="N227" s="19">
        <f>(F227-Settings!$D$18)/Settings!$E$18</f>
        <v>-1.0895091523574783E-2</v>
      </c>
      <c r="O227" s="19">
        <f>(G227-Settings!$D$19)/Settings!$E$19</f>
        <v>0.22689238738829906</v>
      </c>
      <c r="P227" s="19">
        <f>(H227-Settings!$D$20)/Settings!$E$20</f>
        <v>-0.70706278749316354</v>
      </c>
      <c r="Q227" s="19">
        <f>(I227-Settings!$D$21)/Settings!$E$21</f>
        <v>3.1565645591526061E-2</v>
      </c>
      <c r="R227" s="19">
        <f>(J227-Settings!$D$22)/Settings!$E$22</f>
        <v>1.3176960236499089</v>
      </c>
      <c r="S227" s="19">
        <f>(K227-Settings!$D$23)/Settings!$E$23</f>
        <v>0.21294955455824929</v>
      </c>
      <c r="T227" s="19">
        <f>(L227-Settings!$D$24)/Settings!$E$24</f>
        <v>0.76677251511004008</v>
      </c>
      <c r="U227" s="19">
        <f>(M227-Settings!$D$25)/Settings!$E$25</f>
        <v>1.743587977287236</v>
      </c>
      <c r="V227" s="31">
        <f>Settings!$B$18*(N227-F$6)^2</f>
        <v>6.6435666638760662E-4</v>
      </c>
      <c r="W227" s="31">
        <f>Settings!$B$19*(O227-G$6)^2</f>
        <v>1.5362576089984377E-2</v>
      </c>
      <c r="X227" s="31">
        <f>Settings!$B$20*(P227-H$6)^2</f>
        <v>1.7625134114477861</v>
      </c>
      <c r="Y227" s="31">
        <f>Settings!$B$21*(Q227-I$6)^2</f>
        <v>0.15888280444904121</v>
      </c>
      <c r="Z227" s="31">
        <f>Settings!$B$22*(R227-J$6)^2</f>
        <v>0.27136546474898188</v>
      </c>
      <c r="AA227" s="31">
        <f>Settings!$B$23*(S227-K$6)^2</f>
        <v>2.2948973940131019</v>
      </c>
      <c r="AB227" s="31">
        <f>Settings!$B$24*(T227-L$6)^2</f>
        <v>0.57675416510916688</v>
      </c>
      <c r="AC227" s="31">
        <f>Settings!$B$25*(U227-M$6)^2</f>
        <v>3.7076383347419068</v>
      </c>
      <c r="AD227" s="19">
        <f t="shared" si="12"/>
        <v>2.9644693466565575</v>
      </c>
      <c r="AE227" s="15">
        <f t="shared" si="13"/>
        <v>1.173390712026549</v>
      </c>
      <c r="AF227" s="33">
        <f t="shared" si="14"/>
        <v>0.50236773805993951</v>
      </c>
      <c r="AG227" s="47">
        <f t="shared" si="15"/>
        <v>2.1689224101445769E-3</v>
      </c>
      <c r="AH227" s="18">
        <v>1.753994445125888</v>
      </c>
      <c r="AI227" s="46">
        <v>1</v>
      </c>
      <c r="AJ227" s="48"/>
      <c r="AK227" s="48"/>
      <c r="AL227" s="48"/>
      <c r="AM227" s="48"/>
      <c r="AN227" s="48"/>
      <c r="AO227" s="48"/>
      <c r="AP227" s="48"/>
      <c r="AQ227" s="48"/>
    </row>
    <row r="228" spans="1:43" ht="20" customHeight="1" x14ac:dyDescent="0.45">
      <c r="A228" s="26">
        <v>218</v>
      </c>
      <c r="B228" s="16" t="s">
        <v>444</v>
      </c>
      <c r="C228" s="16" t="s">
        <v>246</v>
      </c>
      <c r="D228" s="46">
        <v>26</v>
      </c>
      <c r="E228" s="46">
        <v>1</v>
      </c>
      <c r="F228" s="13">
        <v>0.75119050017721434</v>
      </c>
      <c r="G228" s="13">
        <v>4.584797465869625E-2</v>
      </c>
      <c r="H228" s="13">
        <v>-7.0027911945396815E-2</v>
      </c>
      <c r="I228" s="13">
        <v>3.8440471858304618E-4</v>
      </c>
      <c r="J228" s="13">
        <v>0.13254920850010951</v>
      </c>
      <c r="K228" s="13">
        <v>16.044918699186951</v>
      </c>
      <c r="L228" s="13">
        <v>1.23789266004744</v>
      </c>
      <c r="M228" s="13">
        <v>1.1314549537656799</v>
      </c>
      <c r="N228" s="19">
        <f>(F228-Settings!$D$18)/Settings!$E$18</f>
        <v>2.000153904290352</v>
      </c>
      <c r="O228" s="19">
        <f>(G228-Settings!$D$19)/Settings!$E$19</f>
        <v>0.21867949284266885</v>
      </c>
      <c r="P228" s="19">
        <f>(H228-Settings!$D$20)/Settings!$E$20</f>
        <v>-1.1158089592395704</v>
      </c>
      <c r="Q228" s="19">
        <f>(I228-Settings!$D$21)/Settings!$E$21</f>
        <v>4.093626745886611E-2</v>
      </c>
      <c r="R228" s="19">
        <f>(J228-Settings!$D$22)/Settings!$E$22</f>
        <v>-0.31025242092843353</v>
      </c>
      <c r="S228" s="19">
        <f>(K228-Settings!$D$23)/Settings!$E$23</f>
        <v>0.27424710962170468</v>
      </c>
      <c r="T228" s="19">
        <f>(L228-Settings!$D$24)/Settings!$E$24</f>
        <v>-4.8654265226505407E-2</v>
      </c>
      <c r="U228" s="19">
        <f>(M228-Settings!$D$25)/Settings!$E$25</f>
        <v>0.79903608041707064</v>
      </c>
      <c r="V228" s="31">
        <f>Settings!$B$18*(N228-F$6)^2</f>
        <v>0.76316531486919681</v>
      </c>
      <c r="W228" s="31">
        <f>Settings!$B$19*(O228-G$6)^2</f>
        <v>1.6286552398790795E-2</v>
      </c>
      <c r="X228" s="31">
        <f>Settings!$B$20*(P228-H$6)^2</f>
        <v>2.2812891316657558</v>
      </c>
      <c r="Y228" s="31">
        <f>Settings!$B$21*(Q228-I$6)^2</f>
        <v>0.16224117676125427</v>
      </c>
      <c r="Z228" s="31">
        <f>Settings!$B$22*(R228-J$6)^2</f>
        <v>4.2895866378847361E-2</v>
      </c>
      <c r="AA228" s="31">
        <f>Settings!$B$23*(S228-K$6)^2</f>
        <v>2.1129364479804922</v>
      </c>
      <c r="AB228" s="31">
        <f>Settings!$B$24*(T228-L$6)^2</f>
        <v>2.480215851217054</v>
      </c>
      <c r="AC228" s="31">
        <f>Settings!$B$25*(U228-M$6)^2</f>
        <v>0.96230405615978365</v>
      </c>
      <c r="AD228" s="19">
        <f t="shared" si="12"/>
        <v>2.9700731299803333</v>
      </c>
      <c r="AE228" s="15">
        <f t="shared" si="13"/>
        <v>1.1756087910604049</v>
      </c>
      <c r="AF228" s="33">
        <f t="shared" si="14"/>
        <v>0.50106070638470956</v>
      </c>
      <c r="AG228" s="47">
        <f t="shared" si="15"/>
        <v>2.1632794317516515E-3</v>
      </c>
      <c r="AH228" s="18">
        <v>0.52823951576582395</v>
      </c>
      <c r="AI228" s="46">
        <v>1</v>
      </c>
      <c r="AJ228" s="48"/>
      <c r="AK228" s="48"/>
      <c r="AL228" s="48"/>
      <c r="AM228" s="48"/>
      <c r="AN228" s="48"/>
      <c r="AO228" s="48"/>
      <c r="AP228" s="48"/>
      <c r="AQ228" s="48"/>
    </row>
    <row r="229" spans="1:43" ht="20" customHeight="1" x14ac:dyDescent="0.45">
      <c r="A229" s="26">
        <v>219</v>
      </c>
      <c r="B229" s="16" t="s">
        <v>445</v>
      </c>
      <c r="C229" s="16" t="s">
        <v>271</v>
      </c>
      <c r="D229" s="46">
        <v>26</v>
      </c>
      <c r="E229" s="46">
        <v>1</v>
      </c>
      <c r="F229" s="13">
        <v>0.60885348118218818</v>
      </c>
      <c r="G229" s="13">
        <v>-0.1782543199598729</v>
      </c>
      <c r="H229" s="13">
        <v>-6.230926345090116E-2</v>
      </c>
      <c r="I229" s="13">
        <v>4.4269176294123101E-2</v>
      </c>
      <c r="J229" s="13">
        <v>-0.1063137591129146</v>
      </c>
      <c r="K229" s="13">
        <v>17.14598765432099</v>
      </c>
      <c r="L229" s="13">
        <v>0.9112513814201274</v>
      </c>
      <c r="M229" s="13">
        <v>1.085614978483461</v>
      </c>
      <c r="N229" s="19">
        <f>(F229-Settings!$D$18)/Settings!$E$18</f>
        <v>1.4907385863617657</v>
      </c>
      <c r="O229" s="19">
        <f>(G229-Settings!$D$19)/Settings!$E$19</f>
        <v>-0.71495922978544824</v>
      </c>
      <c r="P229" s="19">
        <f>(H229-Settings!$D$20)/Settings!$E$20</f>
        <v>-1.045876519597458</v>
      </c>
      <c r="Q229" s="19">
        <f>(I229-Settings!$D$21)/Settings!$E$21</f>
        <v>0.58060080007088666</v>
      </c>
      <c r="R229" s="19">
        <f>(J229-Settings!$D$22)/Settings!$E$22</f>
        <v>-0.95292448109949468</v>
      </c>
      <c r="S229" s="19">
        <f>(K229-Settings!$D$23)/Settings!$E$23</f>
        <v>0.65662303179957893</v>
      </c>
      <c r="T229" s="19">
        <f>(L229-Settings!$D$24)/Settings!$E$24</f>
        <v>-0.27447924789118611</v>
      </c>
      <c r="U229" s="19">
        <f>(M229-Settings!$D$25)/Settings!$E$25</f>
        <v>0.76812109054389244</v>
      </c>
      <c r="V229" s="31">
        <f>Settings!$B$18*(N229-F$6)^2</f>
        <v>0.41702648591950658</v>
      </c>
      <c r="W229" s="31">
        <f>Settings!$B$19*(O229-G$6)^2</f>
        <v>0.29719365527838554</v>
      </c>
      <c r="X229" s="31">
        <f>Settings!$B$20*(P229-H$6)^2</f>
        <v>2.1877929070261004</v>
      </c>
      <c r="Y229" s="31">
        <f>Settings!$B$21*(Q229-I$6)^2</f>
        <v>0.41491253242947224</v>
      </c>
      <c r="Z229" s="31">
        <f>Settings!$B$22*(R229-J$6)^2</f>
        <v>0.24455483283851029</v>
      </c>
      <c r="AA229" s="31">
        <f>Settings!$B$23*(S229-K$6)^2</f>
        <v>1.1475088564547526</v>
      </c>
      <c r="AB229" s="31">
        <f>Settings!$B$24*(T229-L$6)^2</f>
        <v>3.242502802849458</v>
      </c>
      <c r="AC229" s="31">
        <f>Settings!$B$25*(U229-M$6)^2</f>
        <v>0.90260637716802306</v>
      </c>
      <c r="AD229" s="19">
        <f t="shared" si="12"/>
        <v>2.9755837158386602</v>
      </c>
      <c r="AE229" s="15">
        <f t="shared" si="13"/>
        <v>1.1777899808478043</v>
      </c>
      <c r="AF229" s="33">
        <f t="shared" si="14"/>
        <v>0.49977633057654047</v>
      </c>
      <c r="AG229" s="47">
        <f t="shared" si="15"/>
        <v>2.1577342677963716E-3</v>
      </c>
      <c r="AH229" s="18">
        <v>0.86300620302193576</v>
      </c>
      <c r="AI229" s="46">
        <v>1</v>
      </c>
      <c r="AJ229" s="18">
        <v>0.91999709312036737</v>
      </c>
      <c r="AK229" s="46">
        <v>1</v>
      </c>
      <c r="AL229" s="18">
        <v>-4.6885407183573591E-2</v>
      </c>
      <c r="AM229" s="46">
        <v>1</v>
      </c>
      <c r="AN229" s="18">
        <v>-0.86658377827455579</v>
      </c>
      <c r="AO229" s="46">
        <v>1</v>
      </c>
      <c r="AP229" s="18">
        <v>4.1055427180679338E-2</v>
      </c>
      <c r="AQ229" s="46">
        <v>1</v>
      </c>
    </row>
    <row r="230" spans="1:43" ht="20" customHeight="1" x14ac:dyDescent="0.45">
      <c r="A230" s="26">
        <v>220</v>
      </c>
      <c r="B230" s="16" t="s">
        <v>446</v>
      </c>
      <c r="C230" s="16" t="s">
        <v>220</v>
      </c>
      <c r="D230" s="46">
        <v>26</v>
      </c>
      <c r="E230" s="46">
        <v>1</v>
      </c>
      <c r="F230" s="13">
        <v>0.35136243176250509</v>
      </c>
      <c r="G230" s="13">
        <v>-0.20835693318928189</v>
      </c>
      <c r="H230" s="13">
        <v>4.2028853478493292E-2</v>
      </c>
      <c r="I230" s="13">
        <v>3.0662723116828901E-4</v>
      </c>
      <c r="J230" s="13">
        <v>0.39794515433855132</v>
      </c>
      <c r="K230" s="13">
        <v>14.925071225071219</v>
      </c>
      <c r="L230" s="13">
        <v>2.1548756307811638</v>
      </c>
      <c r="M230" s="13">
        <v>2.197080820916399</v>
      </c>
      <c r="N230" s="19">
        <f>(F230-Settings!$D$18)/Settings!$E$18</f>
        <v>0.5691941720553455</v>
      </c>
      <c r="O230" s="19">
        <f>(G230-Settings!$D$19)/Settings!$E$19</f>
        <v>-0.84037055326658183</v>
      </c>
      <c r="P230" s="19">
        <f>(H230-Settings!$D$20)/Settings!$E$20</f>
        <v>-0.10055311618817904</v>
      </c>
      <c r="Q230" s="19">
        <f>(I230-Settings!$D$21)/Settings!$E$21</f>
        <v>3.997981377603968E-2</v>
      </c>
      <c r="R230" s="19">
        <f>(J230-Settings!$D$22)/Settings!$E$22</f>
        <v>0.4038078663462471</v>
      </c>
      <c r="S230" s="19">
        <f>(K230-Settings!$D$23)/Settings!$E$23</f>
        <v>-0.11465016026947898</v>
      </c>
      <c r="T230" s="19">
        <f>(L230-Settings!$D$24)/Settings!$E$24</f>
        <v>0.58530621992705556</v>
      </c>
      <c r="U230" s="19">
        <f>(M230-Settings!$D$25)/Settings!$E$25</f>
        <v>1.5177060336345161</v>
      </c>
      <c r="V230" s="31">
        <f>Settings!$B$18*(N230-F$6)^2</f>
        <v>5.4591709442253861E-2</v>
      </c>
      <c r="W230" s="31">
        <f>Settings!$B$19*(O230-G$6)^2</f>
        <v>0.36148996633882169</v>
      </c>
      <c r="X230" s="31">
        <f>Settings!$B$20*(P230-H$6)^2</f>
        <v>1.1158911360293675</v>
      </c>
      <c r="Y230" s="31">
        <f>Settings!$B$21*(Q230-I$6)^2</f>
        <v>0.16189678018659789</v>
      </c>
      <c r="Z230" s="31">
        <f>Settings!$B$22*(R230-J$6)^2</f>
        <v>1.259429252283565E-2</v>
      </c>
      <c r="AA230" s="31">
        <f>Settings!$B$23*(S230-K$6)^2</f>
        <v>3.3947752598898382</v>
      </c>
      <c r="AB230" s="31">
        <f>Settings!$B$24*(T230-L$6)^2</f>
        <v>0.88531091486701863</v>
      </c>
      <c r="AC230" s="31">
        <f>Settings!$B$25*(U230-M$6)^2</f>
        <v>2.888779288973526</v>
      </c>
      <c r="AD230" s="19">
        <f t="shared" si="12"/>
        <v>2.979149098022833</v>
      </c>
      <c r="AE230" s="15">
        <f t="shared" si="13"/>
        <v>1.1792012237552245</v>
      </c>
      <c r="AF230" s="33">
        <f t="shared" si="14"/>
        <v>0.49894582161006995</v>
      </c>
      <c r="AG230" s="47">
        <f t="shared" si="15"/>
        <v>2.1541486284872863E-3</v>
      </c>
      <c r="AH230" s="18">
        <v>-1.7842008977562021</v>
      </c>
      <c r="AI230" s="46">
        <v>1</v>
      </c>
      <c r="AJ230" s="18">
        <v>-0.31363022337065671</v>
      </c>
      <c r="AK230" s="46">
        <v>1</v>
      </c>
      <c r="AL230" s="18">
        <v>1.210206943863815</v>
      </c>
      <c r="AM230" s="46">
        <v>1</v>
      </c>
      <c r="AN230" s="18">
        <v>-1.3212618068450011</v>
      </c>
      <c r="AO230" s="46">
        <v>1</v>
      </c>
      <c r="AP230" s="48"/>
      <c r="AQ230" s="48"/>
    </row>
    <row r="231" spans="1:43" ht="20" customHeight="1" x14ac:dyDescent="0.45">
      <c r="A231" s="26">
        <v>221</v>
      </c>
      <c r="B231" s="16" t="s">
        <v>447</v>
      </c>
      <c r="C231" s="16" t="s">
        <v>246</v>
      </c>
      <c r="D231" s="46">
        <v>26</v>
      </c>
      <c r="E231" s="46">
        <v>1</v>
      </c>
      <c r="F231" s="13">
        <v>0.14521797062458361</v>
      </c>
      <c r="G231" s="13">
        <v>0.12895455789511981</v>
      </c>
      <c r="H231" s="13">
        <v>-3.6850420210643082E-3</v>
      </c>
      <c r="I231" s="13">
        <v>-8.6172714799576972E-2</v>
      </c>
      <c r="J231" s="13">
        <v>0.63596971465965535</v>
      </c>
      <c r="K231" s="13">
        <v>14.159655172413769</v>
      </c>
      <c r="L231" s="13">
        <v>1.122390825967603</v>
      </c>
      <c r="M231" s="13">
        <v>8.0376075708279426E-3</v>
      </c>
      <c r="N231" s="19">
        <f>(F231-Settings!$D$18)/Settings!$E$18</f>
        <v>-0.16858400365213475</v>
      </c>
      <c r="O231" s="19">
        <f>(G231-Settings!$D$19)/Settings!$E$19</f>
        <v>0.56491211106242234</v>
      </c>
      <c r="P231" s="19">
        <f>(H231-Settings!$D$20)/Settings!$E$20</f>
        <v>-0.51472980011262714</v>
      </c>
      <c r="Q231" s="19">
        <f>(I231-Settings!$D$21)/Settings!$E$21</f>
        <v>-1.0234832514761778</v>
      </c>
      <c r="R231" s="19">
        <f>(J231-Settings!$D$22)/Settings!$E$22</f>
        <v>1.0442241522256914</v>
      </c>
      <c r="S231" s="19">
        <f>(K231-Settings!$D$23)/Settings!$E$23</f>
        <v>-0.38046154984681174</v>
      </c>
      <c r="T231" s="19">
        <f>(L231-Settings!$D$24)/Settings!$E$24</f>
        <v>-0.12850700088940406</v>
      </c>
      <c r="U231" s="19">
        <f>(M231-Settings!$D$25)/Settings!$E$25</f>
        <v>4.1390910079506286E-2</v>
      </c>
      <c r="V231" s="31">
        <f>Settings!$B$18*(N231-F$6)^2</f>
        <v>9.2728700347850038E-3</v>
      </c>
      <c r="W231" s="31">
        <f>Settings!$B$19*(O231-G$6)^2</f>
        <v>7.4099135918037412E-4</v>
      </c>
      <c r="X231" s="31">
        <f>Settings!$B$20*(P231-H$6)^2</f>
        <v>1.541528169458376</v>
      </c>
      <c r="Y231" s="31">
        <f>Settings!$B$21*(Q231-I$6)^2</f>
        <v>5.3628015380907399E-3</v>
      </c>
      <c r="Z231" s="31">
        <f>Settings!$B$22*(R231-J$6)^2</f>
        <v>0.1589036170143848</v>
      </c>
      <c r="AA231" s="31">
        <f>Settings!$B$23*(S231-K$6)^2</f>
        <v>4.4449414544602996</v>
      </c>
      <c r="AB231" s="31">
        <f>Settings!$B$24*(T231-L$6)^2</f>
        <v>2.7381076831880846</v>
      </c>
      <c r="AC231" s="31">
        <f>Settings!$B$25*(U231-M$6)^2</f>
        <v>4.9874415567066475E-2</v>
      </c>
      <c r="AD231" s="19">
        <f t="shared" si="12"/>
        <v>2.991443130433916</v>
      </c>
      <c r="AE231" s="15">
        <f t="shared" si="13"/>
        <v>1.1840674246693232</v>
      </c>
      <c r="AF231" s="33">
        <f t="shared" si="14"/>
        <v>0.49608508080742758</v>
      </c>
      <c r="AG231" s="47">
        <f t="shared" si="15"/>
        <v>2.141797666499903E-3</v>
      </c>
      <c r="AH231" s="18">
        <v>-0.40351069235636178</v>
      </c>
      <c r="AI231" s="46">
        <v>1</v>
      </c>
      <c r="AJ231" s="48"/>
      <c r="AK231" s="48"/>
      <c r="AL231" s="48"/>
      <c r="AM231" s="48"/>
      <c r="AN231" s="48"/>
      <c r="AO231" s="48"/>
      <c r="AP231" s="48"/>
      <c r="AQ231" s="48"/>
    </row>
    <row r="232" spans="1:43" ht="20" customHeight="1" x14ac:dyDescent="0.45">
      <c r="A232" s="26">
        <v>222</v>
      </c>
      <c r="B232" s="16" t="s">
        <v>448</v>
      </c>
      <c r="C232" s="16" t="s">
        <v>271</v>
      </c>
      <c r="D232" s="46">
        <v>26</v>
      </c>
      <c r="E232" s="46">
        <v>1</v>
      </c>
      <c r="F232" s="13">
        <v>0.447233301316451</v>
      </c>
      <c r="G232" s="13">
        <v>8.757423443989501E-2</v>
      </c>
      <c r="H232" s="13">
        <v>0.11149007811455421</v>
      </c>
      <c r="I232" s="13">
        <v>2.4958861732537078E-2</v>
      </c>
      <c r="J232" s="13">
        <v>0.32874352439656279</v>
      </c>
      <c r="K232" s="13">
        <v>19.49839506172837</v>
      </c>
      <c r="L232" s="13">
        <v>5.154417895171135</v>
      </c>
      <c r="M232" s="13">
        <v>3.4931640621790661</v>
      </c>
      <c r="N232" s="19">
        <f>(F232-Settings!$D$18)/Settings!$E$18</f>
        <v>0.91231003775729602</v>
      </c>
      <c r="O232" s="19">
        <f>(G232-Settings!$D$19)/Settings!$E$19</f>
        <v>0.39251640936542981</v>
      </c>
      <c r="P232" s="19">
        <f>(H232-Settings!$D$20)/Settings!$E$20</f>
        <v>0.52877893628092865</v>
      </c>
      <c r="Q232" s="19">
        <f>(I232-Settings!$D$21)/Settings!$E$21</f>
        <v>0.34313592311393804</v>
      </c>
      <c r="R232" s="19">
        <f>(J232-Settings!$D$22)/Settings!$E$22</f>
        <v>0.21761762293411513</v>
      </c>
      <c r="S232" s="19">
        <f>(K232-Settings!$D$23)/Settings!$E$23</f>
        <v>1.4735600161285556</v>
      </c>
      <c r="T232" s="19">
        <f>(L232-Settings!$D$24)/Settings!$E$24</f>
        <v>2.6590538574101363</v>
      </c>
      <c r="U232" s="19">
        <f>(M232-Settings!$D$25)/Settings!$E$25</f>
        <v>2.391799006672692</v>
      </c>
      <c r="V232" s="31">
        <f>Settings!$B$18*(N232-F$6)^2</f>
        <v>0.1498423594557495</v>
      </c>
      <c r="W232" s="31">
        <f>Settings!$B$19*(O232-G$6)^2</f>
        <v>2.4876697552721171E-3</v>
      </c>
      <c r="X232" s="31">
        <f>Settings!$B$20*(P232-H$6)^2</f>
        <v>0.60048804207564066</v>
      </c>
      <c r="Y232" s="31">
        <f>Settings!$B$21*(Q232-I$6)^2</f>
        <v>0.2893789307594879</v>
      </c>
      <c r="Z232" s="31">
        <f>Settings!$B$22*(R232-J$6)^2</f>
        <v>8.3853607630625436E-4</v>
      </c>
      <c r="AA232" s="31">
        <f>Settings!$B$23*(S232-K$6)^2</f>
        <v>6.4659037395757388E-2</v>
      </c>
      <c r="AB232" s="31">
        <f>Settings!$B$24*(T232-L$6)^2</f>
        <v>1.2833219716174278</v>
      </c>
      <c r="AC232" s="31">
        <f>Settings!$B$25*(U232-M$6)^2</f>
        <v>6.6241062006835563</v>
      </c>
      <c r="AD232" s="19">
        <f t="shared" si="12"/>
        <v>3.0025194000737443</v>
      </c>
      <c r="AE232" s="15">
        <f t="shared" si="13"/>
        <v>1.1884516130010172</v>
      </c>
      <c r="AF232" s="33">
        <f t="shared" si="14"/>
        <v>0.49351174637065226</v>
      </c>
      <c r="AG232" s="47">
        <f t="shared" si="15"/>
        <v>2.130687552720955E-3</v>
      </c>
      <c r="AH232" s="18">
        <v>0.24939497233840771</v>
      </c>
      <c r="AI232" s="46">
        <v>1</v>
      </c>
      <c r="AJ232" s="18">
        <v>-0.87503352886767161</v>
      </c>
      <c r="AK232" s="46">
        <v>1</v>
      </c>
      <c r="AL232" s="18">
        <v>-0.67985917778182881</v>
      </c>
      <c r="AM232" s="46">
        <v>1</v>
      </c>
      <c r="AN232" s="18">
        <v>-0.62251684458959078</v>
      </c>
      <c r="AO232" s="46">
        <v>1</v>
      </c>
      <c r="AP232" s="18">
        <v>0.31473325275321612</v>
      </c>
      <c r="AQ232" s="46">
        <v>1</v>
      </c>
    </row>
    <row r="233" spans="1:43" ht="20" customHeight="1" x14ac:dyDescent="0.45">
      <c r="A233" s="26">
        <v>223</v>
      </c>
      <c r="B233" s="16" t="s">
        <v>449</v>
      </c>
      <c r="C233" s="16" t="s">
        <v>220</v>
      </c>
      <c r="D233" s="46">
        <v>26</v>
      </c>
      <c r="E233" s="46">
        <v>1</v>
      </c>
      <c r="F233" s="13">
        <v>0.39359397610994712</v>
      </c>
      <c r="G233" s="13">
        <v>0.33136386031570247</v>
      </c>
      <c r="H233" s="13">
        <v>-3.0839821038241962E-2</v>
      </c>
      <c r="I233" s="13">
        <v>1.4419002054644881E-2</v>
      </c>
      <c r="J233" s="13">
        <v>0.22978334048146359</v>
      </c>
      <c r="K233" s="13">
        <v>14.219972451790641</v>
      </c>
      <c r="L233" s="13">
        <v>1.629659921863686</v>
      </c>
      <c r="M233" s="13">
        <v>0.94946835080552106</v>
      </c>
      <c r="N233" s="19">
        <f>(F233-Settings!$D$18)/Settings!$E$18</f>
        <v>0.72033823663013574</v>
      </c>
      <c r="O233" s="19">
        <f>(G233-Settings!$D$19)/Settings!$E$19</f>
        <v>1.4081750632854129</v>
      </c>
      <c r="P233" s="19">
        <f>(H233-Settings!$D$20)/Settings!$E$20</f>
        <v>-0.76075731982257322</v>
      </c>
      <c r="Q233" s="19">
        <f>(I233-Settings!$D$21)/Settings!$E$21</f>
        <v>0.21352402717242486</v>
      </c>
      <c r="R233" s="19">
        <f>(J233-Settings!$D$22)/Settings!$E$22</f>
        <v>-4.8639410992797089E-2</v>
      </c>
      <c r="S233" s="19">
        <f>(K233-Settings!$D$23)/Settings!$E$23</f>
        <v>-0.35951474609083445</v>
      </c>
      <c r="T233" s="19">
        <f>(L233-Settings!$D$24)/Settings!$E$24</f>
        <v>0.22219587190262824</v>
      </c>
      <c r="U233" s="19">
        <f>(M233-Settings!$D$25)/Settings!$E$25</f>
        <v>0.67630228850445284</v>
      </c>
      <c r="V233" s="31">
        <f>Settings!$B$18*(N233-F$6)^2</f>
        <v>9.0746964662977311E-2</v>
      </c>
      <c r="W233" s="31">
        <f>Settings!$B$19*(O233-G$6)^2</f>
        <v>0.16349068460209409</v>
      </c>
      <c r="X233" s="31">
        <f>Settings!$B$20*(P233-H$6)^2</f>
        <v>1.8268489990966861</v>
      </c>
      <c r="Y233" s="31">
        <f>Settings!$B$21*(Q233-I$6)^2</f>
        <v>0.23037630908149942</v>
      </c>
      <c r="Z233" s="31">
        <f>Settings!$B$22*(R233-J$6)^2</f>
        <v>8.1209435737878248E-3</v>
      </c>
      <c r="AA233" s="31">
        <f>Settings!$B$23*(S233-K$6)^2</f>
        <v>4.3570558054975868</v>
      </c>
      <c r="AB233" s="31">
        <f>Settings!$B$24*(T233-L$6)^2</f>
        <v>1.7004680795821143</v>
      </c>
      <c r="AC233" s="31">
        <f>Settings!$B$25*(U233-M$6)^2</f>
        <v>0.73657106450491006</v>
      </c>
      <c r="AD233" s="19">
        <f t="shared" si="12"/>
        <v>3.0188870218346455</v>
      </c>
      <c r="AE233" s="15">
        <f t="shared" si="13"/>
        <v>1.1949302144322873</v>
      </c>
      <c r="AF233" s="33">
        <f t="shared" si="14"/>
        <v>0.48971626398680929</v>
      </c>
      <c r="AG233" s="47">
        <f t="shared" si="15"/>
        <v>2.1143009375465469E-3</v>
      </c>
      <c r="AH233" s="18">
        <v>0.53889685583072522</v>
      </c>
      <c r="AI233" s="46">
        <v>1</v>
      </c>
      <c r="AJ233" s="18">
        <v>0.44565630758002461</v>
      </c>
      <c r="AK233" s="46">
        <v>1</v>
      </c>
      <c r="AL233" s="18">
        <v>0.2092624751869829</v>
      </c>
      <c r="AM233" s="46">
        <v>1</v>
      </c>
      <c r="AN233" s="18">
        <v>-1.014552534723715</v>
      </c>
      <c r="AO233" s="46">
        <v>1</v>
      </c>
      <c r="AP233" s="48"/>
      <c r="AQ233" s="48"/>
    </row>
    <row r="234" spans="1:43" ht="20" customHeight="1" x14ac:dyDescent="0.45">
      <c r="A234" s="26">
        <v>224</v>
      </c>
      <c r="B234" s="16" t="s">
        <v>450</v>
      </c>
      <c r="C234" s="16" t="s">
        <v>234</v>
      </c>
      <c r="D234" s="46">
        <v>26</v>
      </c>
      <c r="E234" s="46">
        <v>1</v>
      </c>
      <c r="F234" s="13">
        <v>0.27620166393403439</v>
      </c>
      <c r="G234" s="13">
        <v>-0.23162839354327511</v>
      </c>
      <c r="H234" s="13">
        <v>-5.3194940160599627E-2</v>
      </c>
      <c r="I234" s="13">
        <v>-6.0353815602981399E-2</v>
      </c>
      <c r="J234" s="13">
        <v>0.37862118675910938</v>
      </c>
      <c r="K234" s="13">
        <v>16.973841059602648</v>
      </c>
      <c r="L234" s="13">
        <v>0.1409974490823877</v>
      </c>
      <c r="M234" s="13">
        <v>-0.48315200398335689</v>
      </c>
      <c r="N234" s="19">
        <f>(F234-Settings!$D$18)/Settings!$E$18</f>
        <v>0.30019846939534389</v>
      </c>
      <c r="O234" s="19">
        <f>(G234-Settings!$D$19)/Settings!$E$19</f>
        <v>-0.9373224231953281</v>
      </c>
      <c r="P234" s="19">
        <f>(H234-Settings!$D$20)/Settings!$E$20</f>
        <v>-0.96329899791963491</v>
      </c>
      <c r="Q234" s="19">
        <f>(I234-Settings!$D$21)/Settings!$E$21</f>
        <v>-0.70598030757903485</v>
      </c>
      <c r="R234" s="19">
        <f>(J234-Settings!$D$22)/Settings!$E$22</f>
        <v>0.35181582179006288</v>
      </c>
      <c r="S234" s="19">
        <f>(K234-Settings!$D$23)/Settings!$E$23</f>
        <v>0.5968404790373012</v>
      </c>
      <c r="T234" s="19">
        <f>(L234-Settings!$D$24)/Settings!$E$24</f>
        <v>-0.80699792296052775</v>
      </c>
      <c r="U234" s="19">
        <f>(M234-Settings!$D$25)/Settings!$E$25</f>
        <v>-0.28987283457827379</v>
      </c>
      <c r="V234" s="31">
        <f>Settings!$B$18*(N234-F$6)^2</f>
        <v>1.2848257121870694E-2</v>
      </c>
      <c r="W234" s="31">
        <f>Settings!$B$19*(O234-G$6)^2</f>
        <v>0.41550729180518708</v>
      </c>
      <c r="X234" s="31">
        <f>Settings!$B$20*(P234-H$6)^2</f>
        <v>2.0799096099428875</v>
      </c>
      <c r="Y234" s="31">
        <f>Settings!$B$21*(Q234-I$6)^2</f>
        <v>4.7280038440952197E-3</v>
      </c>
      <c r="Z234" s="31">
        <f>Settings!$B$22*(R234-J$6)^2</f>
        <v>7.9161496048549621E-3</v>
      </c>
      <c r="AA234" s="31">
        <f>Settings!$B$23*(S234-K$6)^2</f>
        <v>1.2791631508796957</v>
      </c>
      <c r="AB234" s="31">
        <f>Settings!$B$24*(T234-L$6)^2</f>
        <v>5.4438864679365748</v>
      </c>
      <c r="AC234" s="31">
        <f>Settings!$B$25*(U234-M$6)^2</f>
        <v>1.1650598629956804E-2</v>
      </c>
      <c r="AD234" s="19">
        <f t="shared" si="12"/>
        <v>3.0423033263902406</v>
      </c>
      <c r="AE234" s="15">
        <f t="shared" si="13"/>
        <v>1.2041988123034406</v>
      </c>
      <c r="AF234" s="33">
        <f t="shared" si="14"/>
        <v>0.48430161746611944</v>
      </c>
      <c r="AG234" s="47">
        <f t="shared" si="15"/>
        <v>2.0909237433280473E-3</v>
      </c>
      <c r="AH234" s="18">
        <v>0.50530293075507715</v>
      </c>
      <c r="AI234" s="46">
        <v>1</v>
      </c>
      <c r="AJ234" s="18">
        <v>0.81503950750820719</v>
      </c>
      <c r="AK234" s="46">
        <v>1</v>
      </c>
      <c r="AL234" s="18">
        <v>-1.8411004775092199</v>
      </c>
      <c r="AM234" s="46">
        <v>1</v>
      </c>
      <c r="AN234" s="18">
        <v>-1.1503032134545761</v>
      </c>
      <c r="AO234" s="46">
        <v>1</v>
      </c>
      <c r="AP234" s="18">
        <v>0.61322816110138501</v>
      </c>
      <c r="AQ234" s="46">
        <v>1</v>
      </c>
    </row>
    <row r="235" spans="1:43" ht="20" customHeight="1" x14ac:dyDescent="0.45">
      <c r="A235" s="26">
        <v>225</v>
      </c>
      <c r="B235" s="16" t="s">
        <v>451</v>
      </c>
      <c r="C235" s="16" t="s">
        <v>216</v>
      </c>
      <c r="D235" s="46">
        <v>26</v>
      </c>
      <c r="E235" s="46">
        <v>1</v>
      </c>
      <c r="F235" s="13">
        <v>0.64371593815178374</v>
      </c>
      <c r="G235" s="13">
        <v>-5.2831977448275363E-2</v>
      </c>
      <c r="H235" s="13">
        <v>0.2377592868662258</v>
      </c>
      <c r="I235" s="13">
        <v>2.0637586086849919E-3</v>
      </c>
      <c r="J235" s="13">
        <v>-6.3629038925030121E-2</v>
      </c>
      <c r="K235" s="13">
        <v>18.610901467505279</v>
      </c>
      <c r="L235" s="13">
        <v>4.3424023482407286</v>
      </c>
      <c r="M235" s="13">
        <v>-4.4088378327893576</v>
      </c>
      <c r="N235" s="19">
        <f>(F235-Settings!$D$18)/Settings!$E$18</f>
        <v>1.6155091465879761</v>
      </c>
      <c r="O235" s="19">
        <f>(G235-Settings!$D$19)/Settings!$E$19</f>
        <v>-0.19243376501561427</v>
      </c>
      <c r="P235" s="19">
        <f>(H235-Settings!$D$20)/Settings!$E$20</f>
        <v>1.6728022489088661</v>
      </c>
      <c r="Q235" s="19">
        <f>(I235-Settings!$D$21)/Settings!$E$21</f>
        <v>6.1587798722553509E-2</v>
      </c>
      <c r="R235" s="19">
        <f>(J235-Settings!$D$22)/Settings!$E$22</f>
        <v>-0.83807923181239985</v>
      </c>
      <c r="S235" s="19">
        <f>(K235-Settings!$D$23)/Settings!$E$23</f>
        <v>1.1653539042990755</v>
      </c>
      <c r="T235" s="19">
        <f>(L235-Settings!$D$24)/Settings!$E$24</f>
        <v>2.0976630938801129</v>
      </c>
      <c r="U235" s="19">
        <f>(M235-Settings!$D$25)/Settings!$E$25</f>
        <v>-2.9373990798616618</v>
      </c>
      <c r="V235" s="31">
        <f>Settings!$B$18*(N235-F$6)^2</f>
        <v>0.49220743834498615</v>
      </c>
      <c r="W235" s="31">
        <f>Settings!$B$19*(O235-G$6)^2</f>
        <v>9.7016187117553554E-2</v>
      </c>
      <c r="X235" s="31">
        <f>Settings!$B$20*(P235-H$6)^2</f>
        <v>6.9321021712234351E-2</v>
      </c>
      <c r="Y235" s="31">
        <f>Settings!$B$21*(Q235-I$6)^2</f>
        <v>0.1697665571838515</v>
      </c>
      <c r="Z235" s="31">
        <f>Settings!$B$22*(R235-J$6)^2</f>
        <v>0.19639477297263255</v>
      </c>
      <c r="AA235" s="31">
        <f>Settings!$B$23*(S235-K$6)^2</f>
        <v>0.31639221647026128</v>
      </c>
      <c r="AB235" s="31">
        <f>Settings!$B$24*(T235-L$6)^2</f>
        <v>0.32655196292177369</v>
      </c>
      <c r="AC235" s="31">
        <f>Settings!$B$25*(U235-M$6)^2</f>
        <v>7.5925828697041515</v>
      </c>
      <c r="AD235" s="19">
        <f t="shared" si="12"/>
        <v>3.043063099317437</v>
      </c>
      <c r="AE235" s="15">
        <f t="shared" si="13"/>
        <v>1.204499544202398</v>
      </c>
      <c r="AF235" s="33">
        <f t="shared" si="14"/>
        <v>0.4841262418574161</v>
      </c>
      <c r="AG235" s="47">
        <f t="shared" si="15"/>
        <v>2.0901665766967299E-3</v>
      </c>
      <c r="AH235" s="18">
        <v>-1.468947155445935</v>
      </c>
      <c r="AI235" s="46">
        <v>1</v>
      </c>
      <c r="AJ235" s="18">
        <v>0.46624523553154379</v>
      </c>
      <c r="AK235" s="46">
        <v>1</v>
      </c>
      <c r="AL235" s="48"/>
      <c r="AM235" s="48"/>
      <c r="AN235" s="48"/>
      <c r="AO235" s="48"/>
      <c r="AP235" s="48"/>
      <c r="AQ235" s="48"/>
    </row>
    <row r="236" spans="1:43" ht="20" customHeight="1" x14ac:dyDescent="0.45">
      <c r="A236" s="26">
        <v>226</v>
      </c>
      <c r="B236" s="16" t="s">
        <v>452</v>
      </c>
      <c r="C236" s="16" t="s">
        <v>220</v>
      </c>
      <c r="D236" s="46">
        <v>26</v>
      </c>
      <c r="E236" s="46">
        <v>1</v>
      </c>
      <c r="F236" s="13">
        <v>-0.1138688249689925</v>
      </c>
      <c r="G236" s="13">
        <v>-0.31309108840536037</v>
      </c>
      <c r="H236" s="13">
        <v>8.7883804675988317E-2</v>
      </c>
      <c r="I236" s="13">
        <v>-2.6319888421600621E-4</v>
      </c>
      <c r="J236" s="13">
        <v>0.48489308306544282</v>
      </c>
      <c r="K236" s="13">
        <v>15.789370078740159</v>
      </c>
      <c r="L236" s="13">
        <v>0.34208150683631011</v>
      </c>
      <c r="M236" s="13">
        <v>0.38488865662908861</v>
      </c>
      <c r="N236" s="19">
        <f>(F236-Settings!$D$18)/Settings!$E$18</f>
        <v>-1.0958394940387379</v>
      </c>
      <c r="O236" s="19">
        <f>(G236-Settings!$D$19)/Settings!$E$19</f>
        <v>-1.2767063929236744</v>
      </c>
      <c r="P236" s="19">
        <f>(H236-Settings!$D$20)/Settings!$E$20</f>
        <v>0.31490155948433474</v>
      </c>
      <c r="Q236" s="19">
        <f>(I236-Settings!$D$21)/Settings!$E$21</f>
        <v>3.2972486787914534E-2</v>
      </c>
      <c r="R236" s="19">
        <f>(J236-Settings!$D$22)/Settings!$E$22</f>
        <v>0.63774536214528665</v>
      </c>
      <c r="S236" s="19">
        <f>(K236-Settings!$D$23)/Settings!$E$23</f>
        <v>0.18550095167310451</v>
      </c>
      <c r="T236" s="19">
        <f>(L236-Settings!$D$24)/Settings!$E$24</f>
        <v>-0.66797751486252277</v>
      </c>
      <c r="U236" s="19">
        <f>(M236-Settings!$D$25)/Settings!$E$25</f>
        <v>0.29554345474398358</v>
      </c>
      <c r="V236" s="31">
        <f>Settings!$B$18*(N236-F$6)^2</f>
        <v>0.26109749898554641</v>
      </c>
      <c r="W236" s="31">
        <f>Settings!$B$19*(O236-G$6)^2</f>
        <v>0.63421421771297137</v>
      </c>
      <c r="X236" s="31">
        <f>Settings!$B$20*(P236-H$6)^2</f>
        <v>0.75787559405755767</v>
      </c>
      <c r="Y236" s="31">
        <f>Settings!$B$21*(Q236-I$6)^2</f>
        <v>0.1593847667863259</v>
      </c>
      <c r="Z236" s="31">
        <f>Settings!$B$22*(R236-J$6)^2</f>
        <v>4.7021460945641767E-2</v>
      </c>
      <c r="AA236" s="31">
        <f>Settings!$B$23*(S236-K$6)^2</f>
        <v>2.3788141508144887</v>
      </c>
      <c r="AB236" s="31">
        <f>Settings!$B$24*(T236-L$6)^2</f>
        <v>4.8144844825366908</v>
      </c>
      <c r="AC236" s="31">
        <f>Settings!$B$25*(U236-M$6)^2</f>
        <v>0.22798557522823051</v>
      </c>
      <c r="AD236" s="19">
        <f t="shared" si="12"/>
        <v>3.0464533062345551</v>
      </c>
      <c r="AE236" s="15">
        <f t="shared" si="13"/>
        <v>1.2058414495632619</v>
      </c>
      <c r="AF236" s="33">
        <f t="shared" si="14"/>
        <v>0.48334393367129286</v>
      </c>
      <c r="AG236" s="47">
        <f t="shared" si="15"/>
        <v>2.0867890394307524E-3</v>
      </c>
      <c r="AH236" s="18">
        <v>1.182091152591431</v>
      </c>
      <c r="AI236" s="46">
        <v>1</v>
      </c>
      <c r="AJ236" s="18">
        <v>-0.10566417070227981</v>
      </c>
      <c r="AK236" s="46">
        <v>1</v>
      </c>
      <c r="AL236" s="18">
        <v>-0.22820191523842451</v>
      </c>
      <c r="AM236" s="46">
        <v>1</v>
      </c>
      <c r="AN236" s="18">
        <v>2.9183349121505438E-2</v>
      </c>
      <c r="AO236" s="46">
        <v>1</v>
      </c>
      <c r="AP236" s="48"/>
      <c r="AQ236" s="48"/>
    </row>
    <row r="237" spans="1:43" ht="20" customHeight="1" x14ac:dyDescent="0.45">
      <c r="A237" s="26">
        <v>227</v>
      </c>
      <c r="B237" s="16" t="s">
        <v>453</v>
      </c>
      <c r="C237" s="16" t="s">
        <v>214</v>
      </c>
      <c r="D237" s="46">
        <v>26</v>
      </c>
      <c r="E237" s="46">
        <v>1</v>
      </c>
      <c r="F237" s="13">
        <v>6.898964619581012E-2</v>
      </c>
      <c r="G237" s="13">
        <v>0.30887196274895651</v>
      </c>
      <c r="H237" s="13">
        <v>-4.6159868113332253E-2</v>
      </c>
      <c r="I237" s="13">
        <v>0.21591184318889159</v>
      </c>
      <c r="J237" s="13">
        <v>0.36006667975300971</v>
      </c>
      <c r="K237" s="13">
        <v>15.69645833333337</v>
      </c>
      <c r="L237" s="13">
        <v>1.4147749027101939</v>
      </c>
      <c r="M237" s="13">
        <v>-0.40354670468264731</v>
      </c>
      <c r="N237" s="19">
        <f>(F237-Settings!$D$18)/Settings!$E$18</f>
        <v>-0.44140042483490527</v>
      </c>
      <c r="O237" s="19">
        <f>(G237-Settings!$D$19)/Settings!$E$19</f>
        <v>1.3144709512885198</v>
      </c>
      <c r="P237" s="19">
        <f>(H237-Settings!$D$20)/Settings!$E$20</f>
        <v>-0.89955989233991085</v>
      </c>
      <c r="Q237" s="19">
        <f>(I237-Settings!$D$21)/Settings!$E$21</f>
        <v>2.6913434627414752</v>
      </c>
      <c r="R237" s="19">
        <f>(J237-Settings!$D$22)/Settings!$E$22</f>
        <v>0.3018940471331098</v>
      </c>
      <c r="S237" s="19">
        <f>(K237-Settings!$D$23)/Settings!$E$23</f>
        <v>0.15323483957774342</v>
      </c>
      <c r="T237" s="19">
        <f>(L237-Settings!$D$24)/Settings!$E$24</f>
        <v>7.3634104298834255E-2</v>
      </c>
      <c r="U237" s="19">
        <f>(M237-Settings!$D$25)/Settings!$E$25</f>
        <v>-0.23618613412563727</v>
      </c>
      <c r="V237" s="31">
        <f>Settings!$B$18*(N237-F$6)^2</f>
        <v>4.7656180243166646E-2</v>
      </c>
      <c r="W237" s="31">
        <f>Settings!$B$19*(O237-G$6)^2</f>
        <v>0.13135844816647538</v>
      </c>
      <c r="X237" s="31">
        <f>Settings!$B$20*(P237-H$6)^2</f>
        <v>1.9985029555540881</v>
      </c>
      <c r="Y237" s="31">
        <f>Settings!$B$21*(Q237-I$6)^2</f>
        <v>2.5220294037714726</v>
      </c>
      <c r="Z237" s="31">
        <f>Settings!$B$22*(R237-J$6)^2</f>
        <v>4.4418292841262828E-3</v>
      </c>
      <c r="AA237" s="31">
        <f>Settings!$B$23*(S237-K$6)^2</f>
        <v>2.4793859143243835</v>
      </c>
      <c r="AB237" s="31">
        <f>Settings!$B$24*(T237-L$6)^2</f>
        <v>2.1099937015498194</v>
      </c>
      <c r="AC237" s="31">
        <f>Settings!$B$25*(U237-M$6)^2</f>
        <v>2.9431968609982019E-3</v>
      </c>
      <c r="AD237" s="19">
        <f t="shared" si="12"/>
        <v>3.0489853442997283</v>
      </c>
      <c r="AE237" s="15">
        <f t="shared" si="13"/>
        <v>1.2068436761342745</v>
      </c>
      <c r="AF237" s="33">
        <f t="shared" si="14"/>
        <v>0.48275991016792863</v>
      </c>
      <c r="AG237" s="47">
        <f t="shared" si="15"/>
        <v>2.0842675764295858E-3</v>
      </c>
      <c r="AH237" s="48"/>
      <c r="AI237" s="48"/>
      <c r="AJ237" s="48"/>
      <c r="AK237" s="48"/>
      <c r="AL237" s="48"/>
      <c r="AM237" s="48"/>
      <c r="AN237" s="48"/>
      <c r="AO237" s="48"/>
      <c r="AP237" s="48"/>
      <c r="AQ237" s="48"/>
    </row>
    <row r="238" spans="1:43" ht="20" customHeight="1" x14ac:dyDescent="0.45">
      <c r="A238" s="26">
        <v>228</v>
      </c>
      <c r="B238" s="16" t="s">
        <v>454</v>
      </c>
      <c r="C238" s="16" t="s">
        <v>232</v>
      </c>
      <c r="D238" s="46">
        <v>26</v>
      </c>
      <c r="E238" s="46">
        <v>0</v>
      </c>
      <c r="F238" s="13">
        <v>0.57031170427643507</v>
      </c>
      <c r="G238" s="13">
        <v>9.2433514195876657E-2</v>
      </c>
      <c r="H238" s="13">
        <v>0.1783131097205056</v>
      </c>
      <c r="I238" s="13">
        <v>-4.1399696921075411E-4</v>
      </c>
      <c r="J238" s="13">
        <v>-0.15852767483797189</v>
      </c>
      <c r="K238" s="13">
        <v>15.127304964539031</v>
      </c>
      <c r="L238" s="13">
        <v>1.019119753161513</v>
      </c>
      <c r="M238" s="13">
        <v>-2.4907618003005272</v>
      </c>
      <c r="N238" s="19">
        <f>(F238-Settings!$D$18)/Settings!$E$18</f>
        <v>1.3527999694467736</v>
      </c>
      <c r="O238" s="19">
        <f>(G238-Settings!$D$19)/Settings!$E$19</f>
        <v>0.41276078817462142</v>
      </c>
      <c r="P238" s="19">
        <f>(H238-Settings!$D$20)/Settings!$E$20</f>
        <v>1.1342084525775518</v>
      </c>
      <c r="Q238" s="19">
        <f>(I238-Settings!$D$21)/Settings!$E$21</f>
        <v>3.1118076359518063E-2</v>
      </c>
      <c r="R238" s="19">
        <f>(J238-Settings!$D$22)/Settings!$E$22</f>
        <v>-1.0934084796194521</v>
      </c>
      <c r="S238" s="19">
        <f>(K238-Settings!$D$23)/Settings!$E$23</f>
        <v>-4.4419034177044098E-2</v>
      </c>
      <c r="T238" s="19">
        <f>(L238-Settings!$D$24)/Settings!$E$24</f>
        <v>-0.19990394228090216</v>
      </c>
      <c r="U238" s="19">
        <f>(M238-Settings!$D$25)/Settings!$E$25</f>
        <v>-1.6438272409741537</v>
      </c>
      <c r="V238" s="31">
        <f>Settings!$B$18*(N238-F$6)^2</f>
        <v>0.34115862140951525</v>
      </c>
      <c r="W238" s="31">
        <f>Settings!$B$19*(O238-G$6)^2</f>
        <v>1.6665159986423022E-3</v>
      </c>
      <c r="X238" s="31">
        <f>Settings!$B$20*(P238-H$6)^2</f>
        <v>0.25417259092558808</v>
      </c>
      <c r="Y238" s="31">
        <f>Settings!$B$21*(Q238-I$6)^2</f>
        <v>0.15872327729758298</v>
      </c>
      <c r="Z238" s="31">
        <f>Settings!$B$22*(R238-J$6)^2</f>
        <v>0.3106403709774489</v>
      </c>
      <c r="AA238" s="31">
        <f>Settings!$B$23*(S238-K$6)^2</f>
        <v>3.1409071525734631</v>
      </c>
      <c r="AB238" s="31">
        <f>Settings!$B$24*(T238-L$6)^2</f>
        <v>2.97948950593906</v>
      </c>
      <c r="AC238" s="31">
        <f>Settings!$B$25*(U238-M$6)^2</f>
        <v>2.1371292289093207</v>
      </c>
      <c r="AD238" s="19">
        <f t="shared" si="12"/>
        <v>3.0535040959577278</v>
      </c>
      <c r="AE238" s="15">
        <f t="shared" si="13"/>
        <v>1.2086322799636349</v>
      </c>
      <c r="AF238" s="33">
        <f t="shared" si="14"/>
        <v>0.48171819476000005</v>
      </c>
      <c r="AG238" s="47">
        <f t="shared" si="15"/>
        <v>2.0797700744562813E-3</v>
      </c>
      <c r="AH238" s="18">
        <v>-0.55895058810883436</v>
      </c>
      <c r="AI238" s="46">
        <v>0</v>
      </c>
      <c r="AJ238" s="18">
        <v>0.64714935578109811</v>
      </c>
      <c r="AK238" s="46">
        <v>0</v>
      </c>
      <c r="AL238" s="18">
        <v>9.4176640699214831E-2</v>
      </c>
      <c r="AM238" s="46">
        <v>1</v>
      </c>
      <c r="AN238" s="48"/>
      <c r="AO238" s="48"/>
      <c r="AP238" s="48"/>
      <c r="AQ238" s="48"/>
    </row>
    <row r="239" spans="1:43" ht="20" customHeight="1" x14ac:dyDescent="0.45">
      <c r="A239" s="26">
        <v>229</v>
      </c>
      <c r="B239" s="16" t="s">
        <v>455</v>
      </c>
      <c r="C239" s="16" t="s">
        <v>271</v>
      </c>
      <c r="D239" s="46">
        <v>26</v>
      </c>
      <c r="E239" s="46">
        <v>1</v>
      </c>
      <c r="F239" s="13">
        <v>0.50533371394603677</v>
      </c>
      <c r="G239" s="13">
        <v>4.8172869716153782E-2</v>
      </c>
      <c r="H239" s="13">
        <v>-4.0556068708193643E-2</v>
      </c>
      <c r="I239" s="13">
        <v>-1.1411395013413889E-2</v>
      </c>
      <c r="J239" s="13">
        <v>-0.39452595261620188</v>
      </c>
      <c r="K239" s="13">
        <v>16.719943019943049</v>
      </c>
      <c r="L239" s="13">
        <v>0.34167795267696588</v>
      </c>
      <c r="M239" s="13">
        <v>-0.63054616925536933</v>
      </c>
      <c r="N239" s="19">
        <f>(F239-Settings!$D$18)/Settings!$E$18</f>
        <v>1.1202477926748466</v>
      </c>
      <c r="O239" s="19">
        <f>(G239-Settings!$D$19)/Settings!$E$19</f>
        <v>0.22836530197453669</v>
      </c>
      <c r="P239" s="19">
        <f>(H239-Settings!$D$20)/Settings!$E$20</f>
        <v>-0.84878839212898338</v>
      </c>
      <c r="Q239" s="19">
        <f>(I239-Settings!$D$21)/Settings!$E$21</f>
        <v>-0.10412030958621528</v>
      </c>
      <c r="R239" s="19">
        <f>(J239-Settings!$D$22)/Settings!$E$22</f>
        <v>-1.7283729569187265</v>
      </c>
      <c r="S239" s="19">
        <f>(K239-Settings!$D$23)/Settings!$E$23</f>
        <v>0.50866752983070473</v>
      </c>
      <c r="T239" s="19">
        <f>(L239-Settings!$D$24)/Settings!$E$24</f>
        <v>-0.66825651392663721</v>
      </c>
      <c r="U239" s="19">
        <f>(M239-Settings!$D$25)/Settings!$E$25</f>
        <v>-0.38927710124063652</v>
      </c>
      <c r="V239" s="31">
        <f>Settings!$B$18*(N239-F$6)^2</f>
        <v>0.23048387234084189</v>
      </c>
      <c r="W239" s="31">
        <f>Settings!$B$19*(O239-G$6)^2</f>
        <v>1.5199721868806261E-2</v>
      </c>
      <c r="X239" s="31">
        <f>Settings!$B$20*(P239-H$6)^2</f>
        <v>1.9348211123288523</v>
      </c>
      <c r="Y239" s="31">
        <f>Settings!$B$21*(Q239-I$6)^2</f>
        <v>0.11419023417331714</v>
      </c>
      <c r="Z239" s="31">
        <f>Settings!$B$22*(R239-J$6)^2</f>
        <v>0.70781253887814544</v>
      </c>
      <c r="AA239" s="31">
        <f>Settings!$B$23*(S239-K$6)^2</f>
        <v>1.4863849986396767</v>
      </c>
      <c r="AB239" s="31">
        <f>Settings!$B$24*(T239-L$6)^2</f>
        <v>4.8157089161626647</v>
      </c>
      <c r="AC239" s="31">
        <f>Settings!$B$25*(U239-M$6)^2</f>
        <v>4.2990790161317731E-2</v>
      </c>
      <c r="AD239" s="19">
        <f t="shared" si="12"/>
        <v>3.0573832250069048</v>
      </c>
      <c r="AE239" s="15">
        <f t="shared" si="13"/>
        <v>1.2101677095683263</v>
      </c>
      <c r="AF239" s="33">
        <f t="shared" si="14"/>
        <v>0.48082449888434126</v>
      </c>
      <c r="AG239" s="47">
        <f t="shared" si="15"/>
        <v>2.0759116319932843E-3</v>
      </c>
      <c r="AH239" s="18">
        <v>1.440877982863801</v>
      </c>
      <c r="AI239" s="46">
        <v>1</v>
      </c>
      <c r="AJ239" s="18">
        <v>1.113251200869483</v>
      </c>
      <c r="AK239" s="46">
        <v>1</v>
      </c>
      <c r="AL239" s="18">
        <v>-0.86816450813666535</v>
      </c>
      <c r="AM239" s="46">
        <v>1</v>
      </c>
      <c r="AN239" s="18">
        <v>-0.74693986355774977</v>
      </c>
      <c r="AO239" s="46">
        <v>1</v>
      </c>
      <c r="AP239" s="18">
        <v>-0.76871772709407993</v>
      </c>
      <c r="AQ239" s="46">
        <v>1</v>
      </c>
    </row>
    <row r="240" spans="1:43" ht="20" customHeight="1" x14ac:dyDescent="0.45">
      <c r="A240" s="26">
        <v>230</v>
      </c>
      <c r="B240" s="16" t="s">
        <v>456</v>
      </c>
      <c r="C240" s="16" t="s">
        <v>271</v>
      </c>
      <c r="D240" s="46">
        <v>26</v>
      </c>
      <c r="E240" s="46">
        <v>1</v>
      </c>
      <c r="F240" s="13">
        <v>0.53432756355063149</v>
      </c>
      <c r="G240" s="13">
        <v>8.9121551922618614E-2</v>
      </c>
      <c r="H240" s="13">
        <v>-8.4557223021131167E-2</v>
      </c>
      <c r="I240" s="13">
        <v>4.3985059045128783E-2</v>
      </c>
      <c r="J240" s="13">
        <v>-0.24800860246049011</v>
      </c>
      <c r="K240" s="13">
        <v>16.300907029478498</v>
      </c>
      <c r="L240" s="13">
        <v>0.66378087961361465</v>
      </c>
      <c r="M240" s="13">
        <v>-7.5148072221252749E-3</v>
      </c>
      <c r="N240" s="19">
        <f>(F240-Settings!$D$18)/Settings!$E$18</f>
        <v>1.2240149729810068</v>
      </c>
      <c r="O240" s="19">
        <f>(G240-Settings!$D$19)/Settings!$E$19</f>
        <v>0.39896273121380288</v>
      </c>
      <c r="P240" s="19">
        <f>(H240-Settings!$D$20)/Settings!$E$20</f>
        <v>-1.2474473115456575</v>
      </c>
      <c r="Q240" s="19">
        <f>(I240-Settings!$D$21)/Settings!$E$21</f>
        <v>0.57710692288112841</v>
      </c>
      <c r="R240" s="19">
        <f>(J240-Settings!$D$22)/Settings!$E$22</f>
        <v>-1.3341611282022448</v>
      </c>
      <c r="S240" s="19">
        <f>(K240-Settings!$D$23)/Settings!$E$23</f>
        <v>0.36314596868552124</v>
      </c>
      <c r="T240" s="19">
        <f>(L240-Settings!$D$24)/Settings!$E$24</f>
        <v>-0.4455691420262094</v>
      </c>
      <c r="U240" s="19">
        <f>(M240-Settings!$D$25)/Settings!$E$25</f>
        <v>3.090218832807648E-2</v>
      </c>
      <c r="V240" s="31">
        <f>Settings!$B$18*(N240-F$6)^2</f>
        <v>0.27719535591679606</v>
      </c>
      <c r="W240" s="31">
        <f>Settings!$B$19*(O240-G$6)^2</f>
        <v>2.208404302958706E-3</v>
      </c>
      <c r="X240" s="31">
        <f>Settings!$B$20*(P240-H$6)^2</f>
        <v>2.4625900092684052</v>
      </c>
      <c r="Y240" s="31">
        <f>Settings!$B$21*(Q240-I$6)^2</f>
        <v>0.41290203351581206</v>
      </c>
      <c r="Z240" s="31">
        <f>Settings!$B$22*(R240-J$6)^2</f>
        <v>0.44225035989894546</v>
      </c>
      <c r="AA240" s="31">
        <f>Settings!$B$23*(S240-K$6)^2</f>
        <v>1.8623937018924208</v>
      </c>
      <c r="AB240" s="31">
        <f>Settings!$B$24*(T240-L$6)^2</f>
        <v>3.887936018951085</v>
      </c>
      <c r="AC240" s="31">
        <f>Settings!$B$25*(U240-M$6)^2</f>
        <v>4.5299624375696526E-2</v>
      </c>
      <c r="AD240" s="19">
        <f t="shared" si="12"/>
        <v>3.0647635321704869</v>
      </c>
      <c r="AE240" s="15">
        <f t="shared" si="13"/>
        <v>1.2130889689456301</v>
      </c>
      <c r="AF240" s="33">
        <f t="shared" si="14"/>
        <v>0.47912563819139481</v>
      </c>
      <c r="AG240" s="47">
        <f t="shared" si="15"/>
        <v>2.0685769710477486E-3</v>
      </c>
      <c r="AH240" s="18">
        <v>0.54706878407947768</v>
      </c>
      <c r="AI240" s="46">
        <v>1</v>
      </c>
      <c r="AJ240" s="18">
        <v>-0.78955173352285457</v>
      </c>
      <c r="AK240" s="46">
        <v>1</v>
      </c>
      <c r="AL240" s="18">
        <v>-0.54572014279876035</v>
      </c>
      <c r="AM240" s="46">
        <v>1</v>
      </c>
      <c r="AN240" s="18">
        <v>0.85904310234318704</v>
      </c>
      <c r="AO240" s="46">
        <v>1</v>
      </c>
      <c r="AP240" s="18">
        <v>0.16468422658251011</v>
      </c>
      <c r="AQ240" s="46">
        <v>1</v>
      </c>
    </row>
    <row r="241" spans="1:43" ht="20" customHeight="1" x14ac:dyDescent="0.45">
      <c r="A241" s="26">
        <v>231</v>
      </c>
      <c r="B241" s="16" t="s">
        <v>457</v>
      </c>
      <c r="C241" s="16" t="s">
        <v>232</v>
      </c>
      <c r="D241" s="46">
        <v>26</v>
      </c>
      <c r="E241" s="46">
        <v>0</v>
      </c>
      <c r="F241" s="13">
        <v>0.17293499484875</v>
      </c>
      <c r="G241" s="13">
        <v>-0.41775602170953952</v>
      </c>
      <c r="H241" s="13">
        <v>9.0953881091525801E-2</v>
      </c>
      <c r="I241" s="13">
        <v>-4.2121509915347819E-4</v>
      </c>
      <c r="J241" s="13">
        <v>0.31793388725103122</v>
      </c>
      <c r="K241" s="13">
        <v>18.360561056105571</v>
      </c>
      <c r="L241" s="13">
        <v>0.39914536525532618</v>
      </c>
      <c r="M241" s="13">
        <v>-2.647922104284949</v>
      </c>
      <c r="N241" s="19">
        <f>(F241-Settings!$D$18)/Settings!$E$18</f>
        <v>-6.9386501787342708E-2</v>
      </c>
      <c r="O241" s="19">
        <f>(G241-Settings!$D$19)/Settings!$E$19</f>
        <v>-1.712753845273026</v>
      </c>
      <c r="P241" s="19">
        <f>(H241-Settings!$D$20)/Settings!$E$20</f>
        <v>0.34271704217918131</v>
      </c>
      <c r="Q241" s="19">
        <f>(I241-Settings!$D$21)/Settings!$E$21</f>
        <v>3.1029312795711701E-2</v>
      </c>
      <c r="R241" s="19">
        <f>(J241-Settings!$D$22)/Settings!$E$22</f>
        <v>0.18853378527002337</v>
      </c>
      <c r="S241" s="19">
        <f>(K241-Settings!$D$23)/Settings!$E$23</f>
        <v>1.0784164375573135</v>
      </c>
      <c r="T241" s="19">
        <f>(L241-Settings!$D$24)/Settings!$E$24</f>
        <v>-0.62852614823669861</v>
      </c>
      <c r="U241" s="19">
        <f>(M241-Settings!$D$25)/Settings!$E$25</f>
        <v>-1.7498179003545618</v>
      </c>
      <c r="V241" s="31">
        <f>Settings!$B$18*(N241-F$6)^2</f>
        <v>2.6970646455228998E-3</v>
      </c>
      <c r="W241" s="31">
        <f>Settings!$B$19*(O241-G$6)^2</f>
        <v>0.98283831992470216</v>
      </c>
      <c r="X241" s="31">
        <f>Settings!$B$20*(P241-H$6)^2</f>
        <v>0.73637172556855168</v>
      </c>
      <c r="Y241" s="31">
        <f>Settings!$B$21*(Q241-I$6)^2</f>
        <v>0.15869164881196285</v>
      </c>
      <c r="Z241" s="31">
        <f>Settings!$B$22*(R241-J$6)^2</f>
        <v>2.5442801373629412E-4</v>
      </c>
      <c r="AA241" s="31">
        <f>Settings!$B$23*(S241-K$6)^2</f>
        <v>0.42175282069501258</v>
      </c>
      <c r="AB241" s="31">
        <f>Settings!$B$24*(T241-L$6)^2</f>
        <v>4.6429130398119112</v>
      </c>
      <c r="AC241" s="31">
        <f>Settings!$B$25*(U241-M$6)^2</f>
        <v>2.4582571160037872</v>
      </c>
      <c r="AD241" s="19">
        <f t="shared" si="12"/>
        <v>3.0665577058772575</v>
      </c>
      <c r="AE241" s="15">
        <f t="shared" si="13"/>
        <v>1.2137991354264073</v>
      </c>
      <c r="AF241" s="33">
        <f t="shared" si="14"/>
        <v>0.47871293082034821</v>
      </c>
      <c r="AG241" s="47">
        <f t="shared" si="15"/>
        <v>2.0667951482950544E-3</v>
      </c>
      <c r="AH241" s="18">
        <v>-1.0600834994806101</v>
      </c>
      <c r="AI241" s="46">
        <v>0</v>
      </c>
      <c r="AJ241" s="18">
        <v>0.94398338038360763</v>
      </c>
      <c r="AK241" s="46">
        <v>0</v>
      </c>
      <c r="AL241" s="18">
        <v>1.184865714518903</v>
      </c>
      <c r="AM241" s="46">
        <v>1</v>
      </c>
      <c r="AN241" s="18">
        <v>0.11107214713746651</v>
      </c>
      <c r="AO241" s="46">
        <v>1</v>
      </c>
      <c r="AP241" s="18">
        <v>-1.013656246839338</v>
      </c>
      <c r="AQ241" s="46">
        <v>1</v>
      </c>
    </row>
    <row r="242" spans="1:43" ht="20" customHeight="1" x14ac:dyDescent="0.45">
      <c r="A242" s="26">
        <v>232</v>
      </c>
      <c r="B242" s="16" t="s">
        <v>458</v>
      </c>
      <c r="C242" s="16" t="s">
        <v>232</v>
      </c>
      <c r="D242" s="46">
        <v>26</v>
      </c>
      <c r="E242" s="46">
        <v>0</v>
      </c>
      <c r="F242" s="13">
        <v>0.42760978688814377</v>
      </c>
      <c r="G242" s="13">
        <v>-0.32196284695134642</v>
      </c>
      <c r="H242" s="13">
        <v>-2.3998563273726709E-2</v>
      </c>
      <c r="I242" s="13">
        <v>2.7591695157928451E-2</v>
      </c>
      <c r="J242" s="13">
        <v>0.19883710772885471</v>
      </c>
      <c r="K242" s="13">
        <v>15.93741721854305</v>
      </c>
      <c r="L242" s="13">
        <v>0.62673826563602653</v>
      </c>
      <c r="M242" s="13">
        <v>-1.2816611686365169</v>
      </c>
      <c r="N242" s="19">
        <f>(F242-Settings!$D$18)/Settings!$E$18</f>
        <v>0.8420787029158544</v>
      </c>
      <c r="O242" s="19">
        <f>(G242-Settings!$D$19)/Settings!$E$19</f>
        <v>-1.3136672697876863</v>
      </c>
      <c r="P242" s="19">
        <f>(H242-Settings!$D$20)/Settings!$E$20</f>
        <v>-0.6987742089147152</v>
      </c>
      <c r="Q242" s="19">
        <f>(I242-Settings!$D$21)/Settings!$E$21</f>
        <v>0.37551268546106337</v>
      </c>
      <c r="R242" s="19">
        <f>(J242-Settings!$D$22)/Settings!$E$22</f>
        <v>-0.1319017071804289</v>
      </c>
      <c r="S242" s="19">
        <f>(K242-Settings!$D$23)/Settings!$E$23</f>
        <v>0.23691431806034932</v>
      </c>
      <c r="T242" s="19">
        <f>(L242-Settings!$D$24)/Settings!$E$24</f>
        <v>-0.47117872723998661</v>
      </c>
      <c r="U242" s="19">
        <f>(M242-Settings!$D$25)/Settings!$E$25</f>
        <v>-0.82839630861836322</v>
      </c>
      <c r="V242" s="31">
        <f>Settings!$B$18*(N242-F$6)^2</f>
        <v>0.12651278689211476</v>
      </c>
      <c r="W242" s="31">
        <f>Settings!$B$19*(O242-G$6)^2</f>
        <v>0.66081467377069669</v>
      </c>
      <c r="X242" s="31">
        <f>Settings!$B$20*(P242-H$6)^2</f>
        <v>1.7526849723631859</v>
      </c>
      <c r="Y242" s="31">
        <f>Settings!$B$21*(Q242-I$6)^2</f>
        <v>0.3051665876350565</v>
      </c>
      <c r="Z242" s="31">
        <f>Settings!$B$22*(R242-J$6)^2</f>
        <v>1.6218610587502846E-2</v>
      </c>
      <c r="AA242" s="31">
        <f>Settings!$B$23*(S242-K$6)^2</f>
        <v>2.2228636528545986</v>
      </c>
      <c r="AB242" s="31">
        <f>Settings!$B$24*(T242-L$6)^2</f>
        <v>3.989585060893647</v>
      </c>
      <c r="AC242" s="31">
        <f>Settings!$B$25*(U242-M$6)^2</f>
        <v>0.41791235827661649</v>
      </c>
      <c r="AD242" s="19">
        <f t="shared" si="12"/>
        <v>3.0808697965466538</v>
      </c>
      <c r="AE242" s="15">
        <f t="shared" si="13"/>
        <v>1.2194641203857195</v>
      </c>
      <c r="AF242" s="33">
        <f t="shared" si="14"/>
        <v>0.47542488955390699</v>
      </c>
      <c r="AG242" s="47">
        <f t="shared" si="15"/>
        <v>2.0525993593381339E-3</v>
      </c>
      <c r="AH242" s="18">
        <v>-0.57305237370789452</v>
      </c>
      <c r="AI242" s="46">
        <v>0</v>
      </c>
      <c r="AJ242" s="18">
        <v>2.9491031494497659E-2</v>
      </c>
      <c r="AK242" s="46">
        <v>0</v>
      </c>
      <c r="AL242" s="18">
        <v>0.36532781409361798</v>
      </c>
      <c r="AM242" s="46">
        <v>1</v>
      </c>
      <c r="AN242" s="18">
        <v>0.35899601471903941</v>
      </c>
      <c r="AO242" s="46">
        <v>1</v>
      </c>
      <c r="AP242" s="18">
        <v>2.0304891508864609E-2</v>
      </c>
      <c r="AQ242" s="46">
        <v>1</v>
      </c>
    </row>
    <row r="243" spans="1:43" ht="20" customHeight="1" x14ac:dyDescent="0.45">
      <c r="A243" s="26">
        <v>233</v>
      </c>
      <c r="B243" s="16" t="s">
        <v>459</v>
      </c>
      <c r="C243" s="16" t="s">
        <v>214</v>
      </c>
      <c r="D243" s="46">
        <v>26</v>
      </c>
      <c r="E243" s="46">
        <v>1</v>
      </c>
      <c r="F243" s="13">
        <v>-5.1431210819555769E-2</v>
      </c>
      <c r="G243" s="13">
        <v>0.33410844306493248</v>
      </c>
      <c r="H243" s="13">
        <v>1.9523189590459639E-2</v>
      </c>
      <c r="I243" s="13">
        <v>-2.4855414767093972E-4</v>
      </c>
      <c r="J243" s="13">
        <v>0.59468860237738119</v>
      </c>
      <c r="K243" s="13">
        <v>14.836477987421381</v>
      </c>
      <c r="L243" s="13">
        <v>0.85687132247127218</v>
      </c>
      <c r="M243" s="13">
        <v>-1.571847415244066</v>
      </c>
      <c r="N243" s="19">
        <f>(F243-Settings!$D$18)/Settings!$E$18</f>
        <v>-0.87237916525561798</v>
      </c>
      <c r="O243" s="19">
        <f>(G243-Settings!$D$19)/Settings!$E$19</f>
        <v>1.4196093448330414</v>
      </c>
      <c r="P243" s="19">
        <f>(H243-Settings!$D$20)/Settings!$E$20</f>
        <v>-0.30445875881174822</v>
      </c>
      <c r="Q243" s="19">
        <f>(I243-Settings!$D$21)/Settings!$E$21</f>
        <v>3.3152577617126554E-2</v>
      </c>
      <c r="R243" s="19">
        <f>(J243-Settings!$D$22)/Settings!$E$22</f>
        <v>0.93315537609132237</v>
      </c>
      <c r="S243" s="19">
        <f>(K243-Settings!$D$23)/Settings!$E$23</f>
        <v>-0.14541655395184086</v>
      </c>
      <c r="T243" s="19">
        <f>(L243-Settings!$D$24)/Settings!$E$24</f>
        <v>-0.31207515714379791</v>
      </c>
      <c r="U243" s="19">
        <f>(M243-Settings!$D$25)/Settings!$E$25</f>
        <v>-1.024101145280607</v>
      </c>
      <c r="V243" s="31">
        <f>Settings!$B$18*(N243-F$6)^2</f>
        <v>0.16895594278618464</v>
      </c>
      <c r="W243" s="31">
        <f>Settings!$B$19*(O243-G$6)^2</f>
        <v>0.16765206993596349</v>
      </c>
      <c r="X243" s="31">
        <f>Settings!$B$20*(P243-H$6)^2</f>
        <v>1.3168637971343731</v>
      </c>
      <c r="Y243" s="31">
        <f>Settings!$B$21*(Q243-I$6)^2</f>
        <v>0.15944908053158158</v>
      </c>
      <c r="Z243" s="31">
        <f>Settings!$B$22*(R243-J$6)^2</f>
        <v>0.12177007965638142</v>
      </c>
      <c r="AA243" s="31">
        <f>Settings!$B$23*(S243-K$6)^2</f>
        <v>3.5090954741099911</v>
      </c>
      <c r="AB243" s="31">
        <f>Settings!$B$24*(T243-L$6)^2</f>
        <v>3.3793137935427242</v>
      </c>
      <c r="AC243" s="31">
        <f>Settings!$B$25*(U243-M$6)^2</f>
        <v>0.70924399178182185</v>
      </c>
      <c r="AD243" s="19">
        <f t="shared" si="12"/>
        <v>3.0874494699474875</v>
      </c>
      <c r="AE243" s="15">
        <f t="shared" si="13"/>
        <v>1.222068474404564</v>
      </c>
      <c r="AF243" s="33">
        <f t="shared" si="14"/>
        <v>0.47391576783555228</v>
      </c>
      <c r="AG243" s="47">
        <f t="shared" si="15"/>
        <v>2.0460838774180251E-3</v>
      </c>
      <c r="AH243" s="48"/>
      <c r="AI243" s="48"/>
      <c r="AJ243" s="48"/>
      <c r="AK243" s="48"/>
      <c r="AL243" s="48"/>
      <c r="AM243" s="48"/>
      <c r="AN243" s="48"/>
      <c r="AO243" s="48"/>
      <c r="AP243" s="48"/>
      <c r="AQ243" s="48"/>
    </row>
    <row r="244" spans="1:43" ht="20" customHeight="1" x14ac:dyDescent="0.45">
      <c r="A244" s="26">
        <v>234</v>
      </c>
      <c r="B244" s="16" t="s">
        <v>460</v>
      </c>
      <c r="C244" s="16" t="s">
        <v>218</v>
      </c>
      <c r="D244" s="46">
        <v>26</v>
      </c>
      <c r="E244" s="46">
        <v>0</v>
      </c>
      <c r="F244" s="13">
        <v>9.0057611771513377E-2</v>
      </c>
      <c r="G244" s="13">
        <v>-0.15922179371787409</v>
      </c>
      <c r="H244" s="13">
        <v>3.5173068094412341E-2</v>
      </c>
      <c r="I244" s="13">
        <v>1.3958913294627939E-4</v>
      </c>
      <c r="J244" s="13">
        <v>0.7154079372832538</v>
      </c>
      <c r="K244" s="13">
        <v>14.41831831831832</v>
      </c>
      <c r="L244" s="13">
        <v>2.0629639530718422</v>
      </c>
      <c r="M244" s="13">
        <v>-2.711351144124595</v>
      </c>
      <c r="N244" s="19">
        <f>(F244-Settings!$D$18)/Settings!$E$18</f>
        <v>-0.3659994893816314</v>
      </c>
      <c r="O244" s="19">
        <f>(G244-Settings!$D$19)/Settings!$E$19</f>
        <v>-0.63566729964608815</v>
      </c>
      <c r="P244" s="19">
        <f>(H244-Settings!$D$20)/Settings!$E$20</f>
        <v>-0.16266785012293694</v>
      </c>
      <c r="Q244" s="19">
        <f>(I244-Settings!$D$21)/Settings!$E$21</f>
        <v>3.7925694910450655E-2</v>
      </c>
      <c r="R244" s="19">
        <f>(J244-Settings!$D$22)/Settings!$E$22</f>
        <v>1.2579564301924655</v>
      </c>
      <c r="S244" s="19">
        <f>(K244-Settings!$D$23)/Settings!$E$23</f>
        <v>-0.29063378884464791</v>
      </c>
      <c r="T244" s="19">
        <f>(L244-Settings!$D$24)/Settings!$E$24</f>
        <v>0.521762649706492</v>
      </c>
      <c r="U244" s="19">
        <f>(M244-Settings!$D$25)/Settings!$E$25</f>
        <v>-1.7925951512635232</v>
      </c>
      <c r="V244" s="31">
        <f>Settings!$B$18*(N244-F$6)^2</f>
        <v>3.4070747939473268E-2</v>
      </c>
      <c r="W244" s="31">
        <f>Settings!$B$19*(O244-G$6)^2</f>
        <v>0.25978825751853457</v>
      </c>
      <c r="X244" s="31">
        <f>Settings!$B$20*(P244-H$6)^2</f>
        <v>1.1753509498784316</v>
      </c>
      <c r="Y244" s="31">
        <f>Settings!$B$21*(Q244-I$6)^2</f>
        <v>0.1611583768975712</v>
      </c>
      <c r="Z244" s="31">
        <f>Settings!$B$22*(R244-J$6)^2</f>
        <v>0.24424465675989582</v>
      </c>
      <c r="AA244" s="31">
        <f>Settings!$B$23*(S244-K$6)^2</f>
        <v>4.0742422087350958</v>
      </c>
      <c r="AB244" s="31">
        <f>Settings!$B$24*(T244-L$6)^2</f>
        <v>1.0089262133282524</v>
      </c>
      <c r="AC244" s="31">
        <f>Settings!$B$25*(U244-M$6)^2</f>
        <v>2.5942264585634627</v>
      </c>
      <c r="AD244" s="19">
        <f t="shared" si="12"/>
        <v>3.0906322766742598</v>
      </c>
      <c r="AE244" s="15">
        <f t="shared" si="13"/>
        <v>1.223328287010008</v>
      </c>
      <c r="AF244" s="33">
        <f t="shared" si="14"/>
        <v>0.47318632376105563</v>
      </c>
      <c r="AG244" s="47">
        <f t="shared" si="15"/>
        <v>2.0429345756610437E-3</v>
      </c>
      <c r="AH244" s="18">
        <v>-2.1732548474160809</v>
      </c>
      <c r="AI244" s="46">
        <v>0</v>
      </c>
      <c r="AJ244" s="18">
        <v>-0.29908881149903238</v>
      </c>
      <c r="AK244" s="46">
        <v>0</v>
      </c>
      <c r="AL244" s="18">
        <v>0.82283793749631118</v>
      </c>
      <c r="AM244" s="46">
        <v>0</v>
      </c>
      <c r="AN244" s="18">
        <v>0.1106567325436713</v>
      </c>
      <c r="AO244" s="46">
        <v>0</v>
      </c>
      <c r="AP244" s="48"/>
      <c r="AQ244" s="48"/>
    </row>
    <row r="245" spans="1:43" ht="20" customHeight="1" x14ac:dyDescent="0.45">
      <c r="A245" s="26">
        <v>235</v>
      </c>
      <c r="B245" s="16" t="s">
        <v>461</v>
      </c>
      <c r="C245" s="16" t="s">
        <v>271</v>
      </c>
      <c r="D245" s="46">
        <v>26</v>
      </c>
      <c r="E245" s="46">
        <v>1</v>
      </c>
      <c r="F245" s="13">
        <v>0.29805795966864268</v>
      </c>
      <c r="G245" s="13">
        <v>-0.1429180663262247</v>
      </c>
      <c r="H245" s="13">
        <v>-4.2939876875231708E-2</v>
      </c>
      <c r="I245" s="13">
        <v>-6.144458784486901E-2</v>
      </c>
      <c r="J245" s="13">
        <v>0.45463950928503188</v>
      </c>
      <c r="K245" s="13">
        <v>14.73168724279833</v>
      </c>
      <c r="L245" s="13">
        <v>0.94714620862400711</v>
      </c>
      <c r="M245" s="13">
        <v>0.79692240976610029</v>
      </c>
      <c r="N245" s="19">
        <f>(F245-Settings!$D$18)/Settings!$E$18</f>
        <v>0.3784207893441392</v>
      </c>
      <c r="O245" s="19">
        <f>(G245-Settings!$D$19)/Settings!$E$19</f>
        <v>-0.56774389331986252</v>
      </c>
      <c r="P245" s="19">
        <f>(H245-Settings!$D$20)/Settings!$E$20</f>
        <v>-0.87038615252429674</v>
      </c>
      <c r="Q245" s="19">
        <f>(I245-Settings!$D$21)/Settings!$E$21</f>
        <v>-0.71939386929921345</v>
      </c>
      <c r="R245" s="19">
        <f>(J245-Settings!$D$22)/Settings!$E$22</f>
        <v>0.55634669753314292</v>
      </c>
      <c r="S245" s="19">
        <f>(K245-Settings!$D$23)/Settings!$E$23</f>
        <v>-0.18180796924341744</v>
      </c>
      <c r="T245" s="19">
        <f>(L245-Settings!$D$24)/Settings!$E$24</f>
        <v>-0.24966319045615359</v>
      </c>
      <c r="U245" s="19">
        <f>(M245-Settings!$D$25)/Settings!$E$25</f>
        <v>0.57342360688663319</v>
      </c>
      <c r="V245" s="31">
        <f>Settings!$B$18*(N245-F$6)^2</f>
        <v>2.2002452733267491E-2</v>
      </c>
      <c r="W245" s="31">
        <f>Settings!$B$19*(O245-G$6)^2</f>
        <v>0.22974575252607754</v>
      </c>
      <c r="X245" s="31">
        <f>Settings!$B$20*(P245-H$6)^2</f>
        <v>1.9617848043387494</v>
      </c>
      <c r="Y245" s="31">
        <f>Settings!$B$21*(Q245-I$6)^2</f>
        <v>3.9390378327060858E-3</v>
      </c>
      <c r="Z245" s="31">
        <f>Settings!$B$22*(R245-J$6)^2</f>
        <v>3.2559219638901515E-2</v>
      </c>
      <c r="AA245" s="31">
        <f>Settings!$B$23*(S245-K$6)^2</f>
        <v>3.6467608276950227</v>
      </c>
      <c r="AB245" s="31">
        <f>Settings!$B$24*(T245-L$6)^2</f>
        <v>3.1537463340625034</v>
      </c>
      <c r="AC245" s="31">
        <f>Settings!$B$25*(U245-M$6)^2</f>
        <v>0.57056646756521567</v>
      </c>
      <c r="AD245" s="19">
        <f t="shared" si="12"/>
        <v>3.1017905951873099</v>
      </c>
      <c r="AE245" s="15">
        <f t="shared" si="13"/>
        <v>1.2277449517732357</v>
      </c>
      <c r="AF245" s="33">
        <f t="shared" si="14"/>
        <v>0.47063198748037927</v>
      </c>
      <c r="AG245" s="47">
        <f t="shared" si="15"/>
        <v>2.0319064845188864E-3</v>
      </c>
      <c r="AH245" s="18">
        <v>-5.2276152410415722E-2</v>
      </c>
      <c r="AI245" s="46">
        <v>1</v>
      </c>
      <c r="AJ245" s="18">
        <v>-0.66206325469864913</v>
      </c>
      <c r="AK245" s="46">
        <v>1</v>
      </c>
      <c r="AL245" s="18">
        <v>0.33148150905550172</v>
      </c>
      <c r="AM245" s="46">
        <v>1</v>
      </c>
      <c r="AN245" s="48"/>
      <c r="AO245" s="48"/>
      <c r="AP245" s="48"/>
      <c r="AQ245" s="48"/>
    </row>
    <row r="246" spans="1:43" ht="20" customHeight="1" x14ac:dyDescent="0.45">
      <c r="A246" s="26">
        <v>236</v>
      </c>
      <c r="B246" s="16" t="s">
        <v>462</v>
      </c>
      <c r="C246" s="16" t="s">
        <v>234</v>
      </c>
      <c r="D246" s="46">
        <v>26</v>
      </c>
      <c r="E246" s="46">
        <v>1</v>
      </c>
      <c r="F246" s="13">
        <v>0.38300590136140589</v>
      </c>
      <c r="G246" s="13">
        <v>-0.1106869515277991</v>
      </c>
      <c r="H246" s="13">
        <v>6.1237122255344799E-2</v>
      </c>
      <c r="I246" s="13">
        <v>-0.18422468827996741</v>
      </c>
      <c r="J246" s="13">
        <v>0.26084533657548259</v>
      </c>
      <c r="K246" s="13">
        <v>15.69399092970524</v>
      </c>
      <c r="L246" s="13">
        <v>0.1180694975882227</v>
      </c>
      <c r="M246" s="13">
        <v>0.1637926927663077</v>
      </c>
      <c r="N246" s="19">
        <f>(F246-Settings!$D$18)/Settings!$E$18</f>
        <v>0.68244417714819416</v>
      </c>
      <c r="O246" s="19">
        <f>(G246-Settings!$D$19)/Settings!$E$19</f>
        <v>-0.43346496101129162</v>
      </c>
      <c r="P246" s="19">
        <f>(H246-Settings!$D$20)/Settings!$E$20</f>
        <v>7.3477492645033671E-2</v>
      </c>
      <c r="Q246" s="19">
        <f>(I246-Settings!$D$21)/Settings!$E$21</f>
        <v>-2.2292585247710797</v>
      </c>
      <c r="R246" s="19">
        <f>(J246-Settings!$D$22)/Settings!$E$22</f>
        <v>3.4934351915104439E-2</v>
      </c>
      <c r="S246" s="19">
        <f>(K246-Settings!$D$23)/Settings!$E$23</f>
        <v>0.1523779670510122</v>
      </c>
      <c r="T246" s="19">
        <f>(L246-Settings!$D$24)/Settings!$E$24</f>
        <v>-0.82284926995030638</v>
      </c>
      <c r="U246" s="19">
        <f>(M246-Settings!$D$25)/Settings!$E$25</f>
        <v>0.14643387425802384</v>
      </c>
      <c r="V246" s="31">
        <f>Settings!$B$18*(N246-F$6)^2</f>
        <v>8.0824005265278345E-2</v>
      </c>
      <c r="W246" s="31">
        <f>Settings!$B$19*(O246-G$6)^2</f>
        <v>0.17578451843884352</v>
      </c>
      <c r="X246" s="31">
        <f>Settings!$B$20*(P246-H$6)^2</f>
        <v>0.95751828101325531</v>
      </c>
      <c r="Y246" s="31">
        <f>Settings!$B$21*(Q246-I$6)^2</f>
        <v>0.37511980315858207</v>
      </c>
      <c r="Z246" s="31">
        <f>Settings!$B$22*(R246-J$6)^2</f>
        <v>2.7816083420982487E-3</v>
      </c>
      <c r="AA246" s="31">
        <f>Settings!$B$23*(S246-K$6)^2</f>
        <v>2.4820851228102456</v>
      </c>
      <c r="AB246" s="31">
        <f>Settings!$B$24*(T246-L$6)^2</f>
        <v>5.5181068950829895</v>
      </c>
      <c r="AC246" s="31">
        <f>Settings!$B$25*(U246-M$6)^2</f>
        <v>0.10782604914256093</v>
      </c>
      <c r="AD246" s="19">
        <f t="shared" si="12"/>
        <v>3.114489730799229</v>
      </c>
      <c r="AE246" s="15">
        <f t="shared" si="13"/>
        <v>1.2327714998785813</v>
      </c>
      <c r="AF246" s="33">
        <f t="shared" si="14"/>
        <v>0.46773060204800171</v>
      </c>
      <c r="AG246" s="47">
        <f t="shared" si="15"/>
        <v>2.0193800434121132E-3</v>
      </c>
      <c r="AH246" s="18">
        <v>-0.91750058078091179</v>
      </c>
      <c r="AI246" s="46">
        <v>1</v>
      </c>
      <c r="AJ246" s="18">
        <v>-1.05410841920516</v>
      </c>
      <c r="AK246" s="46">
        <v>1</v>
      </c>
      <c r="AL246" s="18">
        <v>1.3702646628555151</v>
      </c>
      <c r="AM246" s="46">
        <v>1</v>
      </c>
      <c r="AN246" s="18">
        <v>0.77628065256073464</v>
      </c>
      <c r="AO246" s="46">
        <v>1</v>
      </c>
      <c r="AP246" s="18">
        <v>-0.38254894843949627</v>
      </c>
      <c r="AQ246" s="46">
        <v>1</v>
      </c>
    </row>
    <row r="247" spans="1:43" ht="20" customHeight="1" x14ac:dyDescent="0.45">
      <c r="A247" s="26">
        <v>237</v>
      </c>
      <c r="B247" s="16" t="s">
        <v>463</v>
      </c>
      <c r="C247" s="16" t="s">
        <v>271</v>
      </c>
      <c r="D247" s="46">
        <v>26</v>
      </c>
      <c r="E247" s="46">
        <v>1</v>
      </c>
      <c r="F247" s="13">
        <v>0.4315435529359023</v>
      </c>
      <c r="G247" s="13">
        <v>0.4100800675735809</v>
      </c>
      <c r="H247" s="13">
        <v>-1.8645461916582999E-2</v>
      </c>
      <c r="I247" s="13">
        <v>3.5797578534829302E-2</v>
      </c>
      <c r="J247" s="13">
        <v>0.1039333390391045</v>
      </c>
      <c r="K247" s="13">
        <v>18.13396946564886</v>
      </c>
      <c r="L247" s="13">
        <v>1.908974028409564</v>
      </c>
      <c r="M247" s="13">
        <v>-3.7775694250547449</v>
      </c>
      <c r="N247" s="19">
        <f>(F247-Settings!$D$18)/Settings!$E$18</f>
        <v>0.85615740637630555</v>
      </c>
      <c r="O247" s="19">
        <f>(G247-Settings!$D$19)/Settings!$E$19</f>
        <v>1.7361168155975115</v>
      </c>
      <c r="P247" s="19">
        <f>(H247-Settings!$D$20)/Settings!$E$20</f>
        <v>-0.65027408122739738</v>
      </c>
      <c r="Q247" s="19">
        <f>(I247-Settings!$D$21)/Settings!$E$21</f>
        <v>0.47642295702625037</v>
      </c>
      <c r="R247" s="19">
        <f>(J247-Settings!$D$22)/Settings!$E$22</f>
        <v>-0.38724476496513832</v>
      </c>
      <c r="S247" s="19">
        <f>(K247-Settings!$D$23)/Settings!$E$23</f>
        <v>0.99972639007696462</v>
      </c>
      <c r="T247" s="19">
        <f>(L247-Settings!$D$24)/Settings!$E$24</f>
        <v>0.41530099178764895</v>
      </c>
      <c r="U247" s="19">
        <f>(M247-Settings!$D$25)/Settings!$E$25</f>
        <v>-2.5116646349318272</v>
      </c>
      <c r="V247" s="31">
        <f>Settings!$B$18*(N247-F$6)^2</f>
        <v>0.13103136496866535</v>
      </c>
      <c r="W247" s="31">
        <f>Settings!$B$19*(O247-G$6)^2</f>
        <v>0.30360080543592816</v>
      </c>
      <c r="X247" s="31">
        <f>Settings!$B$20*(P247-H$6)^2</f>
        <v>1.6957252938326559</v>
      </c>
      <c r="Y247" s="31">
        <f>Settings!$B$21*(Q247-I$6)^2</f>
        <v>0.35706277215021626</v>
      </c>
      <c r="Z247" s="31">
        <f>Settings!$B$22*(R247-J$6)^2</f>
        <v>5.8344081652140459E-2</v>
      </c>
      <c r="AA247" s="31">
        <f>Settings!$B$23*(S247-K$6)^2</f>
        <v>0.53015151123411863</v>
      </c>
      <c r="AB247" s="31">
        <f>Settings!$B$24*(T247-L$6)^2</f>
        <v>1.2341318020108676</v>
      </c>
      <c r="AC247" s="31">
        <f>Settings!$B$25*(U247-M$6)^2</f>
        <v>5.4276406574439111</v>
      </c>
      <c r="AD247" s="19">
        <f t="shared" si="12"/>
        <v>3.1205269248523564</v>
      </c>
      <c r="AE247" s="15">
        <f t="shared" si="13"/>
        <v>1.2351611307366743</v>
      </c>
      <c r="AF247" s="33">
        <f t="shared" si="14"/>
        <v>0.46635342505855437</v>
      </c>
      <c r="AG247" s="47">
        <f t="shared" si="15"/>
        <v>2.0134342196482646E-3</v>
      </c>
      <c r="AH247" s="18">
        <v>-0.89597735012925583</v>
      </c>
      <c r="AI247" s="46">
        <v>1</v>
      </c>
      <c r="AJ247" s="18">
        <v>0.70597812074194533</v>
      </c>
      <c r="AK247" s="46">
        <v>1</v>
      </c>
      <c r="AL247" s="18">
        <v>-1.13354743365994</v>
      </c>
      <c r="AM247" s="46">
        <v>1</v>
      </c>
      <c r="AN247" s="18">
        <v>-0.64904116377627852</v>
      </c>
      <c r="AO247" s="46">
        <v>1</v>
      </c>
      <c r="AP247" s="18">
        <v>0.36590442178933158</v>
      </c>
      <c r="AQ247" s="46">
        <v>1</v>
      </c>
    </row>
    <row r="248" spans="1:43" ht="20" customHeight="1" x14ac:dyDescent="0.45">
      <c r="A248" s="26">
        <v>238</v>
      </c>
      <c r="B248" s="16" t="s">
        <v>464</v>
      </c>
      <c r="C248" s="16" t="s">
        <v>218</v>
      </c>
      <c r="D248" s="46">
        <v>26</v>
      </c>
      <c r="E248" s="46">
        <v>0</v>
      </c>
      <c r="F248" s="13">
        <v>0.43667247827792871</v>
      </c>
      <c r="G248" s="13">
        <v>-0.27170342643327228</v>
      </c>
      <c r="H248" s="13">
        <v>0.14269581821688301</v>
      </c>
      <c r="I248" s="13">
        <v>3.8441954439549599E-3</v>
      </c>
      <c r="J248" s="13">
        <v>0.14508408162796091</v>
      </c>
      <c r="K248" s="13">
        <v>14.934146341463441</v>
      </c>
      <c r="L248" s="13">
        <v>0.4417891026168298</v>
      </c>
      <c r="M248" s="13">
        <v>0.83057535495377133</v>
      </c>
      <c r="N248" s="19">
        <f>(F248-Settings!$D$18)/Settings!$E$18</f>
        <v>0.87451351044668568</v>
      </c>
      <c r="O248" s="19">
        <f>(G248-Settings!$D$19)/Settings!$E$19</f>
        <v>-1.104280118030089</v>
      </c>
      <c r="P248" s="19">
        <f>(H248-Settings!$D$20)/Settings!$E$20</f>
        <v>0.81150894241474825</v>
      </c>
      <c r="Q248" s="19">
        <f>(I248-Settings!$D$21)/Settings!$E$21</f>
        <v>8.3482378050539166E-2</v>
      </c>
      <c r="R248" s="19">
        <f>(J248-Settings!$D$22)/Settings!$E$22</f>
        <v>-0.27652675462879117</v>
      </c>
      <c r="S248" s="19">
        <f>(K248-Settings!$D$23)/Settings!$E$23</f>
        <v>-0.11149858108529904</v>
      </c>
      <c r="T248" s="19">
        <f>(L248-Settings!$D$24)/Settings!$E$24</f>
        <v>-0.59904420005523096</v>
      </c>
      <c r="U248" s="19">
        <f>(M248-Settings!$D$25)/Settings!$E$25</f>
        <v>0.59611952793096734</v>
      </c>
      <c r="V248" s="31">
        <f>Settings!$B$18*(N248-F$6)^2</f>
        <v>0.13704185564129506</v>
      </c>
      <c r="W248" s="31">
        <f>Settings!$B$19*(O248-G$6)^2</f>
        <v>0.51734113597345599</v>
      </c>
      <c r="X248" s="31">
        <f>Settings!$B$20*(P248-H$6)^2</f>
        <v>0.42051455018369188</v>
      </c>
      <c r="Y248" s="31">
        <f>Settings!$B$21*(Q248-I$6)^2</f>
        <v>0.17793120789837769</v>
      </c>
      <c r="Z248" s="31">
        <f>Settings!$B$22*(R248-J$6)^2</f>
        <v>3.6875749949786457E-2</v>
      </c>
      <c r="AA248" s="31">
        <f>Settings!$B$23*(S248-K$6)^2</f>
        <v>3.3831716760559067</v>
      </c>
      <c r="AB248" s="31">
        <f>Settings!$B$24*(T248-L$6)^2</f>
        <v>4.5167302417432991</v>
      </c>
      <c r="AC248" s="31">
        <f>Settings!$B$25*(U248-M$6)^2</f>
        <v>0.60536868627107709</v>
      </c>
      <c r="AD248" s="19">
        <f t="shared" si="12"/>
        <v>3.1296924934754995</v>
      </c>
      <c r="AE248" s="15">
        <f t="shared" si="13"/>
        <v>1.2387890289657344</v>
      </c>
      <c r="AF248" s="33">
        <f t="shared" si="14"/>
        <v>0.46426529710678116</v>
      </c>
      <c r="AG248" s="47">
        <f t="shared" si="15"/>
        <v>2.0044189362876321E-3</v>
      </c>
      <c r="AH248" s="18">
        <v>2.3075763676018209E-2</v>
      </c>
      <c r="AI248" s="46">
        <v>0</v>
      </c>
      <c r="AJ248" s="18">
        <v>-1.180120205195281</v>
      </c>
      <c r="AK248" s="46">
        <v>0</v>
      </c>
      <c r="AL248" s="48"/>
      <c r="AM248" s="48"/>
      <c r="AN248" s="48"/>
      <c r="AO248" s="48"/>
      <c r="AP248" s="48"/>
      <c r="AQ248" s="48"/>
    </row>
    <row r="249" spans="1:43" ht="20" customHeight="1" x14ac:dyDescent="0.45">
      <c r="A249" s="26">
        <v>239</v>
      </c>
      <c r="B249" s="16" t="s">
        <v>465</v>
      </c>
      <c r="C249" s="16" t="s">
        <v>234</v>
      </c>
      <c r="D249" s="46">
        <v>26</v>
      </c>
      <c r="E249" s="46">
        <v>1</v>
      </c>
      <c r="F249" s="13">
        <v>4.2432680703251548E-2</v>
      </c>
      <c r="G249" s="13">
        <v>-8.1604847201487661E-3</v>
      </c>
      <c r="H249" s="13">
        <v>4.5752042124867637E-2</v>
      </c>
      <c r="I249" s="13">
        <v>-6.8339254952754946E-2</v>
      </c>
      <c r="J249" s="13">
        <v>0.83531553749897702</v>
      </c>
      <c r="K249" s="13">
        <v>20.178177458033531</v>
      </c>
      <c r="L249" s="13">
        <v>4.2151259386362261</v>
      </c>
      <c r="M249" s="13">
        <v>3.8662343944004318</v>
      </c>
      <c r="N249" s="19">
        <f>(F249-Settings!$D$18)/Settings!$E$18</f>
        <v>-0.53644614881541774</v>
      </c>
      <c r="O249" s="19">
        <f>(G249-Settings!$D$19)/Settings!$E$19</f>
        <v>-6.3266326474859524E-3</v>
      </c>
      <c r="P249" s="19">
        <f>(H249-Settings!$D$20)/Settings!$E$20</f>
        <v>-6.6820311089663548E-2</v>
      </c>
      <c r="Q249" s="19">
        <f>(I249-Settings!$D$21)/Settings!$E$21</f>
        <v>-0.80417971114615139</v>
      </c>
      <c r="R249" s="19">
        <f>(J249-Settings!$D$22)/Settings!$E$22</f>
        <v>1.5805734738928177</v>
      </c>
      <c r="S249" s="19">
        <f>(K249-Settings!$D$23)/Settings!$E$23</f>
        <v>1.7096328065341555</v>
      </c>
      <c r="T249" s="19">
        <f>(L249-Settings!$D$24)/Settings!$E$24</f>
        <v>2.0096699501067765</v>
      </c>
      <c r="U249" s="19">
        <f>(M249-Settings!$D$25)/Settings!$E$25</f>
        <v>2.6434017937946233</v>
      </c>
      <c r="V249" s="31">
        <f>Settings!$B$18*(N249-F$6)^2</f>
        <v>6.8021175463101408E-2</v>
      </c>
      <c r="W249" s="31">
        <f>Settings!$B$19*(O249-G$6)^2</f>
        <v>5.2095586473619539E-2</v>
      </c>
      <c r="X249" s="31">
        <f>Settings!$B$20*(P249-H$6)^2</f>
        <v>1.0842467863433538</v>
      </c>
      <c r="Y249" s="31">
        <f>Settings!$B$21*(Q249-I$6)^2</f>
        <v>6.1724288756575553E-4</v>
      </c>
      <c r="Z249" s="31">
        <f>Settings!$B$22*(R249-J$6)^2</f>
        <v>0.40766931921488336</v>
      </c>
      <c r="AA249" s="31">
        <f>Settings!$B$23*(S249-K$6)^2</f>
        <v>3.3155396531977399E-4</v>
      </c>
      <c r="AB249" s="31">
        <f>Settings!$B$24*(T249-L$6)^2</f>
        <v>0.23372787569475256</v>
      </c>
      <c r="AC249" s="31">
        <f>Settings!$B$25*(U249-M$6)^2</f>
        <v>7.9825274095104932</v>
      </c>
      <c r="AD249" s="19">
        <f t="shared" si="12"/>
        <v>3.1351613913087615</v>
      </c>
      <c r="AE249" s="15">
        <f t="shared" si="13"/>
        <v>1.2409537178770262</v>
      </c>
      <c r="AF249" s="33">
        <f t="shared" si="14"/>
        <v>0.46302090952411956</v>
      </c>
      <c r="AG249" s="47">
        <f t="shared" si="15"/>
        <v>1.9990464174922109E-3</v>
      </c>
      <c r="AH249" s="18">
        <v>-0.27491990366422803</v>
      </c>
      <c r="AI249" s="46">
        <v>1</v>
      </c>
      <c r="AJ249" s="18">
        <v>-1.541255106085279</v>
      </c>
      <c r="AK249" s="46">
        <v>1</v>
      </c>
      <c r="AL249" s="18">
        <v>0.93894959007534817</v>
      </c>
      <c r="AM249" s="46">
        <v>1</v>
      </c>
      <c r="AN249" s="18">
        <v>-0.76439278256576637</v>
      </c>
      <c r="AO249" s="46">
        <v>1</v>
      </c>
      <c r="AP249" s="18">
        <v>-1.128323634106815</v>
      </c>
      <c r="AQ249" s="46">
        <v>1</v>
      </c>
    </row>
    <row r="250" spans="1:43" ht="20" customHeight="1" x14ac:dyDescent="0.45">
      <c r="A250" s="26">
        <v>240</v>
      </c>
      <c r="B250" s="16" t="s">
        <v>466</v>
      </c>
      <c r="C250" s="16" t="s">
        <v>271</v>
      </c>
      <c r="D250" s="46">
        <v>26</v>
      </c>
      <c r="E250" s="46">
        <v>1</v>
      </c>
      <c r="F250" s="13">
        <v>0.35682729839281357</v>
      </c>
      <c r="G250" s="13">
        <v>-9.1893424742997193E-2</v>
      </c>
      <c r="H250" s="13">
        <v>-5.1652610444098933E-2</v>
      </c>
      <c r="I250" s="13">
        <v>-3.954154589048233E-4</v>
      </c>
      <c r="J250" s="13">
        <v>0.49923125096118542</v>
      </c>
      <c r="K250" s="13">
        <v>14.102972399150699</v>
      </c>
      <c r="L250" s="13">
        <v>1.148255215702378</v>
      </c>
      <c r="M250" s="13">
        <v>-1.101811640205655</v>
      </c>
      <c r="N250" s="19">
        <f>(F250-Settings!$D$18)/Settings!$E$18</f>
        <v>0.58875258905446226</v>
      </c>
      <c r="O250" s="19">
        <f>(G250-Settings!$D$19)/Settings!$E$19</f>
        <v>-0.355168733072598</v>
      </c>
      <c r="P250" s="19">
        <f>(H250-Settings!$D$20)/Settings!$E$20</f>
        <v>-0.94932519410095628</v>
      </c>
      <c r="Q250" s="19">
        <f>(I250-Settings!$D$21)/Settings!$E$21</f>
        <v>3.1346578906403022E-2</v>
      </c>
      <c r="R250" s="19">
        <f>(J250-Settings!$D$22)/Settings!$E$22</f>
        <v>0.67632287791811263</v>
      </c>
      <c r="S250" s="19">
        <f>(K250-Settings!$D$23)/Settings!$E$23</f>
        <v>-0.40014617322757651</v>
      </c>
      <c r="T250" s="19">
        <f>(L250-Settings!$D$24)/Settings!$E$24</f>
        <v>-0.11062553352546962</v>
      </c>
      <c r="U250" s="19">
        <f>(M250-Settings!$D$25)/Settings!$E$25</f>
        <v>-0.70710378356997683</v>
      </c>
      <c r="V250" s="31">
        <f>Settings!$B$18*(N250-F$6)^2</f>
        <v>5.8755567788815237E-2</v>
      </c>
      <c r="W250" s="31">
        <f>Settings!$B$19*(O250-G$6)^2</f>
        <v>0.14764921985812629</v>
      </c>
      <c r="X250" s="31">
        <f>Settings!$B$20*(P250-H$6)^2</f>
        <v>2.0619233897566094</v>
      </c>
      <c r="Y250" s="31">
        <f>Settings!$B$21*(Q250-I$6)^2</f>
        <v>0.15880471247448494</v>
      </c>
      <c r="Z250" s="31">
        <f>Settings!$B$22*(R250-J$6)^2</f>
        <v>5.4801271389676789E-2</v>
      </c>
      <c r="AA250" s="31">
        <f>Settings!$B$23*(S250-K$6)^2</f>
        <v>4.5283312391161399</v>
      </c>
      <c r="AB250" s="31">
        <f>Settings!$B$24*(T250-L$6)^2</f>
        <v>2.6792496850790197</v>
      </c>
      <c r="AC250" s="31">
        <f>Settings!$B$25*(U250-M$6)^2</f>
        <v>0.27580236069252329</v>
      </c>
      <c r="AD250" s="19">
        <f t="shared" si="12"/>
        <v>3.156789103845139</v>
      </c>
      <c r="AE250" s="15">
        <f t="shared" si="13"/>
        <v>1.2495143586005295</v>
      </c>
      <c r="AF250" s="33">
        <f t="shared" si="14"/>
        <v>0.45811132066813598</v>
      </c>
      <c r="AG250" s="47">
        <f t="shared" si="15"/>
        <v>1.9778497591728256E-3</v>
      </c>
      <c r="AH250" s="18">
        <v>-0.294173016421862</v>
      </c>
      <c r="AI250" s="46">
        <v>1</v>
      </c>
      <c r="AJ250" s="18">
        <v>0.99224785790349312</v>
      </c>
      <c r="AK250" s="46">
        <v>1</v>
      </c>
      <c r="AL250" s="18">
        <v>8.2610621282915631E-2</v>
      </c>
      <c r="AM250" s="46">
        <v>1</v>
      </c>
      <c r="AN250" s="18">
        <v>-1.158748677073727</v>
      </c>
      <c r="AO250" s="46">
        <v>1</v>
      </c>
      <c r="AP250" s="18">
        <v>-0.64671629177243639</v>
      </c>
      <c r="AQ250" s="46">
        <v>1</v>
      </c>
    </row>
    <row r="251" spans="1:43" ht="20" customHeight="1" x14ac:dyDescent="0.45">
      <c r="A251" s="26">
        <v>241</v>
      </c>
      <c r="B251" s="16" t="s">
        <v>467</v>
      </c>
      <c r="C251" s="16" t="s">
        <v>258</v>
      </c>
      <c r="D251" s="46">
        <v>26</v>
      </c>
      <c r="E251" s="46">
        <v>0</v>
      </c>
      <c r="F251" s="13">
        <v>0.32141061017294209</v>
      </c>
      <c r="G251" s="13">
        <v>2.2981438199406259E-2</v>
      </c>
      <c r="H251" s="13">
        <v>-2.0880849054279839E-3</v>
      </c>
      <c r="I251" s="13">
        <v>1.656874293390709E-5</v>
      </c>
      <c r="J251" s="13">
        <v>0.65350329797928974</v>
      </c>
      <c r="K251" s="13">
        <v>12.447222222222219</v>
      </c>
      <c r="L251" s="13">
        <v>2.3954010495979481</v>
      </c>
      <c r="M251" s="13">
        <v>0.21990652194980781</v>
      </c>
      <c r="N251" s="19">
        <f>(F251-Settings!$D$18)/Settings!$E$18</f>
        <v>0.46199846973337472</v>
      </c>
      <c r="O251" s="19">
        <f>(G251-Settings!$D$19)/Settings!$E$19</f>
        <v>0.12341458746935373</v>
      </c>
      <c r="P251" s="19">
        <f>(H251-Settings!$D$20)/Settings!$E$20</f>
        <v>-0.50026106155303085</v>
      </c>
      <c r="Q251" s="19">
        <f>(I251-Settings!$D$21)/Settings!$E$21</f>
        <v>3.6412875340147158E-2</v>
      </c>
      <c r="R251" s="19">
        <f>(J251-Settings!$D$22)/Settings!$E$22</f>
        <v>1.0913990836385254</v>
      </c>
      <c r="S251" s="19">
        <f>(K251-Settings!$D$23)/Settings!$E$23</f>
        <v>-0.97515012538435397</v>
      </c>
      <c r="T251" s="19">
        <f>(L251-Settings!$D$24)/Settings!$E$24</f>
        <v>0.75159459830647324</v>
      </c>
      <c r="U251" s="19">
        <f>(M251-Settings!$D$25)/Settings!$E$25</f>
        <v>0.18427766562730183</v>
      </c>
      <c r="V251" s="31">
        <f>Settings!$B$18*(N251-F$6)^2</f>
        <v>3.4487948795297312E-2</v>
      </c>
      <c r="W251" s="31">
        <f>Settings!$B$19*(O251-G$6)^2</f>
        <v>2.8975712602297143E-2</v>
      </c>
      <c r="X251" s="31">
        <f>Settings!$B$20*(P251-H$6)^2</f>
        <v>1.525502424132732</v>
      </c>
      <c r="Y251" s="31">
        <f>Settings!$B$21*(Q251-I$6)^2</f>
        <v>0.16061563611228835</v>
      </c>
      <c r="Z251" s="31">
        <f>Settings!$B$22*(R251-J$6)^2</f>
        <v>0.1761686022755081</v>
      </c>
      <c r="AA251" s="31">
        <f>Settings!$B$23*(S251-K$6)^2</f>
        <v>7.3061633480039339</v>
      </c>
      <c r="AB251" s="31">
        <f>Settings!$B$24*(T251-L$6)^2</f>
        <v>0.60003806949983585</v>
      </c>
      <c r="AC251" s="31">
        <f>Settings!$B$25*(U251-M$6)^2</f>
        <v>0.13411164013949647</v>
      </c>
      <c r="AD251" s="19">
        <f t="shared" si="12"/>
        <v>3.1569072494391386</v>
      </c>
      <c r="AE251" s="15">
        <f t="shared" si="13"/>
        <v>1.2495611227685659</v>
      </c>
      <c r="AF251" s="33">
        <f t="shared" si="14"/>
        <v>0.45808455235982526</v>
      </c>
      <c r="AG251" s="47">
        <f t="shared" si="15"/>
        <v>1.9777341896818372E-3</v>
      </c>
      <c r="AH251" s="18">
        <v>-0.47406022215503979</v>
      </c>
      <c r="AI251" s="46">
        <v>0</v>
      </c>
      <c r="AJ251" s="18">
        <v>-0.1341691875140851</v>
      </c>
      <c r="AK251" s="46">
        <v>0</v>
      </c>
      <c r="AL251" s="18">
        <v>-0.11925111009289011</v>
      </c>
      <c r="AM251" s="46">
        <v>0</v>
      </c>
      <c r="AN251" s="18">
        <v>-1.1174548776816291</v>
      </c>
      <c r="AO251" s="46">
        <v>0</v>
      </c>
      <c r="AP251" s="18">
        <v>-0.26968646331459661</v>
      </c>
      <c r="AQ251" s="46">
        <v>0</v>
      </c>
    </row>
    <row r="252" spans="1:43" ht="20" customHeight="1" x14ac:dyDescent="0.45">
      <c r="A252" s="26">
        <v>242</v>
      </c>
      <c r="B252" s="16" t="s">
        <v>468</v>
      </c>
      <c r="C252" s="16" t="s">
        <v>210</v>
      </c>
      <c r="D252" s="46">
        <v>26</v>
      </c>
      <c r="E252" s="46">
        <v>0</v>
      </c>
      <c r="F252" s="13">
        <v>0.52824619435382469</v>
      </c>
      <c r="G252" s="13">
        <v>0.21222996030510319</v>
      </c>
      <c r="H252" s="13">
        <v>5.9580627189926754E-3</v>
      </c>
      <c r="I252" s="13">
        <v>0.17431919658754011</v>
      </c>
      <c r="J252" s="13">
        <v>-7.9246586034539365E-2</v>
      </c>
      <c r="K252" s="13">
        <v>15.336316872427959</v>
      </c>
      <c r="L252" s="13">
        <v>0.92516685815928201</v>
      </c>
      <c r="M252" s="13">
        <v>6.8759029218809831E-2</v>
      </c>
      <c r="N252" s="19">
        <f>(F252-Settings!$D$18)/Settings!$E$18</f>
        <v>1.2022501317281442</v>
      </c>
      <c r="O252" s="19">
        <f>(G252-Settings!$D$19)/Settings!$E$19</f>
        <v>0.91184805147629178</v>
      </c>
      <c r="P252" s="19">
        <f>(H252-Settings!$D$20)/Settings!$E$20</f>
        <v>-0.42736141681631445</v>
      </c>
      <c r="Q252" s="19">
        <f>(I252-Settings!$D$21)/Settings!$E$21</f>
        <v>2.1798658958689159</v>
      </c>
      <c r="R252" s="19">
        <f>(J252-Settings!$D$22)/Settings!$E$22</f>
        <v>-0.88009897759378664</v>
      </c>
      <c r="S252" s="19">
        <f>(K252-Settings!$D$23)/Settings!$E$23</f>
        <v>2.8165993901834767E-2</v>
      </c>
      <c r="T252" s="19">
        <f>(L252-Settings!$D$24)/Settings!$E$24</f>
        <v>-0.26485871766733826</v>
      </c>
      <c r="U252" s="19">
        <f>(M252-Settings!$D$25)/Settings!$E$25</f>
        <v>8.2342113123904423E-2</v>
      </c>
      <c r="V252" s="31">
        <f>Settings!$B$18*(N252-F$6)^2</f>
        <v>0.26704081487660153</v>
      </c>
      <c r="W252" s="31">
        <f>Settings!$B$19*(O252-G$6)^2</f>
        <v>3.3260868879957939E-2</v>
      </c>
      <c r="X252" s="31">
        <f>Settings!$B$20*(P252-H$6)^2</f>
        <v>1.4460317434066359</v>
      </c>
      <c r="Y252" s="31">
        <f>Settings!$B$21*(Q252-I$6)^2</f>
        <v>1.8478327987880698</v>
      </c>
      <c r="Z252" s="31">
        <f>Settings!$B$22*(R252-J$6)^2</f>
        <v>0.21340362344764308</v>
      </c>
      <c r="AA252" s="31">
        <f>Settings!$B$23*(S252-K$6)^2</f>
        <v>2.8888965877766801</v>
      </c>
      <c r="AB252" s="31">
        <f>Settings!$B$24*(T252-L$6)^2</f>
        <v>3.2079480743996642</v>
      </c>
      <c r="AC252" s="31">
        <f>Settings!$B$25*(U252-M$6)^2</f>
        <v>6.9842337440245691E-2</v>
      </c>
      <c r="AD252" s="19">
        <f t="shared" si="12"/>
        <v>3.1582046876375034</v>
      </c>
      <c r="AE252" s="15">
        <f t="shared" si="13"/>
        <v>1.250074672329504</v>
      </c>
      <c r="AF252" s="33">
        <f t="shared" si="14"/>
        <v>0.4577906281351028</v>
      </c>
      <c r="AG252" s="47">
        <f t="shared" si="15"/>
        <v>1.9764652012703859E-3</v>
      </c>
      <c r="AH252" s="18">
        <v>0.2873587913539315</v>
      </c>
      <c r="AI252" s="46">
        <v>0</v>
      </c>
      <c r="AJ252" s="18">
        <v>0.13399236085311619</v>
      </c>
      <c r="AK252" s="46">
        <v>0</v>
      </c>
      <c r="AL252" s="18">
        <v>-1.0334339195309401</v>
      </c>
      <c r="AM252" s="46">
        <v>0</v>
      </c>
      <c r="AN252" s="18">
        <v>-0.35828981866076032</v>
      </c>
      <c r="AO252" s="46">
        <v>0</v>
      </c>
      <c r="AP252" s="18">
        <v>0.76865876327695126</v>
      </c>
      <c r="AQ252" s="46">
        <v>0</v>
      </c>
    </row>
    <row r="253" spans="1:43" ht="20" customHeight="1" x14ac:dyDescent="0.45">
      <c r="A253" s="26">
        <v>243</v>
      </c>
      <c r="B253" s="16" t="s">
        <v>469</v>
      </c>
      <c r="C253" s="16" t="s">
        <v>218</v>
      </c>
      <c r="D253" s="46">
        <v>26</v>
      </c>
      <c r="E253" s="46">
        <v>0</v>
      </c>
      <c r="F253" s="13">
        <v>0.2429323052387167</v>
      </c>
      <c r="G253" s="13">
        <v>-0.19804202905912349</v>
      </c>
      <c r="H253" s="13">
        <v>3.9368674909176999E-3</v>
      </c>
      <c r="I253" s="13">
        <v>0.1509921051285105</v>
      </c>
      <c r="J253" s="13">
        <v>0.40409669308273172</v>
      </c>
      <c r="K253" s="13">
        <v>14.224923547400611</v>
      </c>
      <c r="L253" s="13">
        <v>2.0472754976999918</v>
      </c>
      <c r="M253" s="13">
        <v>-2.0392556397072399</v>
      </c>
      <c r="N253" s="19">
        <f>(F253-Settings!$D$18)/Settings!$E$18</f>
        <v>0.18112950858165941</v>
      </c>
      <c r="O253" s="19">
        <f>(G253-Settings!$D$19)/Settings!$E$19</f>
        <v>-0.79739734796092498</v>
      </c>
      <c r="P253" s="19">
        <f>(H253-Settings!$D$20)/Settings!$E$20</f>
        <v>-0.44567383425481771</v>
      </c>
      <c r="Q253" s="19">
        <f>(I253-Settings!$D$21)/Settings!$E$21</f>
        <v>1.893005478063946</v>
      </c>
      <c r="R253" s="19">
        <f>(J253-Settings!$D$22)/Settings!$E$22</f>
        <v>0.42035887095550639</v>
      </c>
      <c r="S253" s="19">
        <f>(K253-Settings!$D$23)/Settings!$E$23</f>
        <v>-0.35779534446678035</v>
      </c>
      <c r="T253" s="19">
        <f>(L253-Settings!$D$24)/Settings!$E$24</f>
        <v>0.51091636237479809</v>
      </c>
      <c r="U253" s="19">
        <f>(M253-Settings!$D$25)/Settings!$E$25</f>
        <v>-1.3393264576189459</v>
      </c>
      <c r="V253" s="31">
        <f>Settings!$B$18*(N253-F$6)^2</f>
        <v>3.6121175368954632E-3</v>
      </c>
      <c r="W253" s="31">
        <f>Settings!$B$19*(O253-G$6)^2</f>
        <v>0.33874978878336298</v>
      </c>
      <c r="X253" s="31">
        <f>Settings!$B$20*(P253-H$6)^2</f>
        <v>1.4657948826719949</v>
      </c>
      <c r="Y253" s="31">
        <f>Settings!$B$21*(Q253-I$6)^2</f>
        <v>1.5155142868986062</v>
      </c>
      <c r="Z253" s="31">
        <f>Settings!$B$22*(R253-J$6)^2</f>
        <v>1.4310410950086831E-2</v>
      </c>
      <c r="AA253" s="31">
        <f>Settings!$B$23*(S253-K$6)^2</f>
        <v>4.3498807546415348</v>
      </c>
      <c r="AB253" s="31">
        <f>Settings!$B$24*(T253-L$6)^2</f>
        <v>1.0308330311232952</v>
      </c>
      <c r="AC253" s="31">
        <f>Settings!$B$25*(U253-M$6)^2</f>
        <v>1.3395552273938724</v>
      </c>
      <c r="AD253" s="19">
        <f t="shared" si="12"/>
        <v>3.1714744993456354</v>
      </c>
      <c r="AE253" s="15">
        <f t="shared" si="13"/>
        <v>1.2553271043798555</v>
      </c>
      <c r="AF253" s="33">
        <f t="shared" si="14"/>
        <v>0.45478837892168367</v>
      </c>
      <c r="AG253" s="47">
        <f t="shared" si="15"/>
        <v>1.9635032908878231E-3</v>
      </c>
      <c r="AH253" s="18">
        <v>-0.83784277686853237</v>
      </c>
      <c r="AI253" s="46">
        <v>0</v>
      </c>
      <c r="AJ253" s="18">
        <v>-0.62007280994691483</v>
      </c>
      <c r="AK253" s="46">
        <v>0</v>
      </c>
      <c r="AL253" s="18">
        <v>0.81097931690100467</v>
      </c>
      <c r="AM253" s="46">
        <v>0</v>
      </c>
      <c r="AN253" s="18">
        <v>0.74259976714912845</v>
      </c>
      <c r="AO253" s="46">
        <v>0</v>
      </c>
      <c r="AP253" s="18">
        <v>-1.108716625570924</v>
      </c>
      <c r="AQ253" s="46">
        <v>1</v>
      </c>
    </row>
    <row r="254" spans="1:43" ht="20" customHeight="1" x14ac:dyDescent="0.45">
      <c r="A254" s="26">
        <v>244</v>
      </c>
      <c r="B254" s="16" t="s">
        <v>470</v>
      </c>
      <c r="C254" s="16" t="s">
        <v>232</v>
      </c>
      <c r="D254" s="46">
        <v>26</v>
      </c>
      <c r="E254" s="46">
        <v>0</v>
      </c>
      <c r="F254" s="13">
        <v>0.19911456609024769</v>
      </c>
      <c r="G254" s="13">
        <v>-0.4252051864059927</v>
      </c>
      <c r="H254" s="13">
        <v>5.35969558629312E-2</v>
      </c>
      <c r="I254" s="13">
        <v>-1.561540845599161E-5</v>
      </c>
      <c r="J254" s="13">
        <v>0.32206767623237231</v>
      </c>
      <c r="K254" s="13">
        <v>15.58582089552241</v>
      </c>
      <c r="L254" s="13">
        <v>0.21644998945380231</v>
      </c>
      <c r="M254" s="13">
        <v>0.21640690046466809</v>
      </c>
      <c r="N254" s="19">
        <f>(F254-Settings!$D$18)/Settings!$E$18</f>
        <v>2.4308551694757027E-2</v>
      </c>
      <c r="O254" s="19">
        <f>(G254-Settings!$D$19)/Settings!$E$19</f>
        <v>-1.7437880148413492</v>
      </c>
      <c r="P254" s="19">
        <f>(H254-Settings!$D$20)/Settings!$E$20</f>
        <v>4.2561159397493647E-3</v>
      </c>
      <c r="Q254" s="19">
        <f>(I254-Settings!$D$21)/Settings!$E$21</f>
        <v>3.6017096932426683E-2</v>
      </c>
      <c r="R254" s="19">
        <f>(J254-Settings!$D$22)/Settings!$E$22</f>
        <v>0.19965593914552457</v>
      </c>
      <c r="S254" s="19">
        <f>(K254-Settings!$D$23)/Settings!$E$23</f>
        <v>0.11481300222314027</v>
      </c>
      <c r="T254" s="19">
        <f>(L254-Settings!$D$24)/Settings!$E$24</f>
        <v>-0.75483345466985019</v>
      </c>
      <c r="U254" s="19">
        <f>(M254-Settings!$D$25)/Settings!$E$25</f>
        <v>0.18191748192067977</v>
      </c>
      <c r="V254" s="31">
        <f>Settings!$B$18*(N254-F$6)^2</f>
        <v>1.0063238334461313E-4</v>
      </c>
      <c r="W254" s="31">
        <f>Settings!$B$19*(O254-G$6)^2</f>
        <v>1.0105495329084035</v>
      </c>
      <c r="X254" s="31">
        <f>Settings!$B$20*(P254-H$6)^2</f>
        <v>1.0190607151063296</v>
      </c>
      <c r="Y254" s="31">
        <f>Settings!$B$21*(Q254-I$6)^2</f>
        <v>0.16047379729904088</v>
      </c>
      <c r="Z254" s="31">
        <f>Settings!$B$22*(R254-J$6)^2</f>
        <v>4.3784634305233544E-4</v>
      </c>
      <c r="AA254" s="31">
        <f>Settings!$B$23*(S254-K$6)^2</f>
        <v>2.6018607085327132</v>
      </c>
      <c r="AB254" s="31">
        <f>Settings!$B$24*(T254-L$6)^2</f>
        <v>5.2031858888865452</v>
      </c>
      <c r="AC254" s="31">
        <f>Settings!$B$25*(U254-M$6)^2</f>
        <v>0.13238855276539269</v>
      </c>
      <c r="AD254" s="19">
        <f t="shared" si="12"/>
        <v>3.182460946221465</v>
      </c>
      <c r="AE254" s="15">
        <f t="shared" si="13"/>
        <v>1.2596757392331086</v>
      </c>
      <c r="AF254" s="33">
        <f t="shared" si="14"/>
        <v>0.45230819506821784</v>
      </c>
      <c r="AG254" s="47">
        <f t="shared" si="15"/>
        <v>1.9527953454257303E-3</v>
      </c>
      <c r="AH254" s="18">
        <v>0.71877269884465522</v>
      </c>
      <c r="AI254" s="46">
        <v>0</v>
      </c>
      <c r="AJ254" s="18">
        <v>-0.3459454303092625</v>
      </c>
      <c r="AK254" s="46">
        <v>0</v>
      </c>
      <c r="AL254" s="18">
        <v>-0.81941972980133215</v>
      </c>
      <c r="AM254" s="46">
        <v>1</v>
      </c>
      <c r="AN254" s="18">
        <v>0.5537626696070268</v>
      </c>
      <c r="AO254" s="46">
        <v>1</v>
      </c>
      <c r="AP254" s="18">
        <v>8.5680079859852376E-2</v>
      </c>
      <c r="AQ254" s="46">
        <v>1</v>
      </c>
    </row>
    <row r="255" spans="1:43" ht="20" customHeight="1" x14ac:dyDescent="0.45">
      <c r="A255" s="26">
        <v>245</v>
      </c>
      <c r="B255" s="16" t="s">
        <v>471</v>
      </c>
      <c r="C255" s="16" t="s">
        <v>260</v>
      </c>
      <c r="D255" s="46">
        <v>26</v>
      </c>
      <c r="E255" s="46">
        <v>1</v>
      </c>
      <c r="F255" s="13">
        <v>-0.18289605963806799</v>
      </c>
      <c r="G255" s="13">
        <v>0.235618265881504</v>
      </c>
      <c r="H255" s="13">
        <v>-1.275100398643507E-3</v>
      </c>
      <c r="I255" s="13">
        <v>0.1828193988194034</v>
      </c>
      <c r="J255" s="13">
        <v>0.39739117526238099</v>
      </c>
      <c r="K255" s="13">
        <v>15.18928571428569</v>
      </c>
      <c r="L255" s="13">
        <v>1.112453386452811</v>
      </c>
      <c r="M255" s="13">
        <v>0.56642551586004708</v>
      </c>
      <c r="N255" s="19">
        <f>(F255-Settings!$D$18)/Settings!$E$18</f>
        <v>-1.3428836638755881</v>
      </c>
      <c r="O255" s="19">
        <f>(G255-Settings!$D$19)/Settings!$E$19</f>
        <v>1.0092867134942467</v>
      </c>
      <c r="P255" s="19">
        <f>(H255-Settings!$D$20)/Settings!$E$20</f>
        <v>-0.49289526558613045</v>
      </c>
      <c r="Q255" s="19">
        <f>(I255-Settings!$D$21)/Settings!$E$21</f>
        <v>2.2843954969099052</v>
      </c>
      <c r="R255" s="19">
        <f>(J255-Settings!$D$22)/Settings!$E$22</f>
        <v>0.40231735956015191</v>
      </c>
      <c r="S255" s="19">
        <f>(K255-Settings!$D$23)/Settings!$E$23</f>
        <v>-2.2894545423503793E-2</v>
      </c>
      <c r="T255" s="19">
        <f>(L255-Settings!$D$24)/Settings!$E$24</f>
        <v>-0.13537729638784804</v>
      </c>
      <c r="U255" s="19">
        <f>(M255-Settings!$D$25)/Settings!$E$25</f>
        <v>0.41797393447660663</v>
      </c>
      <c r="V255" s="31">
        <f>Settings!$B$18*(N255-F$6)^2</f>
        <v>0.38621068686139437</v>
      </c>
      <c r="W255" s="31">
        <f>Settings!$B$19*(O255-G$6)^2</f>
        <v>5.1054089465032551E-2</v>
      </c>
      <c r="X255" s="31">
        <f>Settings!$B$20*(P255-H$6)^2</f>
        <v>1.5173761474678378</v>
      </c>
      <c r="Y255" s="31">
        <f>Settings!$B$21*(Q255-I$6)^2</f>
        <v>1.9771093277629568</v>
      </c>
      <c r="Z255" s="31">
        <f>Settings!$B$22*(R255-J$6)^2</f>
        <v>1.2445125047938623E-2</v>
      </c>
      <c r="AA255" s="31">
        <f>Settings!$B$23*(S255-K$6)^2</f>
        <v>3.0650764553343031</v>
      </c>
      <c r="AB255" s="31">
        <f>Settings!$B$24*(T255-L$6)^2</f>
        <v>2.7608917539307583</v>
      </c>
      <c r="AC255" s="31">
        <f>Settings!$B$25*(U255-M$6)^2</f>
        <v>0.35989060463131656</v>
      </c>
      <c r="AD255" s="19">
        <f t="shared" si="12"/>
        <v>3.1827746056705832</v>
      </c>
      <c r="AE255" s="15">
        <f t="shared" si="13"/>
        <v>1.2597998913295876</v>
      </c>
      <c r="AF255" s="33">
        <f t="shared" si="14"/>
        <v>0.45223746000935011</v>
      </c>
      <c r="AG255" s="47">
        <f t="shared" si="15"/>
        <v>1.9524899538913266E-3</v>
      </c>
      <c r="AH255" s="18">
        <v>6.7284312390340162E-2</v>
      </c>
      <c r="AI255" s="46">
        <v>1</v>
      </c>
      <c r="AJ255" s="18">
        <v>-0.98210505464775188</v>
      </c>
      <c r="AK255" s="46">
        <v>1</v>
      </c>
      <c r="AL255" s="18">
        <v>-0.66886524497369593</v>
      </c>
      <c r="AM255" s="46">
        <v>1</v>
      </c>
      <c r="AN255" s="18">
        <v>-0.35813415553651529</v>
      </c>
      <c r="AO255" s="46">
        <v>1</v>
      </c>
      <c r="AP255" s="18">
        <v>0.73207235165509121</v>
      </c>
      <c r="AQ255" s="46">
        <v>1</v>
      </c>
    </row>
    <row r="256" spans="1:43" ht="20" customHeight="1" x14ac:dyDescent="0.45">
      <c r="A256" s="26">
        <v>246</v>
      </c>
      <c r="B256" s="16" t="s">
        <v>472</v>
      </c>
      <c r="C256" s="16" t="s">
        <v>229</v>
      </c>
      <c r="D256" s="46">
        <v>26</v>
      </c>
      <c r="E256" s="46">
        <v>1</v>
      </c>
      <c r="F256" s="13">
        <v>0.39871834811260648</v>
      </c>
      <c r="G256" s="13">
        <v>0.22273607456073891</v>
      </c>
      <c r="H256" s="13">
        <v>-7.1069601868251134E-3</v>
      </c>
      <c r="I256" s="13">
        <v>0.1858896289385098</v>
      </c>
      <c r="J256" s="13">
        <v>0.1855489882013199</v>
      </c>
      <c r="K256" s="13">
        <v>15.202795031055899</v>
      </c>
      <c r="L256" s="13">
        <v>1.604184519076457</v>
      </c>
      <c r="M256" s="13">
        <v>1.5621077177536611</v>
      </c>
      <c r="N256" s="19">
        <f>(F256-Settings!$D$18)/Settings!$E$18</f>
        <v>0.73867804458276876</v>
      </c>
      <c r="O256" s="19">
        <f>(G256-Settings!$D$19)/Settings!$E$19</f>
        <v>0.95561786253562042</v>
      </c>
      <c r="P256" s="19">
        <f>(H256-Settings!$D$20)/Settings!$E$20</f>
        <v>-0.54573303672302176</v>
      </c>
      <c r="Q256" s="19">
        <f>(I256-Settings!$D$21)/Settings!$E$21</f>
        <v>2.3221510609188654</v>
      </c>
      <c r="R256" s="19">
        <f>(J256-Settings!$D$22)/Settings!$E$22</f>
        <v>-0.16765401838170052</v>
      </c>
      <c r="S256" s="19">
        <f>(K256-Settings!$D$23)/Settings!$E$23</f>
        <v>-1.8203070440111033E-2</v>
      </c>
      <c r="T256" s="19">
        <f>(L256-Settings!$D$24)/Settings!$E$24</f>
        <v>0.20458333249248917</v>
      </c>
      <c r="U256" s="19">
        <f>(M256-Settings!$D$25)/Settings!$E$25</f>
        <v>1.0894731008468981</v>
      </c>
      <c r="V256" s="31">
        <f>Settings!$B$18*(N256-F$6)^2</f>
        <v>9.5755700593953663E-2</v>
      </c>
      <c r="W256" s="31">
        <f>Settings!$B$19*(O256-G$6)^2</f>
        <v>4.078383495813398E-2</v>
      </c>
      <c r="X256" s="31">
        <f>Settings!$B$20*(P256-H$6)^2</f>
        <v>1.5761496753457278</v>
      </c>
      <c r="Y256" s="31">
        <f>Settings!$B$21*(Q256-I$6)^2</f>
        <v>2.0248777684979955</v>
      </c>
      <c r="Z256" s="31">
        <f>Settings!$B$22*(R256-J$6)^2</f>
        <v>2.0546707805298506E-2</v>
      </c>
      <c r="AA256" s="31">
        <f>Settings!$B$23*(S256-K$6)^2</f>
        <v>3.0486713972101973</v>
      </c>
      <c r="AB256" s="31">
        <f>Settings!$B$24*(T256-L$6)^2</f>
        <v>1.7467124873182533</v>
      </c>
      <c r="AC256" s="31">
        <f>Settings!$B$25*(U256-M$6)^2</f>
        <v>1.6164782939111237</v>
      </c>
      <c r="AD256" s="19">
        <f t="shared" si="12"/>
        <v>3.1890399598689076</v>
      </c>
      <c r="AE256" s="15">
        <f t="shared" si="13"/>
        <v>1.2622798321096</v>
      </c>
      <c r="AF256" s="33">
        <f t="shared" si="14"/>
        <v>0.45082538505587488</v>
      </c>
      <c r="AG256" s="47">
        <f t="shared" si="15"/>
        <v>1.9463934616619015E-3</v>
      </c>
      <c r="AH256" s="18">
        <v>0.67839577313080968</v>
      </c>
      <c r="AI256" s="46">
        <v>1</v>
      </c>
      <c r="AJ256" s="18">
        <v>-6.6093298077948059E-2</v>
      </c>
      <c r="AK256" s="46">
        <v>1</v>
      </c>
      <c r="AL256" s="18">
        <v>-0.63694164500791683</v>
      </c>
      <c r="AM256" s="46">
        <v>1</v>
      </c>
      <c r="AN256" s="48"/>
      <c r="AO256" s="48"/>
      <c r="AP256" s="48"/>
      <c r="AQ256" s="48"/>
    </row>
    <row r="257" spans="1:43" ht="20" customHeight="1" x14ac:dyDescent="0.45">
      <c r="A257" s="26">
        <v>247</v>
      </c>
      <c r="B257" s="16" t="s">
        <v>473</v>
      </c>
      <c r="C257" s="16" t="s">
        <v>260</v>
      </c>
      <c r="D257" s="46">
        <v>26</v>
      </c>
      <c r="E257" s="46">
        <v>1</v>
      </c>
      <c r="F257" s="13">
        <v>0.40522446680247881</v>
      </c>
      <c r="G257" s="13">
        <v>2.3702660357407829E-2</v>
      </c>
      <c r="H257" s="13">
        <v>0.15513333347845881</v>
      </c>
      <c r="I257" s="13">
        <v>7.4101764554191675E-4</v>
      </c>
      <c r="J257" s="13">
        <v>-0.41519852171611282</v>
      </c>
      <c r="K257" s="13">
        <v>14.35860215053763</v>
      </c>
      <c r="L257" s="13">
        <v>0.41669344659238261</v>
      </c>
      <c r="M257" s="13">
        <v>-4.2679884780657762E-2</v>
      </c>
      <c r="N257" s="19">
        <f>(F257-Settings!$D$18)/Settings!$E$18</f>
        <v>0.76196303779313135</v>
      </c>
      <c r="O257" s="19">
        <f>(G257-Settings!$D$19)/Settings!$E$19</f>
        <v>0.12641929090388915</v>
      </c>
      <c r="P257" s="19">
        <f>(H257-Settings!$D$20)/Settings!$E$20</f>
        <v>0.92419522239605134</v>
      </c>
      <c r="Q257" s="19">
        <f>(I257-Settings!$D$21)/Settings!$E$21</f>
        <v>4.5321646296246909E-2</v>
      </c>
      <c r="R257" s="19">
        <f>(J257-Settings!$D$22)/Settings!$E$22</f>
        <v>-1.783993477358681</v>
      </c>
      <c r="S257" s="19">
        <f>(K257-Settings!$D$23)/Settings!$E$23</f>
        <v>-0.3113718403695776</v>
      </c>
      <c r="T257" s="19">
        <f>(L257-Settings!$D$24)/Settings!$E$24</f>
        <v>-0.61639419975672527</v>
      </c>
      <c r="U257" s="19">
        <f>(M257-Settings!$D$25)/Settings!$E$25</f>
        <v>7.1864683714549888E-3</v>
      </c>
      <c r="V257" s="31">
        <f>Settings!$B$18*(N257-F$6)^2</f>
        <v>0.10230884949558142</v>
      </c>
      <c r="W257" s="31">
        <f>Settings!$B$19*(O257-G$6)^2</f>
        <v>2.8520047144315844E-2</v>
      </c>
      <c r="X257" s="31">
        <f>Settings!$B$20*(P257-H$6)^2</f>
        <v>0.3576950165807134</v>
      </c>
      <c r="Y257" s="31">
        <f>Settings!$B$21*(Q257-I$6)^2</f>
        <v>0.16382493418345878</v>
      </c>
      <c r="Z257" s="31">
        <f>Settings!$B$22*(R257-J$6)^2</f>
        <v>0.7502854791346153</v>
      </c>
      <c r="AA257" s="31">
        <f>Settings!$B$23*(S257-K$6)^2</f>
        <v>4.158390761692889</v>
      </c>
      <c r="AB257" s="31">
        <f>Settings!$B$24*(T257-L$6)^2</f>
        <v>4.5907777863857913</v>
      </c>
      <c r="AC257" s="31">
        <f>Settings!$B$25*(U257-M$6)^2</f>
        <v>3.5766890382122052E-2</v>
      </c>
      <c r="AD257" s="19">
        <f t="shared" si="12"/>
        <v>3.1917972625151942</v>
      </c>
      <c r="AE257" s="15">
        <f t="shared" si="13"/>
        <v>1.2633712224857723</v>
      </c>
      <c r="AF257" s="33">
        <f t="shared" si="14"/>
        <v>0.45020446943081521</v>
      </c>
      <c r="AG257" s="47">
        <f t="shared" si="15"/>
        <v>1.9437127206190915E-3</v>
      </c>
      <c r="AH257" s="18">
        <v>0.4913774204053824</v>
      </c>
      <c r="AI257" s="46">
        <v>1</v>
      </c>
      <c r="AJ257" s="48"/>
      <c r="AK257" s="48"/>
      <c r="AL257" s="48"/>
      <c r="AM257" s="48"/>
      <c r="AN257" s="48"/>
      <c r="AO257" s="48"/>
      <c r="AP257" s="48"/>
      <c r="AQ257" s="48"/>
    </row>
    <row r="258" spans="1:43" ht="20" customHeight="1" x14ac:dyDescent="0.45">
      <c r="A258" s="26">
        <v>248</v>
      </c>
      <c r="B258" s="16" t="s">
        <v>474</v>
      </c>
      <c r="C258" s="16" t="s">
        <v>234</v>
      </c>
      <c r="D258" s="46">
        <v>26</v>
      </c>
      <c r="E258" s="46">
        <v>1</v>
      </c>
      <c r="F258" s="13">
        <v>-0.45844082379801948</v>
      </c>
      <c r="G258" s="13">
        <v>0.34262324773121061</v>
      </c>
      <c r="H258" s="13">
        <v>0.13442693777669659</v>
      </c>
      <c r="I258" s="13">
        <v>4.5818996813669487E-2</v>
      </c>
      <c r="J258" s="13">
        <v>1.8689993880403561E-2</v>
      </c>
      <c r="K258" s="13">
        <v>16.411982570806149</v>
      </c>
      <c r="L258" s="13">
        <v>0.1241887292121714</v>
      </c>
      <c r="M258" s="13">
        <v>0.83999248007770888</v>
      </c>
      <c r="N258" s="19">
        <f>(F258-Settings!$D$18)/Settings!$E$18</f>
        <v>-2.329041197798678</v>
      </c>
      <c r="O258" s="19">
        <f>(G258-Settings!$D$19)/Settings!$E$19</f>
        <v>1.4550831063381728</v>
      </c>
      <c r="P258" s="19">
        <f>(H258-Settings!$D$20)/Settings!$E$20</f>
        <v>0.73659129553608127</v>
      </c>
      <c r="Q258" s="19">
        <f>(I258-Settings!$D$21)/Settings!$E$21</f>
        <v>0.59965941963949565</v>
      </c>
      <c r="R258" s="19">
        <f>(J258-Settings!$D$22)/Settings!$E$22</f>
        <v>-0.61659599842116986</v>
      </c>
      <c r="S258" s="19">
        <f>(K258-Settings!$D$23)/Settings!$E$23</f>
        <v>0.40171994931455152</v>
      </c>
      <c r="T258" s="19">
        <f>(L258-Settings!$D$24)/Settings!$E$24</f>
        <v>-0.81861871041659817</v>
      </c>
      <c r="U258" s="19">
        <f>(M258-Settings!$D$25)/Settings!$E$25</f>
        <v>0.60247054199780758</v>
      </c>
      <c r="V258" s="31">
        <f>Settings!$B$18*(N258-F$6)^2</f>
        <v>1.1288670914260088</v>
      </c>
      <c r="W258" s="31">
        <f>Settings!$B$19*(O258-G$6)^2</f>
        <v>0.18089516964049421</v>
      </c>
      <c r="X258" s="31">
        <f>Settings!$B$20*(P258-H$6)^2</f>
        <v>0.46509006789890989</v>
      </c>
      <c r="Y258" s="31">
        <f>Settings!$B$21*(Q258-I$6)^2</f>
        <v>0.42596549139734485</v>
      </c>
      <c r="Z258" s="31">
        <f>Settings!$B$22*(R258-J$6)^2</f>
        <v>0.1184145727483901</v>
      </c>
      <c r="AA258" s="31">
        <f>Settings!$B$23*(S258-K$6)^2</f>
        <v>1.7585981813022302</v>
      </c>
      <c r="AB258" s="31">
        <f>Settings!$B$24*(T258-L$6)^2</f>
        <v>5.4982490731168161</v>
      </c>
      <c r="AC258" s="31">
        <f>Settings!$B$25*(U258-M$6)^2</f>
        <v>0.61529189083038682</v>
      </c>
      <c r="AD258" s="19">
        <f t="shared" si="12"/>
        <v>3.1923927606672367</v>
      </c>
      <c r="AE258" s="15">
        <f t="shared" si="13"/>
        <v>1.2636069314504892</v>
      </c>
      <c r="AF258" s="33">
        <f t="shared" si="14"/>
        <v>0.45007041143386867</v>
      </c>
      <c r="AG258" s="47">
        <f t="shared" si="15"/>
        <v>1.9431339386396609E-3</v>
      </c>
      <c r="AH258" s="18">
        <v>1.232357934515286</v>
      </c>
      <c r="AI258" s="46">
        <v>1</v>
      </c>
      <c r="AJ258" s="18">
        <v>0.27463064849924651</v>
      </c>
      <c r="AK258" s="46">
        <v>1</v>
      </c>
      <c r="AL258" s="48"/>
      <c r="AM258" s="48"/>
      <c r="AN258" s="48"/>
      <c r="AO258" s="48"/>
      <c r="AP258" s="18">
        <v>0.94399348611632317</v>
      </c>
      <c r="AQ258" s="46">
        <v>1</v>
      </c>
    </row>
    <row r="259" spans="1:43" ht="20" customHeight="1" x14ac:dyDescent="0.45">
      <c r="A259" s="26">
        <v>249</v>
      </c>
      <c r="B259" s="16" t="s">
        <v>475</v>
      </c>
      <c r="C259" s="16" t="s">
        <v>218</v>
      </c>
      <c r="D259" s="46">
        <v>26</v>
      </c>
      <c r="E259" s="46">
        <v>0</v>
      </c>
      <c r="F259" s="13">
        <v>0.29784603425851902</v>
      </c>
      <c r="G259" s="13">
        <v>-7.8478460339571524E-2</v>
      </c>
      <c r="H259" s="13">
        <v>3.026936152279773E-3</v>
      </c>
      <c r="I259" s="13">
        <v>1.7031576640041241E-4</v>
      </c>
      <c r="J259" s="13">
        <v>0.62047825348322916</v>
      </c>
      <c r="K259" s="13">
        <v>12.935339506172831</v>
      </c>
      <c r="L259" s="13">
        <v>1.995515219788921</v>
      </c>
      <c r="M259" s="13">
        <v>0.96412378665855569</v>
      </c>
      <c r="N259" s="19">
        <f>(F259-Settings!$D$18)/Settings!$E$18</f>
        <v>0.37766232151238655</v>
      </c>
      <c r="O259" s="19">
        <f>(G259-Settings!$D$19)/Settings!$E$19</f>
        <v>-0.29928028154632702</v>
      </c>
      <c r="P259" s="19">
        <f>(H259-Settings!$D$20)/Settings!$E$20</f>
        <v>-0.45391798716100873</v>
      </c>
      <c r="Q259" s="19">
        <f>(I259-Settings!$D$21)/Settings!$E$21</f>
        <v>3.8303549771862483E-2</v>
      </c>
      <c r="R259" s="19">
        <f>(J259-Settings!$D$22)/Settings!$E$22</f>
        <v>1.0025436465834641</v>
      </c>
      <c r="S259" s="19">
        <f>(K259-Settings!$D$23)/Settings!$E$23</f>
        <v>-0.80563821996617513</v>
      </c>
      <c r="T259" s="19">
        <f>(L259-Settings!$D$24)/Settings!$E$24</f>
        <v>0.47513165105139205</v>
      </c>
      <c r="U259" s="19">
        <f>(M259-Settings!$D$25)/Settings!$E$25</f>
        <v>0.6861860776686961</v>
      </c>
      <c r="V259" s="31">
        <f>Settings!$B$18*(N259-F$6)^2</f>
        <v>2.1901940050501376E-2</v>
      </c>
      <c r="W259" s="31">
        <f>Settings!$B$19*(O259-G$6)^2</f>
        <v>0.12906590146956629</v>
      </c>
      <c r="X259" s="31">
        <f>Settings!$B$20*(P259-H$6)^2</f>
        <v>1.4747359301119101</v>
      </c>
      <c r="Y259" s="31">
        <f>Settings!$B$21*(Q259-I$6)^2</f>
        <v>0.16129407939643803</v>
      </c>
      <c r="Z259" s="31">
        <f>Settings!$B$22*(R259-J$6)^2</f>
        <v>0.14439017840885313</v>
      </c>
      <c r="AA259" s="31">
        <f>Settings!$B$23*(S259-K$6)^2</f>
        <v>6.4185191363473404</v>
      </c>
      <c r="AB259" s="31">
        <f>Settings!$B$24*(T259-L$6)^2</f>
        <v>1.1047779741805013</v>
      </c>
      <c r="AC259" s="31">
        <f>Settings!$B$25*(U259-M$6)^2</f>
        <v>0.75363402455810469</v>
      </c>
      <c r="AD259" s="19">
        <f t="shared" si="12"/>
        <v>3.1950460348050096</v>
      </c>
      <c r="AE259" s="15">
        <f t="shared" si="13"/>
        <v>1.2646571454569975</v>
      </c>
      <c r="AF259" s="33">
        <f t="shared" si="14"/>
        <v>0.44947329028667693</v>
      </c>
      <c r="AG259" s="47">
        <f t="shared" si="15"/>
        <v>1.940555927872654E-3</v>
      </c>
      <c r="AH259" s="18">
        <v>0.76147087123011215</v>
      </c>
      <c r="AI259" s="46">
        <v>0</v>
      </c>
      <c r="AJ259" s="18">
        <v>-0.62119451183182806</v>
      </c>
      <c r="AK259" s="46">
        <v>0</v>
      </c>
      <c r="AL259" s="18">
        <v>-1.2278803543034611</v>
      </c>
      <c r="AM259" s="46">
        <v>0</v>
      </c>
      <c r="AN259" s="18">
        <v>0.77822996100904296</v>
      </c>
      <c r="AO259" s="46">
        <v>0</v>
      </c>
      <c r="AP259" s="18">
        <v>0.43133772455624692</v>
      </c>
      <c r="AQ259" s="46">
        <v>1</v>
      </c>
    </row>
    <row r="260" spans="1:43" ht="20" customHeight="1" x14ac:dyDescent="0.45">
      <c r="A260" s="26">
        <v>250</v>
      </c>
      <c r="B260" s="16" t="s">
        <v>476</v>
      </c>
      <c r="C260" s="16" t="s">
        <v>229</v>
      </c>
      <c r="D260" s="46">
        <v>26</v>
      </c>
      <c r="E260" s="46">
        <v>1</v>
      </c>
      <c r="F260" s="13">
        <v>0.50291551339503271</v>
      </c>
      <c r="G260" s="13">
        <v>0.13603295966371831</v>
      </c>
      <c r="H260" s="13">
        <v>-3.9671527260339561E-2</v>
      </c>
      <c r="I260" s="13">
        <v>3.1405715467183272E-2</v>
      </c>
      <c r="J260" s="13">
        <v>0.28997428421372617</v>
      </c>
      <c r="K260" s="13">
        <v>13.235281385281359</v>
      </c>
      <c r="L260" s="13">
        <v>1.9334423826544651</v>
      </c>
      <c r="M260" s="13">
        <v>0.87637729053340641</v>
      </c>
      <c r="N260" s="19">
        <f>(F260-Settings!$D$18)/Settings!$E$18</f>
        <v>1.1115932036494303</v>
      </c>
      <c r="O260" s="19">
        <f>(G260-Settings!$D$19)/Settings!$E$19</f>
        <v>0.59440163501723564</v>
      </c>
      <c r="P260" s="19">
        <f>(H260-Settings!$D$20)/Settings!$E$20</f>
        <v>-0.84077427651572345</v>
      </c>
      <c r="Q260" s="19">
        <f>(I260-Settings!$D$21)/Settings!$E$21</f>
        <v>0.42241486618732654</v>
      </c>
      <c r="R260" s="19">
        <f>(J260-Settings!$D$22)/Settings!$E$22</f>
        <v>0.11330715694369034</v>
      </c>
      <c r="S260" s="19">
        <f>(K260-Settings!$D$23)/Settings!$E$23</f>
        <v>-0.70147530438390238</v>
      </c>
      <c r="T260" s="19">
        <f>(L260-Settings!$D$24)/Settings!$E$24</f>
        <v>0.43221730345655029</v>
      </c>
      <c r="U260" s="19">
        <f>(M260-Settings!$D$25)/Settings!$E$25</f>
        <v>0.62700886340505568</v>
      </c>
      <c r="V260" s="31">
        <f>Settings!$B$18*(N260-F$6)^2</f>
        <v>0.2267825446046563</v>
      </c>
      <c r="W260" s="31">
        <f>Settings!$B$19*(O260-G$6)^2</f>
        <v>1.6329093040086447E-3</v>
      </c>
      <c r="X260" s="31">
        <f>Settings!$B$20*(P260-H$6)^2</f>
        <v>1.9248633641485811</v>
      </c>
      <c r="Y260" s="31">
        <f>Settings!$B$21*(Q260-I$6)^2</f>
        <v>0.32878084495644966</v>
      </c>
      <c r="Z260" s="31">
        <f>Settings!$B$22*(R260-J$6)^2</f>
        <v>3.1299168966934159E-4</v>
      </c>
      <c r="AA260" s="31">
        <f>Settings!$B$23*(S260-K$6)^2</f>
        <v>5.9015797955305871</v>
      </c>
      <c r="AB260" s="31">
        <f>Settings!$B$24*(T260-L$6)^2</f>
        <v>1.1968327999604615</v>
      </c>
      <c r="AC260" s="31">
        <f>Settings!$B$25*(U260-M$6)^2</f>
        <v>0.65439000553991122</v>
      </c>
      <c r="AD260" s="19">
        <f t="shared" si="12"/>
        <v>3.1992460448884397</v>
      </c>
      <c r="AE260" s="15">
        <f t="shared" si="13"/>
        <v>1.2663195855924885</v>
      </c>
      <c r="AF260" s="33">
        <f t="shared" si="14"/>
        <v>0.44852868296563375</v>
      </c>
      <c r="AG260" s="47">
        <f t="shared" si="15"/>
        <v>1.9364776803416537E-3</v>
      </c>
      <c r="AH260" s="18">
        <v>-0.21052243327181791</v>
      </c>
      <c r="AI260" s="46">
        <v>1</v>
      </c>
      <c r="AJ260" s="18">
        <v>-0.7585412088536585</v>
      </c>
      <c r="AK260" s="46">
        <v>1</v>
      </c>
      <c r="AL260" s="48"/>
      <c r="AM260" s="48"/>
      <c r="AN260" s="48"/>
      <c r="AO260" s="48"/>
      <c r="AP260" s="48"/>
      <c r="AQ260" s="48"/>
    </row>
    <row r="261" spans="1:43" ht="20" customHeight="1" x14ac:dyDescent="0.45">
      <c r="A261" s="26">
        <v>251</v>
      </c>
      <c r="B261" s="16" t="s">
        <v>477</v>
      </c>
      <c r="C261" s="16" t="s">
        <v>236</v>
      </c>
      <c r="D261" s="46">
        <v>26</v>
      </c>
      <c r="E261" s="46">
        <v>0</v>
      </c>
      <c r="F261" s="13">
        <v>-8.6960494810700437E-2</v>
      </c>
      <c r="G261" s="13">
        <v>0.1938362805120577</v>
      </c>
      <c r="H261" s="13">
        <v>-2.278615885709477E-3</v>
      </c>
      <c r="I261" s="13">
        <v>-6.6025817511570495E-2</v>
      </c>
      <c r="J261" s="13">
        <v>0.65089879127996186</v>
      </c>
      <c r="K261" s="13">
        <v>14.096762589928041</v>
      </c>
      <c r="L261" s="13">
        <v>0.78143585773676683</v>
      </c>
      <c r="M261" s="13">
        <v>0.37820968157582568</v>
      </c>
      <c r="N261" s="19">
        <f>(F261-Settings!$D$18)/Settings!$E$18</f>
        <v>-0.99953625782305799</v>
      </c>
      <c r="O261" s="19">
        <f>(G261-Settings!$D$19)/Settings!$E$19</f>
        <v>0.83521763706826979</v>
      </c>
      <c r="P261" s="19">
        <f>(H261-Settings!$D$20)/Settings!$E$20</f>
        <v>-0.50198730887314003</v>
      </c>
      <c r="Q261" s="19">
        <f>(I261-Settings!$D$21)/Settings!$E$21</f>
        <v>-0.7757306594454968</v>
      </c>
      <c r="R261" s="19">
        <f>(J261-Settings!$D$22)/Settings!$E$22</f>
        <v>1.0843915357422851</v>
      </c>
      <c r="S261" s="19">
        <f>(K261-Settings!$D$23)/Settings!$E$23</f>
        <v>-0.40230269713735628</v>
      </c>
      <c r="T261" s="19">
        <f>(L261-Settings!$D$24)/Settings!$E$24</f>
        <v>-0.36422782011267041</v>
      </c>
      <c r="U261" s="19">
        <f>(M261-Settings!$D$25)/Settings!$E$25</f>
        <v>0.29103907958096026</v>
      </c>
      <c r="V261" s="31">
        <f>Settings!$B$18*(N261-F$6)^2</f>
        <v>0.21893872731453104</v>
      </c>
      <c r="W261" s="31">
        <f>Settings!$B$19*(O261-G$6)^2</f>
        <v>2.1935228061300084E-2</v>
      </c>
      <c r="X261" s="31">
        <f>Settings!$B$20*(P261-H$6)^2</f>
        <v>1.527410036668005</v>
      </c>
      <c r="Y261" s="31">
        <f>Settings!$B$21*(Q261-I$6)^2</f>
        <v>1.4112927169650147E-3</v>
      </c>
      <c r="Z261" s="31">
        <f>Settings!$B$22*(R261-J$6)^2</f>
        <v>0.17354769920428564</v>
      </c>
      <c r="AA261" s="31">
        <f>Settings!$B$23*(S261-K$6)^2</f>
        <v>4.5375140020032845</v>
      </c>
      <c r="AB261" s="31">
        <f>Settings!$B$24*(T261-L$6)^2</f>
        <v>3.5737772355183779</v>
      </c>
      <c r="AC261" s="31">
        <f>Settings!$B$25*(U261-M$6)^2</f>
        <v>0.22370438137779053</v>
      </c>
      <c r="AD261" s="19">
        <f t="shared" si="12"/>
        <v>3.2059692142727356</v>
      </c>
      <c r="AE261" s="15">
        <f t="shared" si="13"/>
        <v>1.2689807379231111</v>
      </c>
      <c r="AF261" s="33">
        <f t="shared" si="14"/>
        <v>0.44701816097702346</v>
      </c>
      <c r="AG261" s="47">
        <f t="shared" si="15"/>
        <v>1.9299561528949168E-3</v>
      </c>
      <c r="AH261" s="18">
        <v>6.7155611046735286E-2</v>
      </c>
      <c r="AI261" s="46">
        <v>1</v>
      </c>
      <c r="AJ261" s="18">
        <v>0.29175304857690781</v>
      </c>
      <c r="AK261" s="46">
        <v>1</v>
      </c>
      <c r="AL261" s="18">
        <v>-0.1642770490684955</v>
      </c>
      <c r="AM261" s="46">
        <v>1</v>
      </c>
      <c r="AN261" s="18">
        <v>0.29240995381984258</v>
      </c>
      <c r="AO261" s="46">
        <v>1</v>
      </c>
      <c r="AP261" s="18">
        <v>0.56588907069065231</v>
      </c>
      <c r="AQ261" s="46">
        <v>1</v>
      </c>
    </row>
    <row r="262" spans="1:43" ht="20" customHeight="1" x14ac:dyDescent="0.45">
      <c r="A262" s="26">
        <v>252</v>
      </c>
      <c r="B262" s="16" t="s">
        <v>478</v>
      </c>
      <c r="C262" s="16" t="s">
        <v>229</v>
      </c>
      <c r="D262" s="46">
        <v>26</v>
      </c>
      <c r="E262" s="46">
        <v>1</v>
      </c>
      <c r="F262" s="13">
        <v>0.1268872746926637</v>
      </c>
      <c r="G262" s="13">
        <v>0.20201268046869819</v>
      </c>
      <c r="H262" s="13">
        <v>5.1014311774177394E-3</v>
      </c>
      <c r="I262" s="13">
        <v>2.4326842094188421E-3</v>
      </c>
      <c r="J262" s="13">
        <v>0.66356592945180171</v>
      </c>
      <c r="K262" s="13">
        <v>12.121544715447151</v>
      </c>
      <c r="L262" s="13">
        <v>2.528026281839634</v>
      </c>
      <c r="M262" s="13">
        <v>-0.62027148125120801</v>
      </c>
      <c r="N262" s="19">
        <f>(F262-Settings!$D$18)/Settings!$E$18</f>
        <v>-0.23418842168717544</v>
      </c>
      <c r="O262" s="19">
        <f>(G262-Settings!$D$19)/Settings!$E$19</f>
        <v>0.86928156142124191</v>
      </c>
      <c r="P262" s="19">
        <f>(H262-Settings!$D$20)/Settings!$E$20</f>
        <v>-0.43512266331166138</v>
      </c>
      <c r="Q262" s="19">
        <f>(I262-Settings!$D$21)/Settings!$E$21</f>
        <v>6.612459029604803E-2</v>
      </c>
      <c r="R262" s="19">
        <f>(J262-Settings!$D$22)/Settings!$E$22</f>
        <v>1.1184730673698939</v>
      </c>
      <c r="S262" s="19">
        <f>(K262-Settings!$D$23)/Settings!$E$23</f>
        <v>-1.0882504325041273</v>
      </c>
      <c r="T262" s="19">
        <f>(L262-Settings!$D$24)/Settings!$E$24</f>
        <v>0.84328567574084146</v>
      </c>
      <c r="U262" s="19">
        <f>(M262-Settings!$D$25)/Settings!$E$25</f>
        <v>-0.38234773721626453</v>
      </c>
      <c r="V262" s="31">
        <f>Settings!$B$18*(N262-F$6)^2</f>
        <v>1.5784135693412662E-2</v>
      </c>
      <c r="W262" s="31">
        <f>Settings!$B$19*(O262-G$6)^2</f>
        <v>2.667973107927455E-2</v>
      </c>
      <c r="X262" s="31">
        <f>Settings!$B$20*(P262-H$6)^2</f>
        <v>1.4543914629372818</v>
      </c>
      <c r="Y262" s="31">
        <f>Settings!$B$21*(Q262-I$6)^2</f>
        <v>0.17144261061392405</v>
      </c>
      <c r="Z262" s="31">
        <f>Settings!$B$22*(R262-J$6)^2</f>
        <v>0.18647912645183662</v>
      </c>
      <c r="AA262" s="31">
        <f>Settings!$B$23*(S262-K$6)^2</f>
        <v>7.9303733775668865</v>
      </c>
      <c r="AB262" s="31">
        <f>Settings!$B$24*(T262-L$6)^2</f>
        <v>0.46639361050432543</v>
      </c>
      <c r="AC262" s="31">
        <f>Settings!$B$25*(U262-M$6)^2</f>
        <v>4.0165307008726676E-2</v>
      </c>
      <c r="AD262" s="19">
        <f t="shared" si="12"/>
        <v>3.2080694135033405</v>
      </c>
      <c r="AE262" s="15">
        <f t="shared" si="13"/>
        <v>1.2698120348543396</v>
      </c>
      <c r="AF262" s="33">
        <f t="shared" si="14"/>
        <v>0.4465466959538455</v>
      </c>
      <c r="AG262" s="47">
        <f t="shared" si="15"/>
        <v>1.9279206498621802E-3</v>
      </c>
      <c r="AH262" s="18">
        <v>-0.58484225456948824</v>
      </c>
      <c r="AI262" s="46">
        <v>1</v>
      </c>
      <c r="AJ262" s="18">
        <v>-0.72847366580813078</v>
      </c>
      <c r="AK262" s="46">
        <v>1</v>
      </c>
      <c r="AL262" s="18">
        <v>2.06776047838888E-2</v>
      </c>
      <c r="AM262" s="46">
        <v>1</v>
      </c>
      <c r="AN262" s="48"/>
      <c r="AO262" s="48"/>
      <c r="AP262" s="48"/>
      <c r="AQ262" s="48"/>
    </row>
    <row r="263" spans="1:43" ht="20" customHeight="1" x14ac:dyDescent="0.45">
      <c r="A263" s="26">
        <v>253</v>
      </c>
      <c r="B263" s="16" t="s">
        <v>479</v>
      </c>
      <c r="C263" s="16" t="s">
        <v>232</v>
      </c>
      <c r="D263" s="46">
        <v>26</v>
      </c>
      <c r="E263" s="46">
        <v>0</v>
      </c>
      <c r="F263" s="13">
        <v>0.17274051459569459</v>
      </c>
      <c r="G263" s="13">
        <v>0.21928695950180671</v>
      </c>
      <c r="H263" s="13">
        <v>6.1427838862145017E-3</v>
      </c>
      <c r="I263" s="13">
        <v>7.0892269437047434E-2</v>
      </c>
      <c r="J263" s="13">
        <v>0.53093747257923674</v>
      </c>
      <c r="K263" s="13">
        <v>13.87605042016807</v>
      </c>
      <c r="L263" s="13">
        <v>1.4737195369823679</v>
      </c>
      <c r="M263" s="13">
        <v>1.3767804182700361</v>
      </c>
      <c r="N263" s="19">
        <f>(F263-Settings!$D$18)/Settings!$E$18</f>
        <v>-7.0082534489450329E-2</v>
      </c>
      <c r="O263" s="19">
        <f>(G263-Settings!$D$19)/Settings!$E$19</f>
        <v>0.94124840958869815</v>
      </c>
      <c r="P263" s="19">
        <f>(H263-Settings!$D$20)/Settings!$E$20</f>
        <v>-0.42568780751974228</v>
      </c>
      <c r="Q263" s="19">
        <f>(I263-Settings!$D$21)/Settings!$E$21</f>
        <v>0.90799316425196286</v>
      </c>
      <c r="R263" s="19">
        <f>(J263-Settings!$D$22)/Settings!$E$22</f>
        <v>0.76162995992893756</v>
      </c>
      <c r="S263" s="19">
        <f>(K263-Settings!$D$23)/Settings!$E$23</f>
        <v>-0.47895095704363466</v>
      </c>
      <c r="T263" s="19">
        <f>(L263-Settings!$D$24)/Settings!$E$24</f>
        <v>0.11438575414734364</v>
      </c>
      <c r="U263" s="19">
        <f>(M263-Settings!$D$25)/Settings!$E$25</f>
        <v>0.96448630599183816</v>
      </c>
      <c r="V263" s="31">
        <f>Settings!$B$18*(N263-F$6)^2</f>
        <v>2.729492625581306E-3</v>
      </c>
      <c r="W263" s="31">
        <f>Settings!$B$19*(O263-G$6)^2</f>
        <v>3.8229582036384997E-2</v>
      </c>
      <c r="X263" s="31">
        <f>Settings!$B$20*(P263-H$6)^2</f>
        <v>1.4442322394341867</v>
      </c>
      <c r="Y263" s="31">
        <f>Settings!$B$21*(Q263-I$6)^2</f>
        <v>0.62497145450951197</v>
      </c>
      <c r="Z263" s="31">
        <f>Settings!$B$22*(R263-J$6)^2</f>
        <v>7.4118538245469337E-2</v>
      </c>
      <c r="AA263" s="31">
        <f>Settings!$B$23*(S263-K$6)^2</f>
        <v>4.8699326391257829</v>
      </c>
      <c r="AB263" s="31">
        <f>Settings!$B$24*(T263-L$6)^2</f>
        <v>1.9932641939013798</v>
      </c>
      <c r="AC263" s="31">
        <f>Settings!$B$25*(U263-M$6)^2</f>
        <v>1.314281571893898</v>
      </c>
      <c r="AD263" s="19">
        <f t="shared" si="12"/>
        <v>3.218968734202337</v>
      </c>
      <c r="AE263" s="15">
        <f t="shared" si="13"/>
        <v>1.2741261835872404</v>
      </c>
      <c r="AF263" s="33">
        <f t="shared" si="14"/>
        <v>0.44410299805496056</v>
      </c>
      <c r="AG263" s="47">
        <f t="shared" si="15"/>
        <v>1.9173702288558807E-3</v>
      </c>
      <c r="AH263" s="18">
        <v>1.3481353838996539</v>
      </c>
      <c r="AI263" s="46">
        <v>0</v>
      </c>
      <c r="AJ263" s="18">
        <v>-0.18809766464484801</v>
      </c>
      <c r="AK263" s="46">
        <v>0</v>
      </c>
      <c r="AL263" s="18">
        <v>-0.77669176358083591</v>
      </c>
      <c r="AM263" s="46">
        <v>1</v>
      </c>
      <c r="AN263" s="18">
        <v>-0.23783375008886851</v>
      </c>
      <c r="AO263" s="46">
        <v>1</v>
      </c>
      <c r="AP263" s="18">
        <v>-1.079411632053155</v>
      </c>
      <c r="AQ263" s="46">
        <v>1</v>
      </c>
    </row>
    <row r="264" spans="1:43" ht="20" customHeight="1" x14ac:dyDescent="0.45">
      <c r="A264" s="26">
        <v>254</v>
      </c>
      <c r="B264" s="16" t="s">
        <v>480</v>
      </c>
      <c r="C264" s="16" t="s">
        <v>232</v>
      </c>
      <c r="D264" s="46">
        <v>26</v>
      </c>
      <c r="E264" s="46">
        <v>0</v>
      </c>
      <c r="F264" s="13">
        <v>0.2079906516930014</v>
      </c>
      <c r="G264" s="13">
        <v>-0.37208071615430088</v>
      </c>
      <c r="H264" s="13">
        <v>0.20159180271592089</v>
      </c>
      <c r="I264" s="13">
        <v>-1.8053386738219351E-2</v>
      </c>
      <c r="J264" s="13">
        <v>0.20028344269855761</v>
      </c>
      <c r="K264" s="13">
        <v>18.095901639344241</v>
      </c>
      <c r="L264" s="13">
        <v>1.4356130466925889</v>
      </c>
      <c r="M264" s="13">
        <v>3.5028797680164958</v>
      </c>
      <c r="N264" s="19">
        <f>(F264-Settings!$D$18)/Settings!$E$18</f>
        <v>5.6075508746500073E-2</v>
      </c>
      <c r="O264" s="19">
        <f>(G264-Settings!$D$19)/Settings!$E$19</f>
        <v>-1.5224647007248895</v>
      </c>
      <c r="P264" s="19">
        <f>(H264-Settings!$D$20)/Settings!$E$20</f>
        <v>1.3451178875660814</v>
      </c>
      <c r="Q264" s="19">
        <f>(I264-Settings!$D$21)/Settings!$E$21</f>
        <v>-0.18579892453833008</v>
      </c>
      <c r="R264" s="19">
        <f>(J264-Settings!$D$22)/Settings!$E$22</f>
        <v>-0.12801027485014696</v>
      </c>
      <c r="S264" s="19">
        <f>(K264-Settings!$D$23)/Settings!$E$23</f>
        <v>0.98650630960819519</v>
      </c>
      <c r="T264" s="19">
        <f>(L264-Settings!$D$24)/Settings!$E$24</f>
        <v>8.80406530466354E-2</v>
      </c>
      <c r="U264" s="19">
        <f>(M264-Settings!$D$25)/Settings!$E$25</f>
        <v>2.3983513868981547</v>
      </c>
      <c r="V264" s="31">
        <f>Settings!$B$18*(N264-F$6)^2</f>
        <v>1.7431006973854023E-5</v>
      </c>
      <c r="W264" s="31">
        <f>Settings!$B$19*(O264-G$6)^2</f>
        <v>0.82134730405070455</v>
      </c>
      <c r="X264" s="31">
        <f>Settings!$B$20*(P264-H$6)^2</f>
        <v>0.16796370875398162</v>
      </c>
      <c r="Y264" s="31">
        <f>Settings!$B$21*(Q264-I$6)^2</f>
        <v>9.0837540520219487E-2</v>
      </c>
      <c r="Z264" s="31">
        <f>Settings!$B$22*(R264-J$6)^2</f>
        <v>1.5778376422377408E-2</v>
      </c>
      <c r="AA264" s="31">
        <f>Settings!$B$23*(S264-K$6)^2</f>
        <v>0.54957776059600283</v>
      </c>
      <c r="AB264" s="31">
        <f>Settings!$B$24*(T264-L$6)^2</f>
        <v>2.0683478709991991</v>
      </c>
      <c r="AC264" s="31">
        <f>Settings!$B$25*(U264-M$6)^2</f>
        <v>6.6578773006263692</v>
      </c>
      <c r="AD264" s="19">
        <f t="shared" si="12"/>
        <v>3.2205197240470098</v>
      </c>
      <c r="AE264" s="15">
        <f t="shared" si="13"/>
        <v>1.2747400934865749</v>
      </c>
      <c r="AF264" s="33">
        <f t="shared" si="14"/>
        <v>0.4437556734782781</v>
      </c>
      <c r="AG264" s="47">
        <f t="shared" si="15"/>
        <v>1.9158706897714846E-3</v>
      </c>
      <c r="AH264" s="18">
        <v>1.704513956164035</v>
      </c>
      <c r="AI264" s="46">
        <v>0</v>
      </c>
      <c r="AJ264" s="18">
        <v>-0.15918328711630331</v>
      </c>
      <c r="AK264" s="46">
        <v>0</v>
      </c>
      <c r="AL264" s="18">
        <v>-1.051623757574019</v>
      </c>
      <c r="AM264" s="46">
        <v>1</v>
      </c>
      <c r="AN264" s="18">
        <v>-0.40989195608075191</v>
      </c>
      <c r="AO264" s="46">
        <v>1</v>
      </c>
      <c r="AP264" s="18">
        <v>0.78255321002628109</v>
      </c>
      <c r="AQ264" s="46">
        <v>1</v>
      </c>
    </row>
    <row r="265" spans="1:43" ht="20" customHeight="1" x14ac:dyDescent="0.45">
      <c r="A265" s="26">
        <v>255</v>
      </c>
      <c r="B265" s="16" t="s">
        <v>481</v>
      </c>
      <c r="C265" s="16" t="s">
        <v>260</v>
      </c>
      <c r="D265" s="46">
        <v>26</v>
      </c>
      <c r="E265" s="46">
        <v>1</v>
      </c>
      <c r="F265" s="13">
        <v>0.3182964082754775</v>
      </c>
      <c r="G265" s="13">
        <v>2.9919833308512549E-2</v>
      </c>
      <c r="H265" s="13">
        <v>1.063311387800225E-2</v>
      </c>
      <c r="I265" s="13">
        <v>6.1495507187047882E-2</v>
      </c>
      <c r="J265" s="13">
        <v>0.57965513735095986</v>
      </c>
      <c r="K265" s="13">
        <v>14.199215686274499</v>
      </c>
      <c r="L265" s="13">
        <v>1.0498269438700649</v>
      </c>
      <c r="M265" s="13">
        <v>-1.8075211132160811</v>
      </c>
      <c r="N265" s="19">
        <f>(F265-Settings!$D$18)/Settings!$E$18</f>
        <v>0.45085293527655035</v>
      </c>
      <c r="O265" s="19">
        <f>(G265-Settings!$D$19)/Settings!$E$19</f>
        <v>0.15232082583599296</v>
      </c>
      <c r="P265" s="19">
        <f>(H265-Settings!$D$20)/Settings!$E$20</f>
        <v>-0.38500455431190433</v>
      </c>
      <c r="Q265" s="19">
        <f>(I265-Settings!$D$21)/Settings!$E$21</f>
        <v>0.792438288935288</v>
      </c>
      <c r="R265" s="19">
        <f>(J265-Settings!$D$22)/Settings!$E$22</f>
        <v>0.89270713065340968</v>
      </c>
      <c r="S265" s="19">
        <f>(K265-Settings!$D$23)/Settings!$E$23</f>
        <v>-0.36672309332345471</v>
      </c>
      <c r="T265" s="19">
        <f>(L265-Settings!$D$24)/Settings!$E$24</f>
        <v>-0.17867438171041541</v>
      </c>
      <c r="U265" s="19">
        <f>(M265-Settings!$D$25)/Settings!$E$25</f>
        <v>-1.1830421120093879</v>
      </c>
      <c r="V265" s="31">
        <f>Settings!$B$18*(N265-F$6)^2</f>
        <v>3.2661481559143682E-2</v>
      </c>
      <c r="W265" s="31">
        <f>Settings!$B$19*(O265-G$6)^2</f>
        <v>2.4741803749709083E-2</v>
      </c>
      <c r="X265" s="31">
        <f>Settings!$B$20*(P265-H$6)^2</f>
        <v>1.4008332942967303</v>
      </c>
      <c r="Y265" s="31">
        <f>Settings!$B$21*(Q265-I$6)^2</f>
        <v>0.5459342703904303</v>
      </c>
      <c r="Z265" s="31">
        <f>Settings!$B$22*(R265-J$6)^2</f>
        <v>0.10947276881980057</v>
      </c>
      <c r="AA265" s="31">
        <f>Settings!$B$23*(S265-K$6)^2</f>
        <v>4.3872005419969806</v>
      </c>
      <c r="AB265" s="31">
        <f>Settings!$B$24*(T265-L$6)^2</f>
        <v>2.9066506712025455</v>
      </c>
      <c r="AC265" s="31">
        <f>Settings!$B$25*(U265-M$6)^2</f>
        <v>1.0022156583674198</v>
      </c>
      <c r="AD265" s="19">
        <f t="shared" si="12"/>
        <v>3.2264082956722575</v>
      </c>
      <c r="AE265" s="15">
        <f t="shared" si="13"/>
        <v>1.2770708968932494</v>
      </c>
      <c r="AF265" s="33">
        <f t="shared" si="14"/>
        <v>0.44243795553470966</v>
      </c>
      <c r="AG265" s="47">
        <f t="shared" si="15"/>
        <v>1.9101815744849567E-3</v>
      </c>
      <c r="AH265" s="18">
        <v>-1.3404730482945471</v>
      </c>
      <c r="AI265" s="46">
        <v>1</v>
      </c>
      <c r="AJ265" s="18">
        <v>-1.4631171608936179E-2</v>
      </c>
      <c r="AK265" s="46">
        <v>1</v>
      </c>
      <c r="AL265" s="18">
        <v>-4.116630920226505E-2</v>
      </c>
      <c r="AM265" s="46">
        <v>1</v>
      </c>
      <c r="AN265" s="18">
        <v>7.2582526997038987E-2</v>
      </c>
      <c r="AO265" s="46">
        <v>1</v>
      </c>
      <c r="AP265" s="18">
        <v>0.18998726911744651</v>
      </c>
      <c r="AQ265" s="46">
        <v>1</v>
      </c>
    </row>
    <row r="266" spans="1:43" ht="20" customHeight="1" x14ac:dyDescent="0.45">
      <c r="A266" s="26">
        <v>256</v>
      </c>
      <c r="B266" s="16" t="s">
        <v>482</v>
      </c>
      <c r="C266" s="16" t="s">
        <v>260</v>
      </c>
      <c r="D266" s="46">
        <v>26</v>
      </c>
      <c r="E266" s="46">
        <v>1</v>
      </c>
      <c r="F266" s="13">
        <v>0.28667277820799858</v>
      </c>
      <c r="G266" s="13">
        <v>-0.40564115229815673</v>
      </c>
      <c r="H266" s="13">
        <v>1.5363722089596021E-3</v>
      </c>
      <c r="I266" s="13">
        <v>-4.8231063471620652E-5</v>
      </c>
      <c r="J266" s="13">
        <v>0.3061014662214136</v>
      </c>
      <c r="K266" s="13">
        <v>14.893464052287589</v>
      </c>
      <c r="L266" s="13">
        <v>0.68359839909955644</v>
      </c>
      <c r="M266" s="13">
        <v>0.79179644974953245</v>
      </c>
      <c r="N266" s="19">
        <f>(F266-Settings!$D$18)/Settings!$E$18</f>
        <v>0.33767393462989698</v>
      </c>
      <c r="O266" s="19">
        <f>(G266-Settings!$D$19)/Settings!$E$19</f>
        <v>-1.6622817551888904</v>
      </c>
      <c r="P266" s="19">
        <f>(H266-Settings!$D$20)/Settings!$E$20</f>
        <v>-0.4674227831202083</v>
      </c>
      <c r="Q266" s="19">
        <f>(I266-Settings!$D$21)/Settings!$E$21</f>
        <v>3.5616012191913765E-2</v>
      </c>
      <c r="R266" s="19">
        <f>(J266-Settings!$D$22)/Settings!$E$22</f>
        <v>0.15669809941253462</v>
      </c>
      <c r="S266" s="19">
        <f>(K266-Settings!$D$23)/Settings!$E$23</f>
        <v>-0.12562660437338594</v>
      </c>
      <c r="T266" s="19">
        <f>(L266-Settings!$D$24)/Settings!$E$24</f>
        <v>-0.43186820681931554</v>
      </c>
      <c r="U266" s="19">
        <f>(M266-Settings!$D$25)/Settings!$E$25</f>
        <v>0.56996660236106622</v>
      </c>
      <c r="V266" s="31">
        <f>Settings!$B$18*(N266-F$6)^2</f>
        <v>1.692853150256218E-2</v>
      </c>
      <c r="W266" s="31">
        <f>Settings!$B$19*(O266-G$6)^2</f>
        <v>0.93859324303282221</v>
      </c>
      <c r="X266" s="31">
        <f>Settings!$B$20*(P266-H$6)^2</f>
        <v>1.4894410561792855</v>
      </c>
      <c r="Y266" s="31">
        <f>Settings!$B$21*(Q266-I$6)^2</f>
        <v>0.16033012072756256</v>
      </c>
      <c r="Z266" s="31">
        <f>Settings!$B$22*(R266-J$6)^2</f>
        <v>2.9359048919227858E-6</v>
      </c>
      <c r="AA266" s="31">
        <f>Settings!$B$23*(S266-K$6)^2</f>
        <v>3.4353437541180982</v>
      </c>
      <c r="AB266" s="31">
        <f>Settings!$B$24*(T266-L$6)^2</f>
        <v>3.834093137990231</v>
      </c>
      <c r="AC266" s="31">
        <f>Settings!$B$25*(U266-M$6)^2</f>
        <v>0.56535586292115148</v>
      </c>
      <c r="AD266" s="19">
        <f t="shared" si="12"/>
        <v>3.2311126013150027</v>
      </c>
      <c r="AE266" s="15">
        <f t="shared" si="13"/>
        <v>1.27893294635379</v>
      </c>
      <c r="AF266" s="33">
        <f t="shared" si="14"/>
        <v>0.44138633646477604</v>
      </c>
      <c r="AG266" s="47">
        <f t="shared" si="15"/>
        <v>1.9056413144425369E-3</v>
      </c>
      <c r="AH266" s="18">
        <v>1.1039306920001219</v>
      </c>
      <c r="AI266" s="46">
        <v>1</v>
      </c>
      <c r="AJ266" s="18">
        <v>-0.47671861448798492</v>
      </c>
      <c r="AK266" s="46">
        <v>1</v>
      </c>
      <c r="AL266" s="18">
        <v>-1.6421704935798309</v>
      </c>
      <c r="AM266" s="46">
        <v>1</v>
      </c>
      <c r="AN266" s="48"/>
      <c r="AO266" s="48"/>
      <c r="AP266" s="48"/>
      <c r="AQ266" s="48"/>
    </row>
    <row r="267" spans="1:43" ht="20" customHeight="1" x14ac:dyDescent="0.45">
      <c r="A267" s="26">
        <v>257</v>
      </c>
      <c r="B267" s="16" t="s">
        <v>483</v>
      </c>
      <c r="C267" s="16" t="s">
        <v>229</v>
      </c>
      <c r="D267" s="46">
        <v>26</v>
      </c>
      <c r="E267" s="46">
        <v>1</v>
      </c>
      <c r="F267" s="13">
        <v>0.14152209880772601</v>
      </c>
      <c r="G267" s="13">
        <v>2.6491707640470229E-2</v>
      </c>
      <c r="H267" s="13">
        <v>0.11095204482997691</v>
      </c>
      <c r="I267" s="13">
        <v>1.373692562372583E-2</v>
      </c>
      <c r="J267" s="13">
        <v>0.70729722309810106</v>
      </c>
      <c r="K267" s="13">
        <v>15.803179824561379</v>
      </c>
      <c r="L267" s="13">
        <v>5.4310967100959768</v>
      </c>
      <c r="M267" s="13">
        <v>3.0658156503841458</v>
      </c>
      <c r="N267" s="19">
        <f>(F267-Settings!$D$18)/Settings!$E$18</f>
        <v>-0.1818112984901249</v>
      </c>
      <c r="O267" s="19">
        <f>(G267-Settings!$D$19)/Settings!$E$19</f>
        <v>0.13803881736674775</v>
      </c>
      <c r="P267" s="19">
        <f>(H267-Settings!$D$20)/Settings!$E$20</f>
        <v>0.52390425125984219</v>
      </c>
      <c r="Q267" s="19">
        <f>(I267-Settings!$D$21)/Settings!$E$21</f>
        <v>0.20513632353213138</v>
      </c>
      <c r="R267" s="19">
        <f>(J267-Settings!$D$22)/Settings!$E$22</f>
        <v>1.2361341718201444</v>
      </c>
      <c r="S267" s="19">
        <f>(K267-Settings!$D$23)/Settings!$E$23</f>
        <v>0.1902967587556757</v>
      </c>
      <c r="T267" s="19">
        <f>(L267-Settings!$D$24)/Settings!$E$24</f>
        <v>2.8503370560513455</v>
      </c>
      <c r="U267" s="19">
        <f>(M267-Settings!$D$25)/Settings!$E$25</f>
        <v>2.1035904781640964</v>
      </c>
      <c r="V267" s="31">
        <f>Settings!$B$18*(N267-F$6)^2</f>
        <v>1.0447122994994784E-2</v>
      </c>
      <c r="W267" s="31">
        <f>Settings!$B$19*(O267-G$6)^2</f>
        <v>2.6791922842923806E-2</v>
      </c>
      <c r="X267" s="31">
        <f>Settings!$B$20*(P267-H$6)^2</f>
        <v>0.60387144870418397</v>
      </c>
      <c r="Y267" s="31">
        <f>Settings!$B$21*(Q267-I$6)^2</f>
        <v>0.22678951364123595</v>
      </c>
      <c r="Z267" s="31">
        <f>Settings!$B$22*(R267-J$6)^2</f>
        <v>0.23469367761574014</v>
      </c>
      <c r="AA267" s="31">
        <f>Settings!$B$23*(S267-K$6)^2</f>
        <v>2.3640436158015126</v>
      </c>
      <c r="AB267" s="31">
        <f>Settings!$B$24*(T267-L$6)^2</f>
        <v>1.753296992375079</v>
      </c>
      <c r="AC267" s="31">
        <f>Settings!$B$25*(U267-M$6)^2</f>
        <v>5.2236262349859865</v>
      </c>
      <c r="AD267" s="19">
        <f t="shared" ref="AD267:AD330" si="16">SQRT(SUM(V267:AC267))</f>
        <v>3.2316498153360702</v>
      </c>
      <c r="AE267" s="15">
        <f t="shared" ref="AE267:AE330" si="17">AD267/Yardstick</f>
        <v>1.2791455854027995</v>
      </c>
      <c r="AF267" s="33">
        <f t="shared" ref="AF267:AF330" si="18">EXP(-(AD267^2)/(2*Yardstick^2))</f>
        <v>0.44126630731587052</v>
      </c>
      <c r="AG267" s="47">
        <f t="shared" ref="AG267:AG330" si="19">AF267/$E$7</f>
        <v>1.9051231006099027E-3</v>
      </c>
      <c r="AH267" s="18">
        <v>-2.1949169347394101E-2</v>
      </c>
      <c r="AI267" s="46">
        <v>1</v>
      </c>
      <c r="AJ267" s="18">
        <v>-2.54157331614983</v>
      </c>
      <c r="AK267" s="46">
        <v>1</v>
      </c>
      <c r="AL267" s="18">
        <v>5.8052064220567079E-2</v>
      </c>
      <c r="AM267" s="46">
        <v>1</v>
      </c>
      <c r="AN267" s="48"/>
      <c r="AO267" s="48"/>
      <c r="AP267" s="48"/>
      <c r="AQ267" s="48"/>
    </row>
    <row r="268" spans="1:43" ht="20" customHeight="1" x14ac:dyDescent="0.45">
      <c r="A268" s="26">
        <v>258</v>
      </c>
      <c r="B268" s="16" t="s">
        <v>484</v>
      </c>
      <c r="C268" s="16" t="s">
        <v>283</v>
      </c>
      <c r="D268" s="46">
        <v>26</v>
      </c>
      <c r="E268" s="46">
        <v>0</v>
      </c>
      <c r="F268" s="13">
        <v>0.18258296408973079</v>
      </c>
      <c r="G268" s="13">
        <v>-6.8178268338473832E-2</v>
      </c>
      <c r="H268" s="13">
        <v>0.18585476246899321</v>
      </c>
      <c r="I268" s="13">
        <v>-1.17406445584754E-4</v>
      </c>
      <c r="J268" s="13">
        <v>0.56326659865721729</v>
      </c>
      <c r="K268" s="13">
        <v>17.699067599067622</v>
      </c>
      <c r="L268" s="13">
        <v>2.6346002856344741</v>
      </c>
      <c r="M268" s="13">
        <v>4.0697675951934231</v>
      </c>
      <c r="N268" s="19">
        <f>(F268-Settings!$D$18)/Settings!$E$18</f>
        <v>-3.4857021312335729E-2</v>
      </c>
      <c r="O268" s="19">
        <f>(G268-Settings!$D$19)/Settings!$E$19</f>
        <v>-0.25636836884549041</v>
      </c>
      <c r="P268" s="19">
        <f>(H268-Settings!$D$20)/Settings!$E$20</f>
        <v>1.2025372767248732</v>
      </c>
      <c r="Q268" s="19">
        <f>(I268-Settings!$D$21)/Settings!$E$21</f>
        <v>3.4765341243516948E-2</v>
      </c>
      <c r="R268" s="19">
        <f>(J268-Settings!$D$22)/Settings!$E$22</f>
        <v>0.84861299571590842</v>
      </c>
      <c r="S268" s="19">
        <f>(K268-Settings!$D$23)/Settings!$E$23</f>
        <v>0.84869497509111946</v>
      </c>
      <c r="T268" s="19">
        <f>(L268-Settings!$D$24)/Settings!$E$24</f>
        <v>0.91696611398984529</v>
      </c>
      <c r="U268" s="19">
        <f>(M268-Settings!$D$25)/Settings!$E$25</f>
        <v>2.7806668512609951</v>
      </c>
      <c r="V268" s="31">
        <f>Settings!$B$18*(N268-F$6)^2</f>
        <v>1.3316089889631587E-3</v>
      </c>
      <c r="W268" s="31">
        <f>Settings!$B$19*(O268-G$6)^2</f>
        <v>0.11564531955287981</v>
      </c>
      <c r="X268" s="31">
        <f>Settings!$B$20*(P268-H$6)^2</f>
        <v>0.22429482414781632</v>
      </c>
      <c r="Y268" s="31">
        <f>Settings!$B$21*(Q268-I$6)^2</f>
        <v>0.1600256063559202</v>
      </c>
      <c r="Z268" s="31">
        <f>Settings!$B$22*(R268-J$6)^2</f>
        <v>9.6812578077662512E-2</v>
      </c>
      <c r="AA268" s="31">
        <f>Settings!$B$23*(S268-K$6)^2</f>
        <v>0.77289848902429581</v>
      </c>
      <c r="AB268" s="31">
        <f>Settings!$B$24*(T268-L$6)^2</f>
        <v>0.37118522975794915</v>
      </c>
      <c r="AC268" s="31">
        <f>Settings!$B$25*(U268-M$6)^2</f>
        <v>8.7770091116269828</v>
      </c>
      <c r="AD268" s="19">
        <f t="shared" si="16"/>
        <v>3.2433320470671005</v>
      </c>
      <c r="AE268" s="15">
        <f t="shared" si="17"/>
        <v>1.2837696245160368</v>
      </c>
      <c r="AF268" s="33">
        <f t="shared" si="18"/>
        <v>0.43865931088052301</v>
      </c>
      <c r="AG268" s="47">
        <f t="shared" si="19"/>
        <v>1.8938676545224838E-3</v>
      </c>
      <c r="AH268" s="18">
        <v>1.1755459002210891</v>
      </c>
      <c r="AI268" s="46">
        <v>0</v>
      </c>
      <c r="AJ268" s="18">
        <v>-1.5983379821668811</v>
      </c>
      <c r="AK268" s="46">
        <v>0</v>
      </c>
      <c r="AL268" s="18">
        <v>-6.1569737830988291E-2</v>
      </c>
      <c r="AM268" s="46">
        <v>0</v>
      </c>
      <c r="AN268" s="18">
        <v>0.1238660788417469</v>
      </c>
      <c r="AO268" s="46">
        <v>0</v>
      </c>
      <c r="AP268" s="18">
        <v>0.58595714102500773</v>
      </c>
      <c r="AQ268" s="46">
        <v>0</v>
      </c>
    </row>
    <row r="269" spans="1:43" ht="20" customHeight="1" x14ac:dyDescent="0.45">
      <c r="A269" s="26">
        <v>259</v>
      </c>
      <c r="B269" s="16" t="s">
        <v>485</v>
      </c>
      <c r="C269" s="16" t="s">
        <v>260</v>
      </c>
      <c r="D269" s="46">
        <v>26</v>
      </c>
      <c r="E269" s="46">
        <v>1</v>
      </c>
      <c r="F269" s="13">
        <v>3.1291278385916492E-2</v>
      </c>
      <c r="G269" s="13">
        <v>-4.119603966559815E-2</v>
      </c>
      <c r="H269" s="13">
        <v>-2.2183185690137251E-2</v>
      </c>
      <c r="I269" s="13">
        <v>-1.2678362789880569E-2</v>
      </c>
      <c r="J269" s="13">
        <v>0.89265113346846758</v>
      </c>
      <c r="K269" s="13">
        <v>14.51866666666664</v>
      </c>
      <c r="L269" s="13">
        <v>1.052701126122273</v>
      </c>
      <c r="M269" s="13">
        <v>1.2881858729847031</v>
      </c>
      <c r="N269" s="19">
        <f>(F269-Settings!$D$18)/Settings!$E$18</f>
        <v>-0.57632053317254595</v>
      </c>
      <c r="O269" s="19">
        <f>(G269-Settings!$D$19)/Settings!$E$19</f>
        <v>-0.14395696513951506</v>
      </c>
      <c r="P269" s="19">
        <f>(H269-Settings!$D$20)/Settings!$E$20</f>
        <v>-0.68232653891360717</v>
      </c>
      <c r="Q269" s="19">
        <f>(I269-Settings!$D$21)/Settings!$E$21</f>
        <v>-0.11970060198319052</v>
      </c>
      <c r="R269" s="19">
        <f>(J269-Settings!$D$22)/Settings!$E$22</f>
        <v>1.7348375942421244</v>
      </c>
      <c r="S269" s="19">
        <f>(K269-Settings!$D$23)/Settings!$E$23</f>
        <v>-0.25578511559870748</v>
      </c>
      <c r="T269" s="19">
        <f>(L269-Settings!$D$24)/Settings!$E$24</f>
        <v>-0.17668730230634361</v>
      </c>
      <c r="U269" s="19">
        <f>(M269-Settings!$D$25)/Settings!$E$25</f>
        <v>0.90473715792941989</v>
      </c>
      <c r="V269" s="31">
        <f>Settings!$B$18*(N269-F$6)^2</f>
        <v>7.7640841399852056E-2</v>
      </c>
      <c r="W269" s="31">
        <f>Settings!$B$19*(O269-G$6)^2</f>
        <v>8.3980986604566391E-2</v>
      </c>
      <c r="X269" s="31">
        <f>Settings!$B$20*(P269-H$6)^2</f>
        <v>1.7332630083351994</v>
      </c>
      <c r="Y269" s="31">
        <f>Settings!$B$21*(Q269-I$6)^2</f>
        <v>0.10952971400312711</v>
      </c>
      <c r="Z269" s="31">
        <f>Settings!$B$22*(R269-J$6)^2</f>
        <v>0.50052637403574529</v>
      </c>
      <c r="AA269" s="31">
        <f>Settings!$B$23*(S269-K$6)^2</f>
        <v>3.9347742720551335</v>
      </c>
      <c r="AB269" s="31">
        <f>Settings!$B$24*(T269-L$6)^2</f>
        <v>2.8998791151919399</v>
      </c>
      <c r="AC269" s="31">
        <f>Settings!$B$25*(U269-M$6)^2</f>
        <v>1.1808561523338186</v>
      </c>
      <c r="AD269" s="19">
        <f t="shared" si="16"/>
        <v>3.2435243892962147</v>
      </c>
      <c r="AE269" s="15">
        <f t="shared" si="17"/>
        <v>1.2838457570574064</v>
      </c>
      <c r="AF269" s="33">
        <f t="shared" si="18"/>
        <v>0.43861643861551869</v>
      </c>
      <c r="AG269" s="47">
        <f t="shared" si="19"/>
        <v>1.8936825578108585E-3</v>
      </c>
      <c r="AH269" s="18">
        <v>0.40961728729603802</v>
      </c>
      <c r="AI269" s="46">
        <v>1</v>
      </c>
      <c r="AJ269" s="18">
        <v>-1.037288892352735</v>
      </c>
      <c r="AK269" s="46">
        <v>1</v>
      </c>
      <c r="AL269" s="18">
        <v>9.3952851700361495E-2</v>
      </c>
      <c r="AM269" s="46">
        <v>1</v>
      </c>
      <c r="AN269" s="18">
        <v>-0.51219527224507022</v>
      </c>
      <c r="AO269" s="46">
        <v>1</v>
      </c>
      <c r="AP269" s="18">
        <v>-1.4934758246872619</v>
      </c>
      <c r="AQ269" s="46">
        <v>1</v>
      </c>
    </row>
    <row r="270" spans="1:43" ht="20" customHeight="1" x14ac:dyDescent="0.45">
      <c r="A270" s="26">
        <v>260</v>
      </c>
      <c r="B270" s="16" t="s">
        <v>486</v>
      </c>
      <c r="C270" s="16" t="s">
        <v>220</v>
      </c>
      <c r="D270" s="46">
        <v>26</v>
      </c>
      <c r="E270" s="46">
        <v>1</v>
      </c>
      <c r="F270" s="13">
        <v>-0.1217766542791853</v>
      </c>
      <c r="G270" s="13">
        <v>0.47090319181727608</v>
      </c>
      <c r="H270" s="13">
        <v>3.4567020482782688E-3</v>
      </c>
      <c r="I270" s="13">
        <v>-0.13375640896201671</v>
      </c>
      <c r="J270" s="13">
        <v>0.27010704289324372</v>
      </c>
      <c r="K270" s="13">
        <v>14.378048780487809</v>
      </c>
      <c r="L270" s="13">
        <v>0.73642429647946228</v>
      </c>
      <c r="M270" s="13">
        <v>-1.2831371826080671</v>
      </c>
      <c r="N270" s="19">
        <f>(F270-Settings!$D$18)/Settings!$E$18</f>
        <v>-1.1241411221789028</v>
      </c>
      <c r="O270" s="19">
        <f>(G270-Settings!$D$19)/Settings!$E$19</f>
        <v>1.9895137034865364</v>
      </c>
      <c r="P270" s="19">
        <f>(H270-Settings!$D$20)/Settings!$E$20</f>
        <v>-0.45002422550006693</v>
      </c>
      <c r="Q270" s="19">
        <f>(I270-Settings!$D$21)/Settings!$E$21</f>
        <v>-1.6086345727249169</v>
      </c>
      <c r="R270" s="19">
        <f>(J270-Settings!$D$22)/Settings!$E$22</f>
        <v>5.985340880959112E-2</v>
      </c>
      <c r="S270" s="19">
        <f>(K270-Settings!$D$23)/Settings!$E$23</f>
        <v>-0.30461847308428663</v>
      </c>
      <c r="T270" s="19">
        <f>(L270-Settings!$D$24)/Settings!$E$24</f>
        <v>-0.3953467744694425</v>
      </c>
      <c r="U270" s="19">
        <f>(M270-Settings!$D$25)/Settings!$E$25</f>
        <v>-0.82939174887988631</v>
      </c>
      <c r="V270" s="31">
        <f>Settings!$B$18*(N270-F$6)^2</f>
        <v>0.27419243739326465</v>
      </c>
      <c r="W270" s="31">
        <f>Settings!$B$19*(O270-G$6)^2</f>
        <v>0.441324193699004</v>
      </c>
      <c r="X270" s="31">
        <f>Settings!$B$20*(P270-H$6)^2</f>
        <v>1.4705096332072569</v>
      </c>
      <c r="Y270" s="31">
        <f>Settings!$B$21*(Q270-I$6)^2</f>
        <v>0.11217058765993225</v>
      </c>
      <c r="Z270" s="31">
        <f>Settings!$B$22*(R270-J$6)^2</f>
        <v>1.73029493857487E-3</v>
      </c>
      <c r="AA270" s="31">
        <f>Settings!$B$23*(S270-K$6)^2</f>
        <v>4.1308932572880748</v>
      </c>
      <c r="AB270" s="31">
        <f>Settings!$B$24*(T270-L$6)^2</f>
        <v>3.6924028848417541</v>
      </c>
      <c r="AC270" s="31">
        <f>Settings!$B$25*(U270-M$6)^2</f>
        <v>0.41920037661363252</v>
      </c>
      <c r="AD270" s="19">
        <f t="shared" si="16"/>
        <v>3.2469098641079484</v>
      </c>
      <c r="AE270" s="15">
        <f t="shared" si="17"/>
        <v>1.2851857893651677</v>
      </c>
      <c r="AF270" s="33">
        <f t="shared" si="18"/>
        <v>0.43786210077406584</v>
      </c>
      <c r="AG270" s="47">
        <f t="shared" si="19"/>
        <v>1.8904257797075004E-3</v>
      </c>
      <c r="AH270" s="18">
        <v>-0.53263135548715668</v>
      </c>
      <c r="AI270" s="46">
        <v>1</v>
      </c>
      <c r="AJ270" s="18">
        <v>0.22695302590185221</v>
      </c>
      <c r="AK270" s="46">
        <v>1</v>
      </c>
      <c r="AL270" s="18">
        <v>2.846323178761706E-2</v>
      </c>
      <c r="AM270" s="46">
        <v>1</v>
      </c>
      <c r="AN270" s="48"/>
      <c r="AO270" s="48"/>
      <c r="AP270" s="48"/>
      <c r="AQ270" s="48"/>
    </row>
    <row r="271" spans="1:43" ht="20" customHeight="1" x14ac:dyDescent="0.45">
      <c r="A271" s="26">
        <v>261</v>
      </c>
      <c r="B271" s="16" t="s">
        <v>487</v>
      </c>
      <c r="C271" s="16" t="s">
        <v>271</v>
      </c>
      <c r="D271" s="46">
        <v>26</v>
      </c>
      <c r="E271" s="46">
        <v>1</v>
      </c>
      <c r="F271" s="13">
        <v>1.9145653046598861E-3</v>
      </c>
      <c r="G271" s="13">
        <v>-0.30296346514038508</v>
      </c>
      <c r="H271" s="13">
        <v>0.26941726266605592</v>
      </c>
      <c r="I271" s="13">
        <v>-5.2224963336081867E-4</v>
      </c>
      <c r="J271" s="13">
        <v>0.42518245725553838</v>
      </c>
      <c r="K271" s="13">
        <v>14.319932432432431</v>
      </c>
      <c r="L271" s="13">
        <v>0.28874427160003219</v>
      </c>
      <c r="M271" s="13">
        <v>-1.3638816500240061</v>
      </c>
      <c r="N271" s="19">
        <f>(F271-Settings!$D$18)/Settings!$E$18</f>
        <v>-0.6814579579946024</v>
      </c>
      <c r="O271" s="19">
        <f>(G271-Settings!$D$19)/Settings!$E$19</f>
        <v>-1.2345134235724946</v>
      </c>
      <c r="P271" s="19">
        <f>(H271-Settings!$D$20)/Settings!$E$20</f>
        <v>1.9596295974261444</v>
      </c>
      <c r="Q271" s="19">
        <f>(I271-Settings!$D$21)/Settings!$E$21</f>
        <v>2.9786860055885479E-2</v>
      </c>
      <c r="R271" s="19">
        <f>(J271-Settings!$D$22)/Settings!$E$22</f>
        <v>0.47709111219255246</v>
      </c>
      <c r="S271" s="19">
        <f>(K271-Settings!$D$23)/Settings!$E$23</f>
        <v>-0.32480094401643672</v>
      </c>
      <c r="T271" s="19">
        <f>(L271-Settings!$D$24)/Settings!$E$24</f>
        <v>-0.70485246304185956</v>
      </c>
      <c r="U271" s="19">
        <f>(M271-Settings!$D$25)/Settings!$E$25</f>
        <v>-0.88384671699692163</v>
      </c>
      <c r="V271" s="31">
        <f>Settings!$B$18*(N271-F$6)^2</f>
        <v>0.10605440154750551</v>
      </c>
      <c r="W271" s="31">
        <f>Settings!$B$19*(O271-G$6)^2</f>
        <v>0.60451621248375098</v>
      </c>
      <c r="X271" s="31">
        <f>Settings!$B$20*(P271-H$6)^2</f>
        <v>1.8229257127135971E-2</v>
      </c>
      <c r="Y271" s="31">
        <f>Settings!$B$21*(Q271-I$6)^2</f>
        <v>0.15824926531114578</v>
      </c>
      <c r="Z271" s="31">
        <f>Settings!$B$22*(R271-J$6)^2</f>
        <v>2.10242922506539E-2</v>
      </c>
      <c r="AA271" s="31">
        <f>Settings!$B$23*(S271-K$6)^2</f>
        <v>4.2133407152469733</v>
      </c>
      <c r="AB271" s="31">
        <f>Settings!$B$24*(T271-L$6)^2</f>
        <v>4.9776657769193751</v>
      </c>
      <c r="AC271" s="31">
        <f>Settings!$B$25*(U271-M$6)^2</f>
        <v>0.49268020475063956</v>
      </c>
      <c r="AD271" s="19">
        <f t="shared" si="16"/>
        <v>3.2544984445590353</v>
      </c>
      <c r="AE271" s="15">
        <f t="shared" si="17"/>
        <v>1.2881894870855757</v>
      </c>
      <c r="AF271" s="33">
        <f t="shared" si="18"/>
        <v>0.43617310818108546</v>
      </c>
      <c r="AG271" s="47">
        <f t="shared" si="19"/>
        <v>1.8831337232955373E-3</v>
      </c>
      <c r="AH271" s="48"/>
      <c r="AI271" s="48"/>
      <c r="AJ271" s="48"/>
      <c r="AK271" s="48"/>
      <c r="AL271" s="48"/>
      <c r="AM271" s="48"/>
      <c r="AN271" s="48"/>
      <c r="AO271" s="48"/>
      <c r="AP271" s="48"/>
      <c r="AQ271" s="48"/>
    </row>
    <row r="272" spans="1:43" ht="20" customHeight="1" x14ac:dyDescent="0.45">
      <c r="A272" s="26">
        <v>262</v>
      </c>
      <c r="B272" s="16" t="s">
        <v>488</v>
      </c>
      <c r="C272" s="16" t="s">
        <v>220</v>
      </c>
      <c r="D272" s="46">
        <v>26</v>
      </c>
      <c r="E272" s="46">
        <v>1</v>
      </c>
      <c r="F272" s="13">
        <v>0.4781560606346888</v>
      </c>
      <c r="G272" s="13">
        <v>-4.3719674034209044E-3</v>
      </c>
      <c r="H272" s="13">
        <v>1.516889631849035E-2</v>
      </c>
      <c r="I272" s="13">
        <v>-8.5394861808314362E-2</v>
      </c>
      <c r="J272" s="13">
        <v>0.41690821383508547</v>
      </c>
      <c r="K272" s="13">
        <v>14.45054200542006</v>
      </c>
      <c r="L272" s="13">
        <v>0.71804788321743329</v>
      </c>
      <c r="M272" s="13">
        <v>-2.0289565730512011</v>
      </c>
      <c r="N272" s="19">
        <f>(F272-Settings!$D$18)/Settings!$E$18</f>
        <v>1.0229806656835401</v>
      </c>
      <c r="O272" s="19">
        <f>(G272-Settings!$D$19)/Settings!$E$19</f>
        <v>9.456813364365893E-3</v>
      </c>
      <c r="P272" s="19">
        <f>(H272-Settings!$D$20)/Settings!$E$20</f>
        <v>-0.34390949317841862</v>
      </c>
      <c r="Q272" s="19">
        <f>(I272-Settings!$D$21)/Settings!$E$21</f>
        <v>-1.0139177540177253</v>
      </c>
      <c r="R272" s="19">
        <f>(J272-Settings!$D$22)/Settings!$E$22</f>
        <v>0.45482887071360428</v>
      </c>
      <c r="S272" s="19">
        <f>(K272-Settings!$D$23)/Settings!$E$23</f>
        <v>-0.2794432434986493</v>
      </c>
      <c r="T272" s="19">
        <f>(L272-Settings!$D$24)/Settings!$E$24</f>
        <v>-0.40805139411756586</v>
      </c>
      <c r="U272" s="19">
        <f>(M272-Settings!$D$25)/Settings!$E$25</f>
        <v>-1.3323806523602304</v>
      </c>
      <c r="V272" s="31">
        <f>Settings!$B$18*(N272-F$6)^2</f>
        <v>0.19060923672088398</v>
      </c>
      <c r="W272" s="31">
        <f>Settings!$B$19*(O272-G$6)^2</f>
        <v>4.8923248524785246E-2</v>
      </c>
      <c r="X272" s="31">
        <f>Settings!$B$20*(P272-H$6)^2</f>
        <v>1.3576671891618912</v>
      </c>
      <c r="Y272" s="31">
        <f>Settings!$B$21*(Q272-I$6)^2</f>
        <v>4.7545618432306494E-3</v>
      </c>
      <c r="Z272" s="31">
        <f>Settings!$B$22*(R272-J$6)^2</f>
        <v>1.8236228979468961E-2</v>
      </c>
      <c r="AA272" s="31">
        <f>Settings!$B$23*(S272-K$6)^2</f>
        <v>4.0291917601096925</v>
      </c>
      <c r="AB272" s="31">
        <f>Settings!$B$24*(T272-L$6)^2</f>
        <v>3.7413897365191735</v>
      </c>
      <c r="AC272" s="31">
        <f>Settings!$B$25*(U272-M$6)^2</f>
        <v>1.3235254388114697</v>
      </c>
      <c r="AD272" s="19">
        <f t="shared" si="16"/>
        <v>3.2732701386641763</v>
      </c>
      <c r="AE272" s="15">
        <f t="shared" si="17"/>
        <v>1.2956196639355466</v>
      </c>
      <c r="AF272" s="33">
        <f t="shared" si="18"/>
        <v>0.43200627871193958</v>
      </c>
      <c r="AG272" s="47">
        <f t="shared" si="19"/>
        <v>1.8651438542609876E-3</v>
      </c>
      <c r="AH272" s="18">
        <v>-0.39086953754793979</v>
      </c>
      <c r="AI272" s="46">
        <v>1</v>
      </c>
      <c r="AJ272" s="18">
        <v>0.76479122676611366</v>
      </c>
      <c r="AK272" s="46">
        <v>1</v>
      </c>
      <c r="AL272" s="18">
        <v>-0.42019534908620032</v>
      </c>
      <c r="AM272" s="46">
        <v>1</v>
      </c>
      <c r="AN272" s="18">
        <v>-0.95203364856003225</v>
      </c>
      <c r="AO272" s="46">
        <v>1</v>
      </c>
      <c r="AP272" s="48"/>
      <c r="AQ272" s="48"/>
    </row>
    <row r="273" spans="1:43" ht="20" customHeight="1" x14ac:dyDescent="0.45">
      <c r="A273" s="26">
        <v>263</v>
      </c>
      <c r="B273" s="16" t="s">
        <v>489</v>
      </c>
      <c r="C273" s="16" t="s">
        <v>210</v>
      </c>
      <c r="D273" s="46">
        <v>26</v>
      </c>
      <c r="E273" s="46">
        <v>0</v>
      </c>
      <c r="F273" s="13">
        <v>0.20555085734152731</v>
      </c>
      <c r="G273" s="13">
        <v>-0.185596050130519</v>
      </c>
      <c r="H273" s="13">
        <v>4.7978227961659571E-4</v>
      </c>
      <c r="I273" s="13">
        <v>5.0640118273027633E-2</v>
      </c>
      <c r="J273" s="13">
        <v>0.55773319197530957</v>
      </c>
      <c r="K273" s="13">
        <v>12.94790026246719</v>
      </c>
      <c r="L273" s="13">
        <v>1.4570457260665499</v>
      </c>
      <c r="M273" s="13">
        <v>-0.2301987781836308</v>
      </c>
      <c r="N273" s="19">
        <f>(F273-Settings!$D$18)/Settings!$E$18</f>
        <v>4.7343636855323432E-2</v>
      </c>
      <c r="O273" s="19">
        <f>(G273-Settings!$D$19)/Settings!$E$19</f>
        <v>-0.74554581342605308</v>
      </c>
      <c r="P273" s="19">
        <f>(H273-Settings!$D$20)/Settings!$E$20</f>
        <v>-0.47699569106036593</v>
      </c>
      <c r="Q273" s="19">
        <f>(I273-Settings!$D$21)/Settings!$E$21</f>
        <v>0.65894623293762955</v>
      </c>
      <c r="R273" s="19">
        <f>(J273-Settings!$D$22)/Settings!$E$22</f>
        <v>0.83372510452221282</v>
      </c>
      <c r="S273" s="19">
        <f>(K273-Settings!$D$23)/Settings!$E$23</f>
        <v>-0.80127615821798737</v>
      </c>
      <c r="T273" s="19">
        <f>(L273-Settings!$D$24)/Settings!$E$24</f>
        <v>0.10285823663075039</v>
      </c>
      <c r="U273" s="19">
        <f>(M273-Settings!$D$25)/Settings!$E$25</f>
        <v>-0.11927836183169654</v>
      </c>
      <c r="V273" s="31">
        <f>Settings!$B$18*(N273-F$6)^2</f>
        <v>7.2918318611071029E-8</v>
      </c>
      <c r="W273" s="31">
        <f>Settings!$B$19*(O273-G$6)^2</f>
        <v>0.31229481779643209</v>
      </c>
      <c r="X273" s="31">
        <f>Settings!$B$20*(P273-H$6)^2</f>
        <v>1.4999090052255417</v>
      </c>
      <c r="Y273" s="31">
        <f>Settings!$B$21*(Q273-I$6)^2</f>
        <v>0.46127757694083099</v>
      </c>
      <c r="Z273" s="31">
        <f>Settings!$B$22*(R273-J$6)^2</f>
        <v>9.2713629954270349E-2</v>
      </c>
      <c r="AA273" s="31">
        <f>Settings!$B$23*(S273-K$6)^2</f>
        <v>6.3964357745889426</v>
      </c>
      <c r="AB273" s="31">
        <f>Settings!$B$24*(T273-L$6)^2</f>
        <v>2.025946869672802</v>
      </c>
      <c r="AC273" s="31">
        <f>Settings!$B$25*(U273-M$6)^2</f>
        <v>3.9258412476125019E-3</v>
      </c>
      <c r="AD273" s="19">
        <f t="shared" si="16"/>
        <v>3.2851946043339275</v>
      </c>
      <c r="AE273" s="15">
        <f t="shared" si="17"/>
        <v>1.3003395836333322</v>
      </c>
      <c r="AF273" s="33">
        <f t="shared" si="18"/>
        <v>0.42936774346223233</v>
      </c>
      <c r="AG273" s="47">
        <f t="shared" si="19"/>
        <v>1.853752242500354E-3</v>
      </c>
      <c r="AH273" s="48"/>
      <c r="AI273" s="48"/>
      <c r="AJ273" s="48"/>
      <c r="AK273" s="48"/>
      <c r="AL273" s="18">
        <v>0.1671536981352473</v>
      </c>
      <c r="AM273" s="46">
        <v>0</v>
      </c>
      <c r="AN273" s="18">
        <v>1.9616321478749741</v>
      </c>
      <c r="AO273" s="46">
        <v>0</v>
      </c>
      <c r="AP273" s="18">
        <v>1.302230064401386</v>
      </c>
      <c r="AQ273" s="46">
        <v>0</v>
      </c>
    </row>
    <row r="274" spans="1:43" ht="20" customHeight="1" x14ac:dyDescent="0.45">
      <c r="A274" s="26">
        <v>264</v>
      </c>
      <c r="B274" s="16" t="s">
        <v>490</v>
      </c>
      <c r="C274" s="16" t="s">
        <v>229</v>
      </c>
      <c r="D274" s="46">
        <v>26</v>
      </c>
      <c r="E274" s="46">
        <v>1</v>
      </c>
      <c r="F274" s="13">
        <v>0.29846457488458972</v>
      </c>
      <c r="G274" s="13">
        <v>-9.5305989735175289E-2</v>
      </c>
      <c r="H274" s="13">
        <v>0.13670722900925331</v>
      </c>
      <c r="I274" s="13">
        <v>1.7243738661534949E-4</v>
      </c>
      <c r="J274" s="13">
        <v>0.46934976898436631</v>
      </c>
      <c r="K274" s="13">
        <v>18.949774774774799</v>
      </c>
      <c r="L274" s="13">
        <v>4.5964333071801367</v>
      </c>
      <c r="M274" s="13">
        <v>4.1807981412290474</v>
      </c>
      <c r="N274" s="19">
        <f>(F274-Settings!$D$18)/Settings!$E$18</f>
        <v>0.3798760398542928</v>
      </c>
      <c r="O274" s="19">
        <f>(G274-Settings!$D$19)/Settings!$E$19</f>
        <v>-0.36938591378288682</v>
      </c>
      <c r="P274" s="19">
        <f>(H274-Settings!$D$20)/Settings!$E$20</f>
        <v>0.75725117259887653</v>
      </c>
      <c r="Q274" s="19">
        <f>(I274-Settings!$D$21)/Settings!$E$21</f>
        <v>3.8329639988139527E-2</v>
      </c>
      <c r="R274" s="19">
        <f>(J274-Settings!$D$22)/Settings!$E$22</f>
        <v>0.59592534382183249</v>
      </c>
      <c r="S274" s="19">
        <f>(K274-Settings!$D$23)/Settings!$E$23</f>
        <v>1.2830368094109306</v>
      </c>
      <c r="T274" s="19">
        <f>(L274-Settings!$D$24)/Settings!$E$24</f>
        <v>2.2732885908775007</v>
      </c>
      <c r="U274" s="19">
        <f>(M274-Settings!$D$25)/Settings!$E$25</f>
        <v>2.8555470881104292</v>
      </c>
      <c r="V274" s="31">
        <f>Settings!$B$18*(N274-F$6)^2</f>
        <v>2.2195947842472183E-2</v>
      </c>
      <c r="W274" s="31">
        <f>Settings!$B$19*(O274-G$6)^2</f>
        <v>0.15257587718696008</v>
      </c>
      <c r="X274" s="31">
        <f>Settings!$B$20*(P274-H$6)^2</f>
        <v>0.45257338224479549</v>
      </c>
      <c r="Y274" s="31">
        <f>Settings!$B$21*(Q274-I$6)^2</f>
        <v>0.16130345152407219</v>
      </c>
      <c r="Z274" s="31">
        <f>Settings!$B$22*(R274-J$6)^2</f>
        <v>3.9260190129679566E-2</v>
      </c>
      <c r="AA274" s="31">
        <f>Settings!$B$23*(S274-K$6)^2</f>
        <v>0.19785115041918808</v>
      </c>
      <c r="AB274" s="31">
        <f>Settings!$B$24*(T274-L$6)^2</f>
        <v>0.558117693737056</v>
      </c>
      <c r="AC274" s="31">
        <f>Settings!$B$25*(U274-M$6)^2</f>
        <v>9.2262968025169947</v>
      </c>
      <c r="AD274" s="19">
        <f t="shared" si="16"/>
        <v>3.2878829808253851</v>
      </c>
      <c r="AE274" s="15">
        <f t="shared" si="17"/>
        <v>1.30140369178782</v>
      </c>
      <c r="AF274" s="33">
        <f t="shared" si="18"/>
        <v>0.42877379457131909</v>
      </c>
      <c r="AG274" s="47">
        <f t="shared" si="19"/>
        <v>1.8511879276322115E-3</v>
      </c>
      <c r="AH274" s="18">
        <v>1.1745194485182571</v>
      </c>
      <c r="AI274" s="46">
        <v>1</v>
      </c>
      <c r="AJ274" s="18">
        <v>-1.510952814154676</v>
      </c>
      <c r="AK274" s="46">
        <v>1</v>
      </c>
      <c r="AL274" s="18">
        <v>-2.035749938813912</v>
      </c>
      <c r="AM274" s="46">
        <v>1</v>
      </c>
      <c r="AN274" s="48"/>
      <c r="AO274" s="48"/>
      <c r="AP274" s="48"/>
      <c r="AQ274" s="48"/>
    </row>
    <row r="275" spans="1:43" ht="20" customHeight="1" x14ac:dyDescent="0.45">
      <c r="A275" s="26">
        <v>265</v>
      </c>
      <c r="B275" s="16" t="s">
        <v>491</v>
      </c>
      <c r="C275" s="16" t="s">
        <v>232</v>
      </c>
      <c r="D275" s="46">
        <v>26</v>
      </c>
      <c r="E275" s="46">
        <v>0</v>
      </c>
      <c r="F275" s="13">
        <v>0.50389708786856835</v>
      </c>
      <c r="G275" s="13">
        <v>0.34086592706498209</v>
      </c>
      <c r="H275" s="13">
        <v>-4.6187913249334717E-2</v>
      </c>
      <c r="I275" s="13">
        <v>4.8132831100325402E-2</v>
      </c>
      <c r="J275" s="13">
        <v>6.0916240716789527E-2</v>
      </c>
      <c r="K275" s="13">
        <v>14.283964646464639</v>
      </c>
      <c r="L275" s="13">
        <v>1.104767195294132</v>
      </c>
      <c r="M275" s="13">
        <v>1.051498879741652</v>
      </c>
      <c r="N275" s="19">
        <f>(F275-Settings!$D$18)/Settings!$E$18</f>
        <v>1.1151061975004835</v>
      </c>
      <c r="O275" s="19">
        <f>(G275-Settings!$D$19)/Settings!$E$19</f>
        <v>1.4477618844610916</v>
      </c>
      <c r="P275" s="19">
        <f>(H275-Settings!$D$20)/Settings!$E$20</f>
        <v>-0.89981398666512147</v>
      </c>
      <c r="Q275" s="19">
        <f>(I275-Settings!$D$21)/Settings!$E$21</f>
        <v>0.6281133514709607</v>
      </c>
      <c r="R275" s="19">
        <f>(J275-Settings!$D$22)/Settings!$E$22</f>
        <v>-0.50298429327147531</v>
      </c>
      <c r="S275" s="19">
        <f>(K275-Settings!$D$23)/Settings!$E$23</f>
        <v>-0.33729172877973657</v>
      </c>
      <c r="T275" s="19">
        <f>(L275-Settings!$D$24)/Settings!$E$24</f>
        <v>-0.14069118075806727</v>
      </c>
      <c r="U275" s="19">
        <f>(M275-Settings!$D$25)/Settings!$E$25</f>
        <v>0.74511281358427373</v>
      </c>
      <c r="V275" s="31">
        <f>Settings!$B$18*(N275-F$6)^2</f>
        <v>0.22828134218170373</v>
      </c>
      <c r="W275" s="31">
        <f>Settings!$B$19*(O275-G$6)^2</f>
        <v>0.17812078165582668</v>
      </c>
      <c r="X275" s="31">
        <f>Settings!$B$20*(P275-H$6)^2</f>
        <v>1.998824254877593</v>
      </c>
      <c r="Y275" s="31">
        <f>Settings!$B$21*(Q275-I$6)^2</f>
        <v>0.44273760238117604</v>
      </c>
      <c r="Z275" s="31">
        <f>Settings!$B$22*(R275-J$6)^2</f>
        <v>8.6028108395850802E-2</v>
      </c>
      <c r="AA275" s="31">
        <f>Settings!$B$23*(S275-K$6)^2</f>
        <v>4.2647749631285166</v>
      </c>
      <c r="AB275" s="31">
        <f>Settings!$B$24*(T275-L$6)^2</f>
        <v>2.7785790189018087</v>
      </c>
      <c r="AC275" s="31">
        <f>Settings!$B$25*(U275-M$6)^2</f>
        <v>0.85941745545526615</v>
      </c>
      <c r="AD275" s="19">
        <f t="shared" si="16"/>
        <v>3.2919239856013904</v>
      </c>
      <c r="AE275" s="15">
        <f t="shared" si="17"/>
        <v>1.303003194739931</v>
      </c>
      <c r="AF275" s="33">
        <f t="shared" si="18"/>
        <v>0.42788164040648202</v>
      </c>
      <c r="AG275" s="47">
        <f t="shared" si="19"/>
        <v>1.8473361413513256E-3</v>
      </c>
      <c r="AH275" s="18">
        <v>-7.7038216841689877E-2</v>
      </c>
      <c r="AI275" s="46">
        <v>0</v>
      </c>
      <c r="AJ275" s="18">
        <v>0.14162143067587851</v>
      </c>
      <c r="AK275" s="46">
        <v>0</v>
      </c>
      <c r="AL275" s="18">
        <v>-0.16381232274952501</v>
      </c>
      <c r="AM275" s="46">
        <v>1</v>
      </c>
      <c r="AN275" s="18">
        <v>-0.65684456535254609</v>
      </c>
      <c r="AO275" s="46">
        <v>1</v>
      </c>
      <c r="AP275" s="18">
        <v>5.9033404767379671E-2</v>
      </c>
      <c r="AQ275" s="46">
        <v>1</v>
      </c>
    </row>
    <row r="276" spans="1:43" ht="20" customHeight="1" x14ac:dyDescent="0.45">
      <c r="A276" s="26">
        <v>266</v>
      </c>
      <c r="B276" s="16" t="s">
        <v>492</v>
      </c>
      <c r="C276" s="16" t="s">
        <v>234</v>
      </c>
      <c r="D276" s="46">
        <v>26</v>
      </c>
      <c r="E276" s="46">
        <v>1</v>
      </c>
      <c r="F276" s="13">
        <v>0.51808909965412131</v>
      </c>
      <c r="G276" s="13">
        <v>-0.35270126417305492</v>
      </c>
      <c r="H276" s="13">
        <v>2.9206269072492661E-2</v>
      </c>
      <c r="I276" s="13">
        <v>7.6647863738508182E-2</v>
      </c>
      <c r="J276" s="13">
        <v>-2.3355503361822981E-2</v>
      </c>
      <c r="K276" s="13">
        <v>14.83287356321836</v>
      </c>
      <c r="L276" s="13">
        <v>0.51647330788836465</v>
      </c>
      <c r="M276" s="13">
        <v>-0.24301114742326599</v>
      </c>
      <c r="N276" s="19">
        <f>(F276-Settings!$D$18)/Settings!$E$18</f>
        <v>1.165898522974409</v>
      </c>
      <c r="O276" s="19">
        <f>(G276-Settings!$D$19)/Settings!$E$19</f>
        <v>-1.441727433737958</v>
      </c>
      <c r="P276" s="19">
        <f>(H276-Settings!$D$20)/Settings!$E$20</f>
        <v>-0.21672819666606297</v>
      </c>
      <c r="Q276" s="19">
        <f>(I276-Settings!$D$21)/Settings!$E$21</f>
        <v>0.97877147748200044</v>
      </c>
      <c r="R276" s="19">
        <f>(J276-Settings!$D$22)/Settings!$E$22</f>
        <v>-0.72972138827798172</v>
      </c>
      <c r="S276" s="19">
        <f>(K276-Settings!$D$23)/Settings!$E$23</f>
        <v>-0.14666828757136008</v>
      </c>
      <c r="T276" s="19">
        <f>(L276-Settings!$D$24)/Settings!$E$24</f>
        <v>-0.54741092384578749</v>
      </c>
      <c r="U276" s="19">
        <f>(M276-Settings!$D$25)/Settings!$E$25</f>
        <v>-0.12791916634470385</v>
      </c>
      <c r="V276" s="31">
        <f>Settings!$B$18*(N276-F$6)^2</f>
        <v>0.2505032393018099</v>
      </c>
      <c r="W276" s="31">
        <f>Settings!$B$19*(O276-G$6)^2</f>
        <v>0.75720510361729421</v>
      </c>
      <c r="X276" s="31">
        <f>Settings!$B$20*(P276-H$6)^2</f>
        <v>1.2283567315564317</v>
      </c>
      <c r="Y276" s="31">
        <f>Settings!$B$21*(Q276-I$6)^2</f>
        <v>0.67602005075532912</v>
      </c>
      <c r="Z276" s="31">
        <f>Settings!$B$22*(R276-J$6)^2</f>
        <v>0.15579235118290438</v>
      </c>
      <c r="AA276" s="31">
        <f>Settings!$B$23*(S276-K$6)^2</f>
        <v>3.5137866809399161</v>
      </c>
      <c r="AB276" s="31">
        <f>Settings!$B$24*(T276-L$6)^2</f>
        <v>4.2999279595308391</v>
      </c>
      <c r="AC276" s="31">
        <f>Settings!$B$25*(U276-M$6)^2</f>
        <v>2.9176990274595595E-3</v>
      </c>
      <c r="AD276" s="19">
        <f t="shared" si="16"/>
        <v>3.2991680490560018</v>
      </c>
      <c r="AE276" s="15">
        <f t="shared" si="17"/>
        <v>1.3058705263871815</v>
      </c>
      <c r="AF276" s="33">
        <f t="shared" si="18"/>
        <v>0.42628424397358827</v>
      </c>
      <c r="AG276" s="47">
        <f t="shared" si="19"/>
        <v>1.8404395421895879E-3</v>
      </c>
      <c r="AH276" s="18">
        <v>-0.2459972807929163</v>
      </c>
      <c r="AI276" s="46">
        <v>1</v>
      </c>
      <c r="AJ276" s="18">
        <v>-0.234324878025992</v>
      </c>
      <c r="AK276" s="46">
        <v>1</v>
      </c>
      <c r="AL276" s="18">
        <v>0.6170957829241146</v>
      </c>
      <c r="AM276" s="46">
        <v>1</v>
      </c>
      <c r="AN276" s="18">
        <v>0.47509067581670772</v>
      </c>
      <c r="AO276" s="46">
        <v>1</v>
      </c>
      <c r="AP276" s="18">
        <v>-7.5782342902428024E-2</v>
      </c>
      <c r="AQ276" s="46">
        <v>1</v>
      </c>
    </row>
    <row r="277" spans="1:43" ht="20" customHeight="1" x14ac:dyDescent="0.45">
      <c r="A277" s="26">
        <v>267</v>
      </c>
      <c r="B277" s="16" t="s">
        <v>493</v>
      </c>
      <c r="C277" s="16" t="s">
        <v>258</v>
      </c>
      <c r="D277" s="46">
        <v>26</v>
      </c>
      <c r="E277" s="46">
        <v>0</v>
      </c>
      <c r="F277" s="13">
        <v>-1.3048700332664861E-2</v>
      </c>
      <c r="G277" s="13">
        <v>0.53144079374931263</v>
      </c>
      <c r="H277" s="13">
        <v>0.13533354076429641</v>
      </c>
      <c r="I277" s="13">
        <v>-0.24618938909015839</v>
      </c>
      <c r="J277" s="13">
        <v>7.3987576063567775E-2</v>
      </c>
      <c r="K277" s="13">
        <v>14.813696369636929</v>
      </c>
      <c r="L277" s="13">
        <v>0.27003266998064601</v>
      </c>
      <c r="M277" s="13">
        <v>0.26854497029043439</v>
      </c>
      <c r="N277" s="19">
        <f>(F277-Settings!$D$18)/Settings!$E$18</f>
        <v>-0.73501055292532835</v>
      </c>
      <c r="O277" s="19">
        <f>(G277-Settings!$D$19)/Settings!$E$19</f>
        <v>2.2417210690335772</v>
      </c>
      <c r="P277" s="19">
        <f>(H277-Settings!$D$20)/Settings!$E$20</f>
        <v>0.74480529294183118</v>
      </c>
      <c r="Q277" s="19">
        <f>(I277-Settings!$D$21)/Settings!$E$21</f>
        <v>-2.9912575075757175</v>
      </c>
      <c r="R277" s="19">
        <f>(J277-Settings!$D$22)/Settings!$E$22</f>
        <v>-0.46781525011485531</v>
      </c>
      <c r="S277" s="19">
        <f>(K277-Settings!$D$23)/Settings!$E$23</f>
        <v>-0.15332808580315255</v>
      </c>
      <c r="T277" s="19">
        <f>(L277-Settings!$D$24)/Settings!$E$24</f>
        <v>-0.71778881673568506</v>
      </c>
      <c r="U277" s="19">
        <f>(M277-Settings!$D$25)/Settings!$E$25</f>
        <v>0.21707997689907138</v>
      </c>
      <c r="V277" s="31">
        <f>Settings!$B$18*(N277-F$6)^2</f>
        <v>0.12222672994282052</v>
      </c>
      <c r="W277" s="31">
        <f>Settings!$B$19*(O277-G$6)^2</f>
        <v>0.60390448969075339</v>
      </c>
      <c r="X277" s="31">
        <f>Settings!$B$20*(P277-H$6)^2</f>
        <v>0.46009321158786581</v>
      </c>
      <c r="Y277" s="31">
        <f>Settings!$B$21*(Q277-I$6)^2</f>
        <v>0.90867898817753479</v>
      </c>
      <c r="Z277" s="31">
        <f>Settings!$B$22*(R277-J$6)^2</f>
        <v>7.7049219782416814E-2</v>
      </c>
      <c r="AA277" s="31">
        <f>Settings!$B$23*(S277-K$6)^2</f>
        <v>3.5387987468563522</v>
      </c>
      <c r="AB277" s="31">
        <f>Settings!$B$24*(T277-L$6)^2</f>
        <v>5.0355569035563974</v>
      </c>
      <c r="AC277" s="31">
        <f>Settings!$B$25*(U277-M$6)^2</f>
        <v>0.15921286862672218</v>
      </c>
      <c r="AD277" s="19">
        <f t="shared" si="16"/>
        <v>3.3023508532893451</v>
      </c>
      <c r="AE277" s="15">
        <f t="shared" si="17"/>
        <v>1.3071303380056809</v>
      </c>
      <c r="AF277" s="33">
        <f t="shared" si="18"/>
        <v>0.42558318091284769</v>
      </c>
      <c r="AG277" s="47">
        <f t="shared" si="19"/>
        <v>1.8374127726178855E-3</v>
      </c>
      <c r="AH277" s="18">
        <v>2.9563035850479591E-2</v>
      </c>
      <c r="AI277" s="46">
        <v>0</v>
      </c>
      <c r="AJ277" s="18">
        <v>-0.37735337261788082</v>
      </c>
      <c r="AK277" s="46">
        <v>0</v>
      </c>
      <c r="AL277" s="18">
        <v>-0.48974936683190079</v>
      </c>
      <c r="AM277" s="46">
        <v>0</v>
      </c>
      <c r="AN277" s="48"/>
      <c r="AO277" s="48"/>
      <c r="AP277" s="48"/>
      <c r="AQ277" s="48"/>
    </row>
    <row r="278" spans="1:43" ht="20" customHeight="1" x14ac:dyDescent="0.45">
      <c r="A278" s="26">
        <v>268</v>
      </c>
      <c r="B278" s="16" t="s">
        <v>494</v>
      </c>
      <c r="C278" s="16" t="s">
        <v>220</v>
      </c>
      <c r="D278" s="46">
        <v>26</v>
      </c>
      <c r="E278" s="46">
        <v>1</v>
      </c>
      <c r="F278" s="13">
        <v>0.4854921971035151</v>
      </c>
      <c r="G278" s="13">
        <v>1.8933572080731442E-2</v>
      </c>
      <c r="H278" s="13">
        <v>7.4287267029333942E-2</v>
      </c>
      <c r="I278" s="13">
        <v>0.12091493277435281</v>
      </c>
      <c r="J278" s="13">
        <v>-0.30037203101206672</v>
      </c>
      <c r="K278" s="13">
        <v>14.871776155717789</v>
      </c>
      <c r="L278" s="13">
        <v>0.49821186629159431</v>
      </c>
      <c r="M278" s="13">
        <v>0.53842531789855996</v>
      </c>
      <c r="N278" s="19">
        <f>(F278-Settings!$D$18)/Settings!$E$18</f>
        <v>1.0492362407828417</v>
      </c>
      <c r="O278" s="19">
        <f>(G278-Settings!$D$19)/Settings!$E$19</f>
        <v>0.10655066129295464</v>
      </c>
      <c r="P278" s="19">
        <f>(H278-Settings!$D$20)/Settings!$E$20</f>
        <v>0.19171431381633589</v>
      </c>
      <c r="Q278" s="19">
        <f>(I278-Settings!$D$21)/Settings!$E$21</f>
        <v>1.523137239537107</v>
      </c>
      <c r="R278" s="19">
        <f>(J278-Settings!$D$22)/Settings!$E$22</f>
        <v>-1.4750473980211036</v>
      </c>
      <c r="S278" s="19">
        <f>(K278-Settings!$D$23)/Settings!$E$23</f>
        <v>-0.13315831200378225</v>
      </c>
      <c r="T278" s="19">
        <f>(L278-Settings!$D$24)/Settings!$E$24</f>
        <v>-0.56003605729295347</v>
      </c>
      <c r="U278" s="19">
        <f>(M278-Settings!$D$25)/Settings!$E$25</f>
        <v>0.39909028911909861</v>
      </c>
      <c r="V278" s="31">
        <f>Settings!$B$18*(N278-F$6)^2</f>
        <v>0.20099981367333908</v>
      </c>
      <c r="W278" s="31">
        <f>Settings!$B$19*(O278-G$6)^2</f>
        <v>3.1600151874792613E-2</v>
      </c>
      <c r="X278" s="31">
        <f>Settings!$B$20*(P278-H$6)^2</f>
        <v>0.85683073044189273</v>
      </c>
      <c r="Y278" s="31">
        <f>Settings!$B$21*(Q278-I$6)^2</f>
        <v>1.1356145149048635</v>
      </c>
      <c r="Z278" s="31">
        <f>Settings!$B$22*(R278-J$6)^2</f>
        <v>0.5300208703499002</v>
      </c>
      <c r="AA278" s="31">
        <f>Settings!$B$23*(S278-K$6)^2</f>
        <v>3.4633200394109749</v>
      </c>
      <c r="AB278" s="31">
        <f>Settings!$B$24*(T278-L$6)^2</f>
        <v>4.3524469827748282</v>
      </c>
      <c r="AC278" s="31">
        <f>Settings!$B$25*(U278-M$6)^2</f>
        <v>0.3375902654981372</v>
      </c>
      <c r="AD278" s="19">
        <f t="shared" si="16"/>
        <v>3.3027902399227123</v>
      </c>
      <c r="AE278" s="15">
        <f t="shared" si="17"/>
        <v>1.3073042552010681</v>
      </c>
      <c r="AF278" s="33">
        <f t="shared" si="18"/>
        <v>0.42548643661024982</v>
      </c>
      <c r="AG278" s="47">
        <f t="shared" si="19"/>
        <v>1.836995088777819E-3</v>
      </c>
      <c r="AH278" s="18">
        <v>2.0234159665535271E-2</v>
      </c>
      <c r="AI278" s="46">
        <v>1</v>
      </c>
      <c r="AJ278" s="18">
        <v>0.92137655507504279</v>
      </c>
      <c r="AK278" s="46">
        <v>1</v>
      </c>
      <c r="AL278" s="18">
        <v>0.2631397069553747</v>
      </c>
      <c r="AM278" s="46">
        <v>1</v>
      </c>
      <c r="AN278" s="18">
        <v>-0.71873361965808269</v>
      </c>
      <c r="AO278" s="46">
        <v>1</v>
      </c>
      <c r="AP278" s="48"/>
      <c r="AQ278" s="48"/>
    </row>
    <row r="279" spans="1:43" ht="20" customHeight="1" x14ac:dyDescent="0.45">
      <c r="A279" s="26">
        <v>269</v>
      </c>
      <c r="B279" s="16" t="s">
        <v>495</v>
      </c>
      <c r="C279" s="16" t="s">
        <v>236</v>
      </c>
      <c r="D279" s="46">
        <v>26</v>
      </c>
      <c r="E279" s="46">
        <v>0</v>
      </c>
      <c r="F279" s="13">
        <v>0.7320060434666591</v>
      </c>
      <c r="G279" s="13">
        <v>9.1997878528235627E-2</v>
      </c>
      <c r="H279" s="13">
        <v>-7.5443217642111038E-2</v>
      </c>
      <c r="I279" s="13">
        <v>-3.7860831432128899E-3</v>
      </c>
      <c r="J279" s="13">
        <v>9.6766777219781497E-2</v>
      </c>
      <c r="K279" s="13">
        <v>15.15924369747899</v>
      </c>
      <c r="L279" s="13">
        <v>0.41482141854960081</v>
      </c>
      <c r="M279" s="13">
        <v>-0.28405087519585731</v>
      </c>
      <c r="N279" s="19">
        <f>(F279-Settings!$D$18)/Settings!$E$18</f>
        <v>1.9314939296506117</v>
      </c>
      <c r="O279" s="19">
        <f>(G279-Settings!$D$19)/Settings!$E$19</f>
        <v>0.41094587445872266</v>
      </c>
      <c r="P279" s="19">
        <f>(H279-Settings!$D$20)/Settings!$E$20</f>
        <v>-1.1648726702051777</v>
      </c>
      <c r="Q279" s="19">
        <f>(I279-Settings!$D$21)/Settings!$E$21</f>
        <v>-1.0349504390853534E-2</v>
      </c>
      <c r="R279" s="19">
        <f>(J279-Settings!$D$22)/Settings!$E$22</f>
        <v>-0.40652673694594887</v>
      </c>
      <c r="S279" s="19">
        <f>(K279-Settings!$D$23)/Settings!$E$23</f>
        <v>-3.3327446857135318E-2</v>
      </c>
      <c r="T279" s="19">
        <f>(L279-Settings!$D$24)/Settings!$E$24</f>
        <v>-0.61768843513960625</v>
      </c>
      <c r="U279" s="19">
        <f>(M279-Settings!$D$25)/Settings!$E$25</f>
        <v>-0.1555968158346194</v>
      </c>
      <c r="V279" s="31">
        <f>Settings!$B$18*(N279-F$6)^2</f>
        <v>0.71045960877020153</v>
      </c>
      <c r="W279" s="31">
        <f>Settings!$B$19*(O279-G$6)^2</f>
        <v>1.7334430642532549E-3</v>
      </c>
      <c r="X279" s="31">
        <f>Settings!$B$20*(P279-H$6)^2</f>
        <v>2.3480525732897131</v>
      </c>
      <c r="Y279" s="31">
        <f>Settings!$B$21*(Q279-I$6)^2</f>
        <v>0.14429060682283579</v>
      </c>
      <c r="Z279" s="31">
        <f>Settings!$B$22*(R279-J$6)^2</f>
        <v>6.258420629205487E-2</v>
      </c>
      <c r="AA279" s="31">
        <f>Settings!$B$23*(S279-K$6)^2</f>
        <v>3.101715812500605</v>
      </c>
      <c r="AB279" s="31">
        <f>Settings!$B$24*(T279-L$6)^2</f>
        <v>4.596325544883725</v>
      </c>
      <c r="AC279" s="31">
        <f>Settings!$B$25*(U279-M$6)^2</f>
        <v>6.936944557126779E-4</v>
      </c>
      <c r="AD279" s="19">
        <f t="shared" si="16"/>
        <v>3.3114733110926773</v>
      </c>
      <c r="AE279" s="15">
        <f t="shared" si="17"/>
        <v>1.3107411721906783</v>
      </c>
      <c r="AF279" s="33">
        <f t="shared" si="18"/>
        <v>0.42357647179863933</v>
      </c>
      <c r="AG279" s="47">
        <f t="shared" si="19"/>
        <v>1.8287490069364822E-3</v>
      </c>
      <c r="AH279" s="18">
        <v>0.63995940021284625</v>
      </c>
      <c r="AI279" s="46">
        <v>1</v>
      </c>
      <c r="AJ279" s="18">
        <v>5.8653841312279908E-2</v>
      </c>
      <c r="AK279" s="46">
        <v>1</v>
      </c>
      <c r="AL279" s="48"/>
      <c r="AM279" s="48"/>
      <c r="AN279" s="48"/>
      <c r="AO279" s="48"/>
      <c r="AP279" s="48"/>
      <c r="AQ279" s="48"/>
    </row>
    <row r="280" spans="1:43" ht="20" customHeight="1" x14ac:dyDescent="0.45">
      <c r="A280" s="26">
        <v>270</v>
      </c>
      <c r="B280" s="16" t="s">
        <v>496</v>
      </c>
      <c r="C280" s="16" t="s">
        <v>234</v>
      </c>
      <c r="D280" s="46">
        <v>26</v>
      </c>
      <c r="E280" s="46">
        <v>1</v>
      </c>
      <c r="F280" s="13">
        <v>0.52359074405910533</v>
      </c>
      <c r="G280" s="13">
        <v>0.35298530345549228</v>
      </c>
      <c r="H280" s="13">
        <v>2.873111155959187E-2</v>
      </c>
      <c r="I280" s="13">
        <v>8.903216145655718E-2</v>
      </c>
      <c r="J280" s="13">
        <v>-5.6606794692534894E-3</v>
      </c>
      <c r="K280" s="13">
        <v>13.876190476190439</v>
      </c>
      <c r="L280" s="13">
        <v>0.87912629167225553</v>
      </c>
      <c r="M280" s="13">
        <v>-0.91765642748248855</v>
      </c>
      <c r="N280" s="19">
        <f>(F280-Settings!$D$18)/Settings!$E$18</f>
        <v>1.1855885653364238</v>
      </c>
      <c r="O280" s="19">
        <f>(G280-Settings!$D$19)/Settings!$E$19</f>
        <v>1.4982527511947146</v>
      </c>
      <c r="P280" s="19">
        <f>(H280-Settings!$D$20)/Settings!$E$20</f>
        <v>-0.2210332151048644</v>
      </c>
      <c r="Q280" s="19">
        <f>(I280-Settings!$D$21)/Settings!$E$21</f>
        <v>1.1310649952512513</v>
      </c>
      <c r="R280" s="19">
        <f>(J280-Settings!$D$22)/Settings!$E$22</f>
        <v>-0.68211263151236545</v>
      </c>
      <c r="S280" s="19">
        <f>(K280-Settings!$D$23)/Settings!$E$23</f>
        <v>-0.47890231880852668</v>
      </c>
      <c r="T280" s="19">
        <f>(L280-Settings!$D$24)/Settings!$E$24</f>
        <v>-0.29668907962433883</v>
      </c>
      <c r="U280" s="19">
        <f>(M280-Settings!$D$25)/Settings!$E$25</f>
        <v>-0.58290745708028957</v>
      </c>
      <c r="V280" s="31">
        <f>Settings!$B$18*(N280-F$6)^2</f>
        <v>0.25939529174312576</v>
      </c>
      <c r="W280" s="31">
        <f>Settings!$B$19*(O280-G$6)^2</f>
        <v>0.19769030570835877</v>
      </c>
      <c r="X280" s="31">
        <f>Settings!$B$20*(P280-H$6)^2</f>
        <v>1.2326280240237748</v>
      </c>
      <c r="Y280" s="31">
        <f>Settings!$B$21*(Q280-I$6)^2</f>
        <v>0.79265566510459706</v>
      </c>
      <c r="Z280" s="31">
        <f>Settings!$B$22*(R280-J$6)^2</f>
        <v>0.13943810103837459</v>
      </c>
      <c r="AA280" s="31">
        <f>Settings!$B$23*(S280-K$6)^2</f>
        <v>4.8697179725175586</v>
      </c>
      <c r="AB280" s="31">
        <f>Settings!$B$24*(T280-L$6)^2</f>
        <v>3.3229823493252573</v>
      </c>
      <c r="AC280" s="31">
        <f>Settings!$B$25*(U280-M$6)^2</f>
        <v>0.16077899490805042</v>
      </c>
      <c r="AD280" s="19">
        <f t="shared" si="16"/>
        <v>3.3128970259229455</v>
      </c>
      <c r="AE280" s="15">
        <f t="shared" si="17"/>
        <v>1.3113047043318675</v>
      </c>
      <c r="AF280" s="33">
        <f t="shared" si="18"/>
        <v>0.42326364756389884</v>
      </c>
      <c r="AG280" s="47">
        <f t="shared" si="19"/>
        <v>1.8273984196241178E-3</v>
      </c>
      <c r="AH280" s="18">
        <v>1.9656777778765181E-2</v>
      </c>
      <c r="AI280" s="46">
        <v>1</v>
      </c>
      <c r="AJ280" s="18">
        <v>0.46646327204261928</v>
      </c>
      <c r="AK280" s="46">
        <v>1</v>
      </c>
      <c r="AL280" s="18">
        <v>0.66388809200859278</v>
      </c>
      <c r="AM280" s="46">
        <v>1</v>
      </c>
      <c r="AN280" s="18">
        <v>-4.0546555802059903E-2</v>
      </c>
      <c r="AO280" s="46">
        <v>1</v>
      </c>
      <c r="AP280" s="18">
        <v>-1.1280860055815061</v>
      </c>
      <c r="AQ280" s="46">
        <v>1</v>
      </c>
    </row>
    <row r="281" spans="1:43" ht="20" customHeight="1" x14ac:dyDescent="0.45">
      <c r="A281" s="26">
        <v>271</v>
      </c>
      <c r="B281" s="16" t="s">
        <v>497</v>
      </c>
      <c r="C281" s="16" t="s">
        <v>236</v>
      </c>
      <c r="D281" s="46">
        <v>26</v>
      </c>
      <c r="E281" s="46">
        <v>0</v>
      </c>
      <c r="F281" s="13">
        <v>-0.1096461448762817</v>
      </c>
      <c r="G281" s="13">
        <v>-9.4154375204328497E-2</v>
      </c>
      <c r="H281" s="13">
        <v>-0.1105691243863568</v>
      </c>
      <c r="I281" s="13">
        <v>-9.1882731769380582E-3</v>
      </c>
      <c r="J281" s="13">
        <v>0.67644208235609482</v>
      </c>
      <c r="K281" s="13">
        <v>14.92453987730061</v>
      </c>
      <c r="L281" s="13">
        <v>0.75101809346335435</v>
      </c>
      <c r="M281" s="13">
        <v>-1.2818149619813071</v>
      </c>
      <c r="N281" s="19">
        <f>(F281-Settings!$D$18)/Settings!$E$18</f>
        <v>-1.0807267852218267</v>
      </c>
      <c r="O281" s="19">
        <f>(G281-Settings!$D$19)/Settings!$E$19</f>
        <v>-0.36458814086686298</v>
      </c>
      <c r="P281" s="19">
        <f>(H281-Settings!$D$20)/Settings!$E$20</f>
        <v>-1.4831201399556371</v>
      </c>
      <c r="Q281" s="19">
        <f>(I281-Settings!$D$21)/Settings!$E$21</f>
        <v>-7.6781896652786633E-2</v>
      </c>
      <c r="R281" s="19">
        <f>(J281-Settings!$D$22)/Settings!$E$22</f>
        <v>1.1531169629757043</v>
      </c>
      <c r="S281" s="19">
        <f>(K281-Settings!$D$23)/Settings!$E$23</f>
        <v>-0.11483468512855934</v>
      </c>
      <c r="T281" s="19">
        <f>(L281-Settings!$D$24)/Settings!$E$24</f>
        <v>-0.38525728435738743</v>
      </c>
      <c r="U281" s="19">
        <f>(M281-Settings!$D$25)/Settings!$E$25</f>
        <v>-0.82850002856296356</v>
      </c>
      <c r="V281" s="31">
        <f>Settings!$B$18*(N281-F$6)^2</f>
        <v>0.254236190373759</v>
      </c>
      <c r="W281" s="31">
        <f>Settings!$B$19*(O281-G$6)^2</f>
        <v>0.15090427402878792</v>
      </c>
      <c r="X281" s="31">
        <f>Settings!$B$20*(P281-H$6)^2</f>
        <v>2.804486968597983</v>
      </c>
      <c r="Y281" s="31">
        <f>Settings!$B$21*(Q281-I$6)^2</f>
        <v>0.12260261721706828</v>
      </c>
      <c r="Z281" s="31">
        <f>Settings!$B$22*(R281-J$6)^2</f>
        <v>0.20010011265195843</v>
      </c>
      <c r="AA281" s="31">
        <f>Settings!$B$23*(S281-K$6)^2</f>
        <v>3.3954552649413317</v>
      </c>
      <c r="AB281" s="31">
        <f>Settings!$B$24*(T281-L$6)^2</f>
        <v>3.6537295086372499</v>
      </c>
      <c r="AC281" s="31">
        <f>Settings!$B$25*(U281-M$6)^2</f>
        <v>0.41804647091829311</v>
      </c>
      <c r="AD281" s="19">
        <f t="shared" si="16"/>
        <v>3.3165586693689635</v>
      </c>
      <c r="AE281" s="15">
        <f t="shared" si="17"/>
        <v>1.3127540491919034</v>
      </c>
      <c r="AF281" s="33">
        <f t="shared" si="18"/>
        <v>0.42245954137267572</v>
      </c>
      <c r="AG281" s="47">
        <f t="shared" si="19"/>
        <v>1.8239267716536191E-3</v>
      </c>
      <c r="AH281" s="18">
        <v>-7.9872997754353858E-2</v>
      </c>
      <c r="AI281" s="46">
        <v>1</v>
      </c>
      <c r="AJ281" s="18">
        <v>1.0806227886452699</v>
      </c>
      <c r="AK281" s="46">
        <v>1</v>
      </c>
      <c r="AL281" s="18">
        <v>0.2018597278691121</v>
      </c>
      <c r="AM281" s="46">
        <v>1</v>
      </c>
      <c r="AN281" s="18">
        <v>1.335791102574859</v>
      </c>
      <c r="AO281" s="46">
        <v>1</v>
      </c>
      <c r="AP281" s="18">
        <v>0.93374775088266304</v>
      </c>
      <c r="AQ281" s="46">
        <v>1</v>
      </c>
    </row>
    <row r="282" spans="1:43" ht="20" customHeight="1" x14ac:dyDescent="0.45">
      <c r="A282" s="26">
        <v>272</v>
      </c>
      <c r="B282" s="16" t="s">
        <v>498</v>
      </c>
      <c r="C282" s="16" t="s">
        <v>227</v>
      </c>
      <c r="D282" s="46">
        <v>26</v>
      </c>
      <c r="E282" s="46">
        <v>0</v>
      </c>
      <c r="F282" s="13">
        <v>9.6083152176726604E-3</v>
      </c>
      <c r="G282" s="13">
        <v>0.38321448776364531</v>
      </c>
      <c r="H282" s="13">
        <v>-0.1413618832817248</v>
      </c>
      <c r="I282" s="13">
        <v>2.425588334786383E-2</v>
      </c>
      <c r="J282" s="13">
        <v>0.44155943038909362</v>
      </c>
      <c r="K282" s="13">
        <v>15.215591397849421</v>
      </c>
      <c r="L282" s="13">
        <v>0.68018480568025486</v>
      </c>
      <c r="M282" s="13">
        <v>0.46980655995360221</v>
      </c>
      <c r="N282" s="19">
        <f>(F282-Settings!$D$18)/Settings!$E$18</f>
        <v>-0.65392250667158858</v>
      </c>
      <c r="O282" s="19">
        <f>(G282-Settings!$D$19)/Settings!$E$19</f>
        <v>1.6241913859221759</v>
      </c>
      <c r="P282" s="19">
        <f>(H282-Settings!$D$20)/Settings!$E$20</f>
        <v>-1.7621084569388612</v>
      </c>
      <c r="Q282" s="19">
        <f>(I282-Settings!$D$21)/Settings!$E$21</f>
        <v>0.33449118172003522</v>
      </c>
      <c r="R282" s="19">
        <f>(J282-Settings!$D$22)/Settings!$E$22</f>
        <v>0.52115412944585637</v>
      </c>
      <c r="S282" s="19">
        <f>(K282-Settings!$D$23)/Settings!$E$23</f>
        <v>-1.3759186584895543E-2</v>
      </c>
      <c r="T282" s="19">
        <f>(L282-Settings!$D$24)/Settings!$E$24</f>
        <v>-0.43422821066811751</v>
      </c>
      <c r="U282" s="19">
        <f>(M282-Settings!$D$25)/Settings!$E$25</f>
        <v>0.35281303451941537</v>
      </c>
      <c r="V282" s="31">
        <f>Settings!$B$18*(N282-F$6)^2</f>
        <v>9.8185539946417821E-2</v>
      </c>
      <c r="W282" s="31">
        <f>Settings!$B$19*(O282-G$6)^2</f>
        <v>0.2509461431083963</v>
      </c>
      <c r="X282" s="31">
        <f>Settings!$B$20*(P282-H$6)^2</f>
        <v>3.2379397704819723</v>
      </c>
      <c r="Y282" s="31">
        <f>Settings!$B$21*(Q282-I$6)^2</f>
        <v>0.28523447931352497</v>
      </c>
      <c r="Z282" s="31">
        <f>Settings!$B$22*(R282-J$6)^2</f>
        <v>2.7127124272792749E-2</v>
      </c>
      <c r="AA282" s="31">
        <f>Settings!$B$23*(S282-K$6)^2</f>
        <v>3.0331727073827102</v>
      </c>
      <c r="AB282" s="31">
        <f>Settings!$B$24*(T282-L$6)^2</f>
        <v>3.8433408793862567</v>
      </c>
      <c r="AC282" s="31">
        <f>Settings!$B$25*(U282-M$6)^2</f>
        <v>0.28595534896972935</v>
      </c>
      <c r="AD282" s="19">
        <f t="shared" si="16"/>
        <v>3.3259437747595491</v>
      </c>
      <c r="AE282" s="15">
        <f t="shared" si="17"/>
        <v>1.3164688440536292</v>
      </c>
      <c r="AF282" s="33">
        <f t="shared" si="18"/>
        <v>0.42040148456004467</v>
      </c>
      <c r="AG282" s="47">
        <f t="shared" si="19"/>
        <v>1.8150413174253986E-3</v>
      </c>
      <c r="AH282" s="18">
        <v>0.81461463482164831</v>
      </c>
      <c r="AI282" s="46">
        <v>0</v>
      </c>
      <c r="AJ282" s="18">
        <v>0.51371327069065198</v>
      </c>
      <c r="AK282" s="46">
        <v>0</v>
      </c>
      <c r="AL282" s="18">
        <v>-0.2359418750937641</v>
      </c>
      <c r="AM282" s="46">
        <v>0</v>
      </c>
      <c r="AN282" s="18">
        <v>-1.117074395207446</v>
      </c>
      <c r="AO282" s="46">
        <v>1</v>
      </c>
      <c r="AP282" s="48"/>
      <c r="AQ282" s="48"/>
    </row>
    <row r="283" spans="1:43" ht="20" customHeight="1" x14ac:dyDescent="0.45">
      <c r="A283" s="26">
        <v>273</v>
      </c>
      <c r="B283" s="16" t="s">
        <v>499</v>
      </c>
      <c r="C283" s="16" t="s">
        <v>234</v>
      </c>
      <c r="D283" s="46">
        <v>26</v>
      </c>
      <c r="E283" s="46">
        <v>1</v>
      </c>
      <c r="F283" s="13">
        <v>0.45250710740404648</v>
      </c>
      <c r="G283" s="13">
        <v>-0.19529298837507739</v>
      </c>
      <c r="H283" s="13">
        <v>-8.4792163586696875E-2</v>
      </c>
      <c r="I283" s="13">
        <v>-6.0180331533195887E-2</v>
      </c>
      <c r="J283" s="13">
        <v>-0.2072274091009832</v>
      </c>
      <c r="K283" s="13">
        <v>17.000793650793671</v>
      </c>
      <c r="L283" s="13">
        <v>-0.13450106811319029</v>
      </c>
      <c r="M283" s="13">
        <v>-0.82389835909599896</v>
      </c>
      <c r="N283" s="19">
        <f>(F283-Settings!$D$18)/Settings!$E$18</f>
        <v>0.93118466098444153</v>
      </c>
      <c r="O283" s="19">
        <f>(G283-Settings!$D$19)/Settings!$E$19</f>
        <v>-0.78594449408866096</v>
      </c>
      <c r="P283" s="19">
        <f>(H283-Settings!$D$20)/Settings!$E$20</f>
        <v>-1.2495759182483235</v>
      </c>
      <c r="Q283" s="19">
        <f>(I283-Settings!$D$21)/Settings!$E$21</f>
        <v>-0.70384692061870235</v>
      </c>
      <c r="R283" s="19">
        <f>(J283-Settings!$D$22)/Settings!$E$22</f>
        <v>-1.2244374074660562</v>
      </c>
      <c r="S283" s="19">
        <f>(K283-Settings!$D$23)/Settings!$E$23</f>
        <v>0.60620049401519693</v>
      </c>
      <c r="T283" s="19">
        <f>(L283-Settings!$D$24)/Settings!$E$24</f>
        <v>-0.99746511722112008</v>
      </c>
      <c r="U283" s="19">
        <f>(M283-Settings!$D$25)/Settings!$E$25</f>
        <v>-0.51967597152969869</v>
      </c>
      <c r="V283" s="31">
        <f>Settings!$B$18*(N283-F$6)^2</f>
        <v>0.15644853441084933</v>
      </c>
      <c r="W283" s="31">
        <f>Settings!$B$19*(O283-G$6)^2</f>
        <v>0.33281393644648349</v>
      </c>
      <c r="X283" s="31">
        <f>Settings!$B$20*(P283-H$6)^2</f>
        <v>2.4655786119418734</v>
      </c>
      <c r="Y283" s="31">
        <f>Settings!$B$21*(Q283-I$6)^2</f>
        <v>4.8601200651441877E-3</v>
      </c>
      <c r="Z283" s="31">
        <f>Settings!$B$22*(R283-J$6)^2</f>
        <v>0.3793933278623709</v>
      </c>
      <c r="AA283" s="31">
        <f>Settings!$B$23*(S283-K$6)^2</f>
        <v>1.2580783890796772</v>
      </c>
      <c r="AB283" s="31">
        <f>Settings!$B$24*(T283-L$6)^2</f>
        <v>6.368965578457078</v>
      </c>
      <c r="AC283" s="31">
        <f>Settings!$B$25*(U283-M$6)^2</f>
        <v>0.11406903424210822</v>
      </c>
      <c r="AD283" s="19">
        <f t="shared" si="16"/>
        <v>3.3286945688220757</v>
      </c>
      <c r="AE283" s="15">
        <f t="shared" si="17"/>
        <v>1.3175576582143513</v>
      </c>
      <c r="AF283" s="33">
        <f t="shared" si="18"/>
        <v>0.41979906814409101</v>
      </c>
      <c r="AG283" s="47">
        <f t="shared" si="19"/>
        <v>1.8124404448656942E-3</v>
      </c>
      <c r="AH283" s="18">
        <v>0.38445435811196238</v>
      </c>
      <c r="AI283" s="46">
        <v>1</v>
      </c>
      <c r="AJ283" s="18">
        <v>1.1405846223561611</v>
      </c>
      <c r="AK283" s="46">
        <v>1</v>
      </c>
      <c r="AL283" s="18">
        <v>0.18652934441292171</v>
      </c>
      <c r="AM283" s="46">
        <v>1</v>
      </c>
      <c r="AN283" s="18">
        <v>0.20971242821218919</v>
      </c>
      <c r="AO283" s="46">
        <v>1</v>
      </c>
      <c r="AP283" s="18">
        <v>-0.48111072868240701</v>
      </c>
      <c r="AQ283" s="46">
        <v>1</v>
      </c>
    </row>
    <row r="284" spans="1:43" ht="20" customHeight="1" x14ac:dyDescent="0.45">
      <c r="A284" s="26">
        <v>274</v>
      </c>
      <c r="B284" s="16" t="s">
        <v>500</v>
      </c>
      <c r="C284" s="16" t="s">
        <v>214</v>
      </c>
      <c r="D284" s="46">
        <v>26</v>
      </c>
      <c r="E284" s="46">
        <v>1</v>
      </c>
      <c r="F284" s="13">
        <v>0.36397208113668988</v>
      </c>
      <c r="G284" s="13">
        <v>-0.13188491080252859</v>
      </c>
      <c r="H284" s="13">
        <v>-3.4867699570017022E-2</v>
      </c>
      <c r="I284" s="13">
        <v>-8.177981246974813E-4</v>
      </c>
      <c r="J284" s="13">
        <v>0.46845751036606692</v>
      </c>
      <c r="K284" s="13">
        <v>14.246686746987949</v>
      </c>
      <c r="L284" s="13">
        <v>1.0753464235362089</v>
      </c>
      <c r="M284" s="13">
        <v>1.5410588762089621</v>
      </c>
      <c r="N284" s="19">
        <f>(F284-Settings!$D$18)/Settings!$E$18</f>
        <v>0.61432332110084298</v>
      </c>
      <c r="O284" s="19">
        <f>(G284-Settings!$D$19)/Settings!$E$19</f>
        <v>-0.52177836116306942</v>
      </c>
      <c r="P284" s="19">
        <f>(H284-Settings!$D$20)/Settings!$E$20</f>
        <v>-0.79725067387412663</v>
      </c>
      <c r="Q284" s="19">
        <f>(I284-Settings!$D$21)/Settings!$E$21</f>
        <v>2.6152409363420528E-2</v>
      </c>
      <c r="R284" s="19">
        <f>(J284-Settings!$D$22)/Settings!$E$22</f>
        <v>0.59352468000124037</v>
      </c>
      <c r="S284" s="19">
        <f>(K284-Settings!$D$23)/Settings!$E$23</f>
        <v>-0.35023748583045478</v>
      </c>
      <c r="T284" s="19">
        <f>(L284-Settings!$D$24)/Settings!$E$24</f>
        <v>-0.16103136954294847</v>
      </c>
      <c r="U284" s="19">
        <f>(M284-Settings!$D$25)/Settings!$E$25</f>
        <v>1.075277527677623</v>
      </c>
      <c r="V284" s="31">
        <f>Settings!$B$18*(N284-F$6)^2</f>
        <v>6.4430205542458555E-2</v>
      </c>
      <c r="W284" s="31">
        <f>Settings!$B$19*(O284-G$6)^2</f>
        <v>0.21046220271367988</v>
      </c>
      <c r="X284" s="31">
        <f>Settings!$B$20*(P284-H$6)^2</f>
        <v>1.8712327713664163</v>
      </c>
      <c r="Y284" s="31">
        <f>Settings!$B$21*(Q284-I$6)^2</f>
        <v>0.15695874012008426</v>
      </c>
      <c r="Z284" s="31">
        <f>Settings!$B$22*(R284-J$6)^2</f>
        <v>3.8835888836541432E-2</v>
      </c>
      <c r="AA284" s="31">
        <f>Settings!$B$23*(S284-K$6)^2</f>
        <v>4.3184119800537468</v>
      </c>
      <c r="AB284" s="31">
        <f>Settings!$B$24*(T284-L$6)^2</f>
        <v>2.8468031491969472</v>
      </c>
      <c r="AC284" s="31">
        <f>Settings!$B$25*(U284-M$6)^2</f>
        <v>1.5805830777202194</v>
      </c>
      <c r="AD284" s="19">
        <f t="shared" si="16"/>
        <v>3.3298225201277765</v>
      </c>
      <c r="AE284" s="15">
        <f t="shared" si="17"/>
        <v>1.3180041217904448</v>
      </c>
      <c r="AF284" s="33">
        <f t="shared" si="18"/>
        <v>0.41955215571123444</v>
      </c>
      <c r="AG284" s="47">
        <f t="shared" si="19"/>
        <v>1.8113744251586285E-3</v>
      </c>
      <c r="AH284" s="48"/>
      <c r="AI284" s="48"/>
      <c r="AJ284" s="48"/>
      <c r="AK284" s="48"/>
      <c r="AL284" s="48"/>
      <c r="AM284" s="48"/>
      <c r="AN284" s="48"/>
      <c r="AO284" s="48"/>
      <c r="AP284" s="48"/>
      <c r="AQ284" s="48"/>
    </row>
    <row r="285" spans="1:43" ht="20" customHeight="1" x14ac:dyDescent="0.45">
      <c r="A285" s="26">
        <v>275</v>
      </c>
      <c r="B285" s="16" t="s">
        <v>501</v>
      </c>
      <c r="C285" s="16" t="s">
        <v>229</v>
      </c>
      <c r="D285" s="46">
        <v>26</v>
      </c>
      <c r="E285" s="46">
        <v>1</v>
      </c>
      <c r="F285" s="13">
        <v>0.2052791505268631</v>
      </c>
      <c r="G285" s="13">
        <v>0.35306575580782579</v>
      </c>
      <c r="H285" s="13">
        <v>-1.949810405202709E-2</v>
      </c>
      <c r="I285" s="13">
        <v>-0.18992413227086211</v>
      </c>
      <c r="J285" s="13">
        <v>-0.23223285734242191</v>
      </c>
      <c r="K285" s="13">
        <v>14.87592592592595</v>
      </c>
      <c r="L285" s="13">
        <v>0.2989167039613243</v>
      </c>
      <c r="M285" s="13">
        <v>-0.64940306471234543</v>
      </c>
      <c r="N285" s="19">
        <f>(F285-Settings!$D$18)/Settings!$E$18</f>
        <v>4.6371215103394176E-2</v>
      </c>
      <c r="O285" s="19">
        <f>(G285-Settings!$D$19)/Settings!$E$19</f>
        <v>1.4985879259486943</v>
      </c>
      <c r="P285" s="19">
        <f>(H285-Settings!$D$20)/Settings!$E$20</f>
        <v>-0.65799918293604343</v>
      </c>
      <c r="Q285" s="19">
        <f>(I285-Settings!$D$21)/Settings!$E$21</f>
        <v>-2.2993463403633321</v>
      </c>
      <c r="R285" s="19">
        <f>(J285-Settings!$D$22)/Settings!$E$22</f>
        <v>-1.2917157432307753</v>
      </c>
      <c r="S285" s="19">
        <f>(K285-Settings!$D$23)/Settings!$E$23</f>
        <v>-0.13171719226030679</v>
      </c>
      <c r="T285" s="19">
        <f>(L285-Settings!$D$24)/Settings!$E$24</f>
        <v>-0.69781970413490135</v>
      </c>
      <c r="U285" s="19">
        <f>(M285-Settings!$D$25)/Settings!$E$25</f>
        <v>-0.40199440155554578</v>
      </c>
      <c r="V285" s="31">
        <f>Settings!$B$18*(N285-F$6)^2</f>
        <v>2.7174304865483581E-8</v>
      </c>
      <c r="W285" s="31">
        <f>Settings!$B$19*(O285-G$6)^2</f>
        <v>0.19782362167909232</v>
      </c>
      <c r="X285" s="31">
        <f>Settings!$B$20*(P285-H$6)^2</f>
        <v>1.7047348347941036</v>
      </c>
      <c r="Y285" s="31">
        <f>Settings!$B$21*(Q285-I$6)^2</f>
        <v>0.41449707276704156</v>
      </c>
      <c r="Z285" s="31">
        <f>Settings!$B$22*(R285-J$6)^2</f>
        <v>0.41736369437257115</v>
      </c>
      <c r="AA285" s="31">
        <f>Settings!$B$23*(S285-K$6)^2</f>
        <v>3.4579582692957347</v>
      </c>
      <c r="AB285" s="31">
        <f>Settings!$B$24*(T285-L$6)^2</f>
        <v>4.9463341056438557</v>
      </c>
      <c r="AC285" s="31">
        <f>Settings!$B$25*(U285-M$6)^2</f>
        <v>4.8426186077971313E-2</v>
      </c>
      <c r="AD285" s="19">
        <f t="shared" si="16"/>
        <v>3.3447178971932261</v>
      </c>
      <c r="AE285" s="15">
        <f t="shared" si="17"/>
        <v>1.3238999820800592</v>
      </c>
      <c r="AF285" s="33">
        <f t="shared" si="18"/>
        <v>0.41629731216998195</v>
      </c>
      <c r="AG285" s="47">
        <f t="shared" si="19"/>
        <v>1.7973219640563302E-3</v>
      </c>
      <c r="AH285" s="18">
        <v>-0.52033421462677654</v>
      </c>
      <c r="AI285" s="46">
        <v>1</v>
      </c>
      <c r="AJ285" s="18">
        <v>0.35611732443370669</v>
      </c>
      <c r="AK285" s="46">
        <v>1</v>
      </c>
      <c r="AL285" s="18">
        <v>6.4333648549232708E-2</v>
      </c>
      <c r="AM285" s="46">
        <v>1</v>
      </c>
      <c r="AN285" s="48"/>
      <c r="AO285" s="48"/>
      <c r="AP285" s="48"/>
      <c r="AQ285" s="48"/>
    </row>
    <row r="286" spans="1:43" ht="20" customHeight="1" x14ac:dyDescent="0.45">
      <c r="A286" s="26">
        <v>276</v>
      </c>
      <c r="B286" s="16" t="s">
        <v>502</v>
      </c>
      <c r="C286" s="16" t="s">
        <v>210</v>
      </c>
      <c r="D286" s="46">
        <v>26</v>
      </c>
      <c r="E286" s="46">
        <v>0</v>
      </c>
      <c r="F286" s="13">
        <v>4.6264382034874429E-2</v>
      </c>
      <c r="G286" s="13">
        <v>0.39703888315190222</v>
      </c>
      <c r="H286" s="13">
        <v>0.30343508778457512</v>
      </c>
      <c r="I286" s="13">
        <v>-2.0480885122612529E-4</v>
      </c>
      <c r="J286" s="13">
        <v>0.25305683817742208</v>
      </c>
      <c r="K286" s="13">
        <v>13.698437499999979</v>
      </c>
      <c r="L286" s="13">
        <v>6.3013918979372044E-2</v>
      </c>
      <c r="M286" s="13">
        <v>-0.2360748750012111</v>
      </c>
      <c r="N286" s="19">
        <f>(F286-Settings!$D$18)/Settings!$E$18</f>
        <v>-0.52273272861147024</v>
      </c>
      <c r="O286" s="19">
        <f>(G286-Settings!$D$19)/Settings!$E$19</f>
        <v>1.6817855791158083</v>
      </c>
      <c r="P286" s="19">
        <f>(H286-Settings!$D$20)/Settings!$E$20</f>
        <v>2.2678376345654518</v>
      </c>
      <c r="Q286" s="19">
        <f>(I286-Settings!$D$21)/Settings!$E$21</f>
        <v>3.3690526981161151E-2</v>
      </c>
      <c r="R286" s="19">
        <f>(J286-Settings!$D$22)/Settings!$E$22</f>
        <v>1.3979030288062785E-2</v>
      </c>
      <c r="S286" s="19">
        <f>(K286-Settings!$D$23)/Settings!$E$23</f>
        <v>-0.54063183890240185</v>
      </c>
      <c r="T286" s="19">
        <f>(L286-Settings!$D$24)/Settings!$E$24</f>
        <v>-0.86091220289370574</v>
      </c>
      <c r="U286" s="19">
        <f>(M286-Settings!$D$25)/Settings!$E$25</f>
        <v>-0.12324126697051703</v>
      </c>
      <c r="V286" s="31">
        <f>Settings!$B$18*(N286-F$6)^2</f>
        <v>6.4859797328331567E-2</v>
      </c>
      <c r="W286" s="31">
        <f>Settings!$B$19*(O286-G$6)^2</f>
        <v>0.2774151609555604</v>
      </c>
      <c r="X286" s="31">
        <f>Settings!$B$20*(P286-H$6)^2</f>
        <v>7.9470893275659574E-6</v>
      </c>
      <c r="Y286" s="31">
        <f>Settings!$B$21*(Q286-I$6)^2</f>
        <v>0.15964126939106371</v>
      </c>
      <c r="Z286" s="31">
        <f>Settings!$B$22*(R286-J$6)^2</f>
        <v>3.8579576628417819E-3</v>
      </c>
      <c r="AA286" s="31">
        <f>Settings!$B$23*(S286-K$6)^2</f>
        <v>5.1459709713259452</v>
      </c>
      <c r="AB286" s="31">
        <f>Settings!$B$24*(T286-L$6)^2</f>
        <v>5.6983802975363069</v>
      </c>
      <c r="AC286" s="31">
        <f>Settings!$B$25*(U286-M$6)^2</f>
        <v>3.4449420639472215E-3</v>
      </c>
      <c r="AD286" s="19">
        <f t="shared" si="16"/>
        <v>3.3695071365636435</v>
      </c>
      <c r="AE286" s="15">
        <f t="shared" si="17"/>
        <v>1.3337120124416673</v>
      </c>
      <c r="AF286" s="33">
        <f t="shared" si="18"/>
        <v>0.41090474059181104</v>
      </c>
      <c r="AG286" s="47">
        <f t="shared" si="19"/>
        <v>1.7740400761919305E-3</v>
      </c>
      <c r="AH286" s="18">
        <v>1.675140757156599</v>
      </c>
      <c r="AI286" s="46">
        <v>0</v>
      </c>
      <c r="AJ286" s="18">
        <v>1.1337354341587169</v>
      </c>
      <c r="AK286" s="46">
        <v>0</v>
      </c>
      <c r="AL286" s="18">
        <v>-2.4999716927335869</v>
      </c>
      <c r="AM286" s="46">
        <v>0</v>
      </c>
      <c r="AN286" s="18">
        <v>-1.5545725925823779</v>
      </c>
      <c r="AO286" s="46">
        <v>0</v>
      </c>
      <c r="AP286" s="18">
        <v>0.64254015481901583</v>
      </c>
      <c r="AQ286" s="46">
        <v>0</v>
      </c>
    </row>
    <row r="287" spans="1:43" ht="20" customHeight="1" x14ac:dyDescent="0.45">
      <c r="A287" s="26">
        <v>277</v>
      </c>
      <c r="B287" s="16" t="s">
        <v>503</v>
      </c>
      <c r="C287" s="16" t="s">
        <v>234</v>
      </c>
      <c r="D287" s="46">
        <v>26</v>
      </c>
      <c r="E287" s="46">
        <v>1</v>
      </c>
      <c r="F287" s="13">
        <v>0.48390651237813043</v>
      </c>
      <c r="G287" s="13">
        <v>0.24720600302047779</v>
      </c>
      <c r="H287" s="13">
        <v>4.901683550752994E-3</v>
      </c>
      <c r="I287" s="13">
        <v>-2.8484316279446589E-5</v>
      </c>
      <c r="J287" s="13">
        <v>-0.26395731673435929</v>
      </c>
      <c r="K287" s="13">
        <v>13.34257990867582</v>
      </c>
      <c r="L287" s="13">
        <v>1.001645356785311</v>
      </c>
      <c r="M287" s="13">
        <v>0.46034668352542119</v>
      </c>
      <c r="N287" s="19">
        <f>(F287-Settings!$D$18)/Settings!$E$18</f>
        <v>1.0435611739996562</v>
      </c>
      <c r="O287" s="19">
        <f>(G287-Settings!$D$19)/Settings!$E$19</f>
        <v>1.0575627033452022</v>
      </c>
      <c r="P287" s="19">
        <f>(H287-Settings!$D$20)/Settings!$E$20</f>
        <v>-0.43693241522034704</v>
      </c>
      <c r="Q287" s="19">
        <f>(I287-Settings!$D$21)/Settings!$E$21</f>
        <v>3.5858844015151776E-2</v>
      </c>
      <c r="R287" s="19">
        <f>(J287-Settings!$D$22)/Settings!$E$22</f>
        <v>-1.3770718948308858</v>
      </c>
      <c r="S287" s="19">
        <f>(K287-Settings!$D$23)/Settings!$E$23</f>
        <v>-0.66421299520701127</v>
      </c>
      <c r="T287" s="19">
        <f>(L287-Settings!$D$24)/Settings!$E$24</f>
        <v>-0.21198494831698872</v>
      </c>
      <c r="U287" s="19">
        <f>(M287-Settings!$D$25)/Settings!$E$25</f>
        <v>0.34643318849685062</v>
      </c>
      <c r="V287" s="31">
        <f>Settings!$B$18*(N287-F$6)^2</f>
        <v>0.19873056130081734</v>
      </c>
      <c r="W287" s="31">
        <f>Settings!$B$19*(O287-G$6)^2</f>
        <v>6.1276645283014075E-2</v>
      </c>
      <c r="X287" s="31">
        <f>Settings!$B$20*(P287-H$6)^2</f>
        <v>1.4563442298158666</v>
      </c>
      <c r="Y287" s="31">
        <f>Settings!$B$21*(Q287-I$6)^2</f>
        <v>0.16041710025492983</v>
      </c>
      <c r="Z287" s="31">
        <f>Settings!$B$22*(R287-J$6)^2</f>
        <v>0.46814242853726251</v>
      </c>
      <c r="AA287" s="31">
        <f>Settings!$B$23*(S287-K$6)^2</f>
        <v>5.7219243727319142</v>
      </c>
      <c r="AB287" s="31">
        <f>Settings!$B$24*(T287-L$6)^2</f>
        <v>3.0213419836854918</v>
      </c>
      <c r="AC287" s="31">
        <f>Settings!$B$25*(U287-M$6)^2</f>
        <v>0.2791728324924882</v>
      </c>
      <c r="AD287" s="19">
        <f t="shared" si="16"/>
        <v>3.3715501114623501</v>
      </c>
      <c r="AE287" s="15">
        <f t="shared" si="17"/>
        <v>1.3345206589448768</v>
      </c>
      <c r="AF287" s="33">
        <f t="shared" si="18"/>
        <v>0.41046168387695559</v>
      </c>
      <c r="AG287" s="47">
        <f t="shared" si="19"/>
        <v>1.7721272231860309E-3</v>
      </c>
      <c r="AH287" s="18">
        <v>3.7066237286593751E-2</v>
      </c>
      <c r="AI287" s="46">
        <v>1</v>
      </c>
      <c r="AJ287" s="18">
        <v>-0.16584931048322421</v>
      </c>
      <c r="AK287" s="46">
        <v>1</v>
      </c>
      <c r="AL287" s="18">
        <v>-0.3512827655151648</v>
      </c>
      <c r="AM287" s="46">
        <v>1</v>
      </c>
      <c r="AN287" s="18">
        <v>-0.76028932413883832</v>
      </c>
      <c r="AO287" s="46">
        <v>1</v>
      </c>
      <c r="AP287" s="18">
        <v>7.5732727334894057E-2</v>
      </c>
      <c r="AQ287" s="46">
        <v>1</v>
      </c>
    </row>
    <row r="288" spans="1:43" ht="20" customHeight="1" x14ac:dyDescent="0.45">
      <c r="A288" s="26">
        <v>278</v>
      </c>
      <c r="B288" s="16" t="s">
        <v>504</v>
      </c>
      <c r="C288" s="16" t="s">
        <v>220</v>
      </c>
      <c r="D288" s="46">
        <v>26</v>
      </c>
      <c r="E288" s="46">
        <v>1</v>
      </c>
      <c r="F288" s="13">
        <v>0.1975769064129882</v>
      </c>
      <c r="G288" s="13">
        <v>-0.15320356568030041</v>
      </c>
      <c r="H288" s="13">
        <v>0.14930969624095469</v>
      </c>
      <c r="I288" s="13">
        <v>-1.312486716701917E-4</v>
      </c>
      <c r="J288" s="13">
        <v>0.49977858299408662</v>
      </c>
      <c r="K288" s="13">
        <v>13.81283185840708</v>
      </c>
      <c r="L288" s="13">
        <v>0.63359239503806131</v>
      </c>
      <c r="M288" s="13">
        <v>-2.21148851689694</v>
      </c>
      <c r="N288" s="19">
        <f>(F288-Settings!$D$18)/Settings!$E$18</f>
        <v>1.8805363565009243E-2</v>
      </c>
      <c r="O288" s="19">
        <f>(G288-Settings!$D$19)/Settings!$E$19</f>
        <v>-0.61059459458053533</v>
      </c>
      <c r="P288" s="19">
        <f>(H288-Settings!$D$20)/Settings!$E$20</f>
        <v>0.87143194914947952</v>
      </c>
      <c r="Q288" s="19">
        <f>(I288-Settings!$D$21)/Settings!$E$21</f>
        <v>3.4595119132235154E-2</v>
      </c>
      <c r="R288" s="19">
        <f>(J288-Settings!$D$22)/Settings!$E$22</f>
        <v>0.67779550052134552</v>
      </c>
      <c r="S288" s="19">
        <f>(K288-Settings!$D$23)/Settings!$E$23</f>
        <v>-0.50090530943855338</v>
      </c>
      <c r="T288" s="19">
        <f>(L288-Settings!$D$24)/Settings!$E$24</f>
        <v>-0.46644009267456776</v>
      </c>
      <c r="U288" s="19">
        <f>(M288-Settings!$D$25)/Settings!$E$25</f>
        <v>-1.455482228239819</v>
      </c>
      <c r="V288" s="31">
        <f>Settings!$B$18*(N288-F$6)^2</f>
        <v>1.5606680088803737E-4</v>
      </c>
      <c r="W288" s="31">
        <f>Settings!$B$19*(O288-G$6)^2</f>
        <v>0.24848372997531398</v>
      </c>
      <c r="X288" s="31">
        <f>Settings!$B$20*(P288-H$6)^2</f>
        <v>0.38647675832600625</v>
      </c>
      <c r="Y288" s="31">
        <f>Settings!$B$21*(Q288-I$6)^2</f>
        <v>0.1599647067640419</v>
      </c>
      <c r="Z288" s="31">
        <f>Settings!$B$22*(R288-J$6)^2</f>
        <v>5.5110046465448308E-2</v>
      </c>
      <c r="AA288" s="31">
        <f>Settings!$B$23*(S288-K$6)^2</f>
        <v>4.9673120281661625</v>
      </c>
      <c r="AB288" s="31">
        <f>Settings!$B$24*(T288-L$6)^2</f>
        <v>3.970677669668317</v>
      </c>
      <c r="AC288" s="31">
        <f>Settings!$B$25*(U288-M$6)^2</f>
        <v>1.6219228079911787</v>
      </c>
      <c r="AD288" s="19">
        <f t="shared" si="16"/>
        <v>3.377884517587503</v>
      </c>
      <c r="AE288" s="15">
        <f t="shared" si="17"/>
        <v>1.3370279317294111</v>
      </c>
      <c r="AF288" s="33">
        <f t="shared" si="18"/>
        <v>0.40908928537540623</v>
      </c>
      <c r="AG288" s="47">
        <f t="shared" si="19"/>
        <v>1.7662020300652414E-3</v>
      </c>
      <c r="AH288" s="18">
        <v>-1.177188200111047</v>
      </c>
      <c r="AI288" s="46">
        <v>1</v>
      </c>
      <c r="AJ288" s="48"/>
      <c r="AK288" s="48"/>
      <c r="AL288" s="48"/>
      <c r="AM288" s="48"/>
      <c r="AN288" s="48"/>
      <c r="AO288" s="48"/>
      <c r="AP288" s="48"/>
      <c r="AQ288" s="48"/>
    </row>
    <row r="289" spans="1:43" ht="20" customHeight="1" x14ac:dyDescent="0.45">
      <c r="A289" s="26">
        <v>279</v>
      </c>
      <c r="B289" s="16" t="s">
        <v>505</v>
      </c>
      <c r="C289" s="16" t="s">
        <v>260</v>
      </c>
      <c r="D289" s="46">
        <v>26</v>
      </c>
      <c r="E289" s="46">
        <v>1</v>
      </c>
      <c r="F289" s="13">
        <v>0.21968186126057471</v>
      </c>
      <c r="G289" s="13">
        <v>0.72618485069779559</v>
      </c>
      <c r="H289" s="13">
        <v>-9.5793552512112579E-3</v>
      </c>
      <c r="I289" s="13">
        <v>2.5747144548275279E-2</v>
      </c>
      <c r="J289" s="13">
        <v>1.8806788242143331E-2</v>
      </c>
      <c r="K289" s="13">
        <v>14.252777777777769</v>
      </c>
      <c r="L289" s="13">
        <v>1.1455942675050199</v>
      </c>
      <c r="M289" s="13">
        <v>1.2389485522611741</v>
      </c>
      <c r="N289" s="19">
        <f>(F289-Settings!$D$18)/Settings!$E$18</f>
        <v>9.7917618978155263E-2</v>
      </c>
      <c r="O289" s="19">
        <f>(G289-Settings!$D$19)/Settings!$E$19</f>
        <v>3.0530496316360467</v>
      </c>
      <c r="P289" s="19">
        <f>(H289-Settings!$D$20)/Settings!$E$20</f>
        <v>-0.56813341144340712</v>
      </c>
      <c r="Q289" s="19">
        <f>(I289-Settings!$D$21)/Settings!$E$21</f>
        <v>0.35282967933160864</v>
      </c>
      <c r="R289" s="19">
        <f>(J289-Settings!$D$22)/Settings!$E$22</f>
        <v>-0.61628175769216209</v>
      </c>
      <c r="S289" s="19">
        <f>(K289-Settings!$D$23)/Settings!$E$23</f>
        <v>-0.34812221093834983</v>
      </c>
      <c r="T289" s="19">
        <f>(L289-Settings!$D$24)/Settings!$E$24</f>
        <v>-0.11246519256386574</v>
      </c>
      <c r="U289" s="19">
        <f>(M289-Settings!$D$25)/Settings!$E$25</f>
        <v>0.87153096045267819</v>
      </c>
      <c r="V289" s="31">
        <f>Settings!$B$18*(N289-F$6)^2</f>
        <v>5.238333673758857E-4</v>
      </c>
      <c r="W289" s="31">
        <f>Settings!$B$19*(O289-G$6)^2</f>
        <v>1.2994861920441227</v>
      </c>
      <c r="X289" s="31">
        <f>Settings!$B$20*(P289-H$6)^2</f>
        <v>1.6014035643857107</v>
      </c>
      <c r="Y289" s="31">
        <f>Settings!$B$21*(Q289-I$6)^2</f>
        <v>0.29406185340642937</v>
      </c>
      <c r="Z289" s="31">
        <f>Settings!$B$22*(R289-J$6)^2</f>
        <v>0.11831787388852769</v>
      </c>
      <c r="AA289" s="31">
        <f>Settings!$B$23*(S289-K$6)^2</f>
        <v>4.3096250381330501</v>
      </c>
      <c r="AB289" s="31">
        <f>Settings!$B$24*(T289-L$6)^2</f>
        <v>2.6852755294822166</v>
      </c>
      <c r="AC289" s="31">
        <f>Settings!$B$25*(U289-M$6)^2</f>
        <v>1.1097903102681854</v>
      </c>
      <c r="AD289" s="19">
        <f t="shared" si="16"/>
        <v>3.3791247675952447</v>
      </c>
      <c r="AE289" s="15">
        <f t="shared" si="17"/>
        <v>1.337518845167702</v>
      </c>
      <c r="AF289" s="33">
        <f t="shared" si="18"/>
        <v>0.40882081233470535</v>
      </c>
      <c r="AG289" s="47">
        <f t="shared" si="19"/>
        <v>1.7650429245925363E-3</v>
      </c>
      <c r="AH289" s="18">
        <v>-0.40060320179629461</v>
      </c>
      <c r="AI289" s="46">
        <v>1</v>
      </c>
      <c r="AJ289" s="18">
        <v>-0.55223899466825233</v>
      </c>
      <c r="AK289" s="46">
        <v>1</v>
      </c>
      <c r="AL289" s="48"/>
      <c r="AM289" s="48"/>
      <c r="AN289" s="48"/>
      <c r="AO289" s="48"/>
      <c r="AP289" s="18">
        <v>-0.19238267733063541</v>
      </c>
      <c r="AQ289" s="46">
        <v>1</v>
      </c>
    </row>
    <row r="290" spans="1:43" ht="20" customHeight="1" x14ac:dyDescent="0.45">
      <c r="A290" s="26">
        <v>280</v>
      </c>
      <c r="B290" s="16" t="s">
        <v>506</v>
      </c>
      <c r="C290" s="16" t="s">
        <v>227</v>
      </c>
      <c r="D290" s="46">
        <v>26</v>
      </c>
      <c r="E290" s="46">
        <v>0</v>
      </c>
      <c r="F290" s="13">
        <v>0.44799612408319722</v>
      </c>
      <c r="G290" s="13">
        <v>7.4606917859346922E-2</v>
      </c>
      <c r="H290" s="13">
        <v>-2.8696144498858889E-3</v>
      </c>
      <c r="I290" s="13">
        <v>0.13679380035347319</v>
      </c>
      <c r="J290" s="13">
        <v>0.33773354325409682</v>
      </c>
      <c r="K290" s="13">
        <v>13.42135802469136</v>
      </c>
      <c r="L290" s="13">
        <v>1.7715342616132219</v>
      </c>
      <c r="M290" s="13">
        <v>1.4704862780525481</v>
      </c>
      <c r="N290" s="19">
        <f>(F290-Settings!$D$18)/Settings!$E$18</f>
        <v>0.91504013288636976</v>
      </c>
      <c r="O290" s="19">
        <f>(G290-Settings!$D$19)/Settings!$E$19</f>
        <v>0.33849291572479778</v>
      </c>
      <c r="P290" s="19">
        <f>(H290-Settings!$D$20)/Settings!$E$20</f>
        <v>-0.5073418695125208</v>
      </c>
      <c r="Q290" s="19">
        <f>(I290-Settings!$D$21)/Settings!$E$21</f>
        <v>1.7184045576258811</v>
      </c>
      <c r="R290" s="19">
        <f>(J290-Settings!$D$22)/Settings!$E$22</f>
        <v>0.24180569192565629</v>
      </c>
      <c r="S290" s="19">
        <f>(K290-Settings!$D$23)/Settings!$E$23</f>
        <v>-0.63685516750837212</v>
      </c>
      <c r="T290" s="19">
        <f>(L290-Settings!$D$24)/Settings!$E$24</f>
        <v>0.32028136326839401</v>
      </c>
      <c r="U290" s="19">
        <f>(M290-Settings!$D$25)/Settings!$E$25</f>
        <v>1.0276825814784329</v>
      </c>
      <c r="V290" s="31">
        <f>Settings!$B$18*(N290-F$6)^2</f>
        <v>0.15078908575088523</v>
      </c>
      <c r="W290" s="31">
        <f>Settings!$B$19*(O290-G$6)^2</f>
        <v>5.4814160627146566E-3</v>
      </c>
      <c r="X290" s="31">
        <f>Settings!$B$20*(P290-H$6)^2</f>
        <v>1.5333347479640822</v>
      </c>
      <c r="Y290" s="31">
        <f>Settings!$B$21*(Q290-I$6)^2</f>
        <v>1.3293590851325758</v>
      </c>
      <c r="Z290" s="31">
        <f>Settings!$B$22*(R290-J$6)^2</f>
        <v>1.5820284066196189E-3</v>
      </c>
      <c r="AA290" s="31">
        <f>Settings!$B$23*(S290-K$6)^2</f>
        <v>5.5917899978519516</v>
      </c>
      <c r="AB290" s="31">
        <f>Settings!$B$24*(T290-L$6)^2</f>
        <v>1.4542779643759483</v>
      </c>
      <c r="AC290" s="31">
        <f>Settings!$B$25*(U290-M$6)^2</f>
        <v>1.4631744413121757</v>
      </c>
      <c r="AD290" s="19">
        <f t="shared" si="16"/>
        <v>3.3955542650437724</v>
      </c>
      <c r="AE290" s="15">
        <f t="shared" si="17"/>
        <v>1.3440219381179157</v>
      </c>
      <c r="AF290" s="33">
        <f t="shared" si="18"/>
        <v>0.40527173547576034</v>
      </c>
      <c r="AG290" s="47">
        <f t="shared" si="19"/>
        <v>1.7497201406008365E-3</v>
      </c>
      <c r="AH290" s="18">
        <v>7.9181169404551E-2</v>
      </c>
      <c r="AI290" s="46">
        <v>0</v>
      </c>
      <c r="AJ290" s="18">
        <v>-0.8540770316810391</v>
      </c>
      <c r="AK290" s="46">
        <v>0</v>
      </c>
      <c r="AL290" s="18">
        <v>-8.2843347029357917E-2</v>
      </c>
      <c r="AM290" s="46">
        <v>0</v>
      </c>
      <c r="AN290" s="18">
        <v>-0.70991159528651471</v>
      </c>
      <c r="AO290" s="46">
        <v>1</v>
      </c>
      <c r="AP290" s="18">
        <v>-0.16120138454420241</v>
      </c>
      <c r="AQ290" s="46">
        <v>1</v>
      </c>
    </row>
    <row r="291" spans="1:43" ht="20" customHeight="1" x14ac:dyDescent="0.45">
      <c r="A291" s="26">
        <v>281</v>
      </c>
      <c r="B291" s="16" t="s">
        <v>507</v>
      </c>
      <c r="C291" s="16" t="s">
        <v>246</v>
      </c>
      <c r="D291" s="46">
        <v>26</v>
      </c>
      <c r="E291" s="46">
        <v>1</v>
      </c>
      <c r="F291" s="13">
        <v>-1.2467380035430209E-2</v>
      </c>
      <c r="G291" s="13">
        <v>0.68594666696762496</v>
      </c>
      <c r="H291" s="13">
        <v>2.9546808181592232E-2</v>
      </c>
      <c r="I291" s="13">
        <v>0.15158716620273549</v>
      </c>
      <c r="J291" s="13">
        <v>-0.1204519786126171</v>
      </c>
      <c r="K291" s="13">
        <v>15.256995884773641</v>
      </c>
      <c r="L291" s="13">
        <v>0.85376937559552635</v>
      </c>
      <c r="M291" s="13">
        <v>-1.742085308826967</v>
      </c>
      <c r="N291" s="19">
        <f>(F291-Settings!$D$18)/Settings!$E$18</f>
        <v>-0.73293004382007254</v>
      </c>
      <c r="O291" s="19">
        <f>(G291-Settings!$D$19)/Settings!$E$19</f>
        <v>2.8854122296065223</v>
      </c>
      <c r="P291" s="19">
        <f>(H291-Settings!$D$20)/Settings!$E$20</f>
        <v>-0.21364284685257329</v>
      </c>
      <c r="Q291" s="19">
        <f>(I291-Settings!$D$21)/Settings!$E$21</f>
        <v>1.9003231271018239</v>
      </c>
      <c r="R291" s="19">
        <f>(J291-Settings!$D$22)/Settings!$E$22</f>
        <v>-0.9909640262990872</v>
      </c>
      <c r="S291" s="19">
        <f>(K291-Settings!$D$23)/Settings!$E$23</f>
        <v>6.1963936976326705E-4</v>
      </c>
      <c r="T291" s="19">
        <f>(L291-Settings!$D$24)/Settings!$E$24</f>
        <v>-0.31421970269047794</v>
      </c>
      <c r="U291" s="19">
        <f>(M291-Settings!$D$25)/Settings!$E$25</f>
        <v>-1.1389114767379194</v>
      </c>
      <c r="V291" s="31">
        <f>Settings!$B$18*(N291-F$6)^2</f>
        <v>0.12157702013667825</v>
      </c>
      <c r="W291" s="31">
        <f>Settings!$B$19*(O291-G$6)^2</f>
        <v>1.1341831625746523</v>
      </c>
      <c r="X291" s="31">
        <f>Settings!$B$20*(P291-H$6)^2</f>
        <v>1.2253001130751748</v>
      </c>
      <c r="Y291" s="31">
        <f>Settings!$B$21*(Q291-I$6)^2</f>
        <v>1.5235824273522591</v>
      </c>
      <c r="Z291" s="31">
        <f>Settings!$B$22*(R291-J$6)^2</f>
        <v>0.26166975187681485</v>
      </c>
      <c r="AA291" s="31">
        <f>Settings!$B$23*(S291-K$6)^2</f>
        <v>2.9832951137242705</v>
      </c>
      <c r="AB291" s="31">
        <f>Settings!$B$24*(T291-L$6)^2</f>
        <v>3.3872029901651026</v>
      </c>
      <c r="AC291" s="31">
        <f>Settings!$B$25*(U291-M$6)^2</f>
        <v>0.915804176483618</v>
      </c>
      <c r="AD291" s="19">
        <f t="shared" si="16"/>
        <v>3.3989137610990618</v>
      </c>
      <c r="AE291" s="15">
        <f t="shared" si="17"/>
        <v>1.3453516875628921</v>
      </c>
      <c r="AF291" s="33">
        <f t="shared" si="18"/>
        <v>0.40454771798605665</v>
      </c>
      <c r="AG291" s="47">
        <f t="shared" si="19"/>
        <v>1.7465942675803686E-3</v>
      </c>
      <c r="AH291" s="18">
        <v>-0.236851868992869</v>
      </c>
      <c r="AI291" s="46">
        <v>1</v>
      </c>
      <c r="AJ291" s="48"/>
      <c r="AK291" s="48"/>
      <c r="AL291" s="48"/>
      <c r="AM291" s="48"/>
      <c r="AN291" s="48"/>
      <c r="AO291" s="48"/>
      <c r="AP291" s="48"/>
      <c r="AQ291" s="48"/>
    </row>
    <row r="292" spans="1:43" ht="20" customHeight="1" x14ac:dyDescent="0.45">
      <c r="A292" s="26">
        <v>282</v>
      </c>
      <c r="B292" s="16" t="s">
        <v>508</v>
      </c>
      <c r="C292" s="16" t="s">
        <v>271</v>
      </c>
      <c r="D292" s="46">
        <v>26</v>
      </c>
      <c r="E292" s="46">
        <v>1</v>
      </c>
      <c r="F292" s="13">
        <v>0.13109152422168049</v>
      </c>
      <c r="G292" s="13">
        <v>-5.4055176522740847E-2</v>
      </c>
      <c r="H292" s="13">
        <v>-2.2458561339750971E-3</v>
      </c>
      <c r="I292" s="13">
        <v>-9.9288088281516314E-3</v>
      </c>
      <c r="J292" s="13">
        <v>0.80267863429345188</v>
      </c>
      <c r="K292" s="13">
        <v>12.0416666666667</v>
      </c>
      <c r="L292" s="13">
        <v>1.8966131165459501</v>
      </c>
      <c r="M292" s="13">
        <v>0.14079931800742049</v>
      </c>
      <c r="N292" s="19">
        <f>(F292-Settings!$D$18)/Settings!$E$18</f>
        <v>-0.21914167470879423</v>
      </c>
      <c r="O292" s="19">
        <f>(G292-Settings!$D$19)/Settings!$E$19</f>
        <v>-0.197529768264254</v>
      </c>
      <c r="P292" s="19">
        <f>(H292-Settings!$D$20)/Settings!$E$20</f>
        <v>-0.50169049922278619</v>
      </c>
      <c r="Q292" s="19">
        <f>(I292-Settings!$D$21)/Settings!$E$21</f>
        <v>-8.5888491303890119E-2</v>
      </c>
      <c r="R292" s="19">
        <f>(J292-Settings!$D$22)/Settings!$E$22</f>
        <v>1.4927623492538609</v>
      </c>
      <c r="S292" s="19">
        <f>(K292-Settings!$D$23)/Settings!$E$23</f>
        <v>-1.1159902415522136</v>
      </c>
      <c r="T292" s="19">
        <f>(L292-Settings!$D$24)/Settings!$E$24</f>
        <v>0.40675521729444675</v>
      </c>
      <c r="U292" s="19">
        <f>(M292-Settings!$D$25)/Settings!$E$25</f>
        <v>0.13092688623185625</v>
      </c>
      <c r="V292" s="31">
        <f>Settings!$B$18*(N292-F$6)^2</f>
        <v>1.4138594127682562E-2</v>
      </c>
      <c r="W292" s="31">
        <f>Settings!$B$19*(O292-G$6)^2</f>
        <v>9.8441081648779183E-2</v>
      </c>
      <c r="X292" s="31">
        <f>Settings!$B$20*(P292-H$6)^2</f>
        <v>1.5270819583664159</v>
      </c>
      <c r="Y292" s="31">
        <f>Settings!$B$21*(Q292-I$6)^2</f>
        <v>0.11976719437270994</v>
      </c>
      <c r="Z292" s="31">
        <f>Settings!$B$22*(R292-J$6)^2</f>
        <v>0.35906406339350094</v>
      </c>
      <c r="AA292" s="31">
        <f>Settings!$B$23*(S292-K$6)^2</f>
        <v>8.0873785756235055</v>
      </c>
      <c r="AB292" s="31">
        <f>Settings!$B$24*(T292-L$6)^2</f>
        <v>1.2531920878361342</v>
      </c>
      <c r="AC292" s="31">
        <f>Settings!$B$25*(U292-M$6)^2</f>
        <v>9.7882494649614224E-2</v>
      </c>
      <c r="AD292" s="19">
        <f t="shared" si="16"/>
        <v>3.3995508600428885</v>
      </c>
      <c r="AE292" s="15">
        <f t="shared" si="17"/>
        <v>1.3456038628752027</v>
      </c>
      <c r="AF292" s="33">
        <f t="shared" si="18"/>
        <v>0.4044104797345312</v>
      </c>
      <c r="AG292" s="47">
        <f t="shared" si="19"/>
        <v>1.7460017551702125E-3</v>
      </c>
      <c r="AH292" s="18">
        <v>-0.87095341604949295</v>
      </c>
      <c r="AI292" s="46">
        <v>1</v>
      </c>
      <c r="AJ292" s="18">
        <v>-1.6265625515051789</v>
      </c>
      <c r="AK292" s="46">
        <v>1</v>
      </c>
      <c r="AL292" s="48"/>
      <c r="AM292" s="48"/>
      <c r="AN292" s="48"/>
      <c r="AO292" s="48"/>
      <c r="AP292" s="48"/>
      <c r="AQ292" s="48"/>
    </row>
    <row r="293" spans="1:43" ht="20" customHeight="1" x14ac:dyDescent="0.45">
      <c r="A293" s="26">
        <v>283</v>
      </c>
      <c r="B293" s="16" t="s">
        <v>509</v>
      </c>
      <c r="C293" s="16" t="s">
        <v>236</v>
      </c>
      <c r="D293" s="46">
        <v>26</v>
      </c>
      <c r="E293" s="46">
        <v>0</v>
      </c>
      <c r="F293" s="13">
        <v>1.4217498670937381E-2</v>
      </c>
      <c r="G293" s="13">
        <v>-0.40842479705507329</v>
      </c>
      <c r="H293" s="13">
        <v>4.6420284068640759E-2</v>
      </c>
      <c r="I293" s="13">
        <v>6.829796896018682E-3</v>
      </c>
      <c r="J293" s="13">
        <v>0.5241076233093297</v>
      </c>
      <c r="K293" s="13">
        <v>14.343187347931879</v>
      </c>
      <c r="L293" s="13">
        <v>0.3498835537585554</v>
      </c>
      <c r="M293" s="13">
        <v>0.37813871994363429</v>
      </c>
      <c r="N293" s="19">
        <f>(F293-Settings!$D$18)/Settings!$E$18</f>
        <v>-0.63742652642123587</v>
      </c>
      <c r="O293" s="19">
        <f>(G293-Settings!$D$19)/Settings!$E$19</f>
        <v>-1.6738787740392396</v>
      </c>
      <c r="P293" s="19">
        <f>(H293-Settings!$D$20)/Settings!$E$20</f>
        <v>-6.0765910577376035E-2</v>
      </c>
      <c r="Q293" s="19">
        <f>(I293-Settings!$D$21)/Settings!$E$21</f>
        <v>0.12019723731374159</v>
      </c>
      <c r="R293" s="19">
        <f>(J293-Settings!$D$22)/Settings!$E$22</f>
        <v>0.74325392891495445</v>
      </c>
      <c r="S293" s="19">
        <f>(K293-Settings!$D$23)/Settings!$E$23</f>
        <v>-0.31672504675513613</v>
      </c>
      <c r="T293" s="19">
        <f>(L293-Settings!$D$24)/Settings!$E$24</f>
        <v>-0.66258353306582729</v>
      </c>
      <c r="U293" s="19">
        <f>(M293-Settings!$D$25)/Settings!$E$25</f>
        <v>0.29099122226587498</v>
      </c>
      <c r="V293" s="31">
        <f>Settings!$B$18*(N293-F$6)^2</f>
        <v>9.3616718640631646E-2</v>
      </c>
      <c r="W293" s="31">
        <f>Settings!$B$19*(O293-G$6)^2</f>
        <v>0.94866930831212981</v>
      </c>
      <c r="X293" s="31">
        <f>Settings!$B$20*(P293-H$6)^2</f>
        <v>1.0786154016133709</v>
      </c>
      <c r="Y293" s="31">
        <f>Settings!$B$21*(Q293-I$6)^2</f>
        <v>0.19205281817149408</v>
      </c>
      <c r="Z293" s="31">
        <f>Settings!$B$22*(R293-J$6)^2</f>
        <v>6.9711413023828259E-2</v>
      </c>
      <c r="AA293" s="31">
        <f>Settings!$B$23*(S293-K$6)^2</f>
        <v>4.1802520775114695</v>
      </c>
      <c r="AB293" s="31">
        <f>Settings!$B$24*(T293-L$6)^2</f>
        <v>4.790842699537329</v>
      </c>
      <c r="AC293" s="31">
        <f>Settings!$B$25*(U293-M$6)^2</f>
        <v>0.22365911313898024</v>
      </c>
      <c r="AD293" s="19">
        <f t="shared" si="16"/>
        <v>3.4025607342043482</v>
      </c>
      <c r="AE293" s="15">
        <f t="shared" si="17"/>
        <v>1.3467952256360991</v>
      </c>
      <c r="AF293" s="33">
        <f t="shared" si="18"/>
        <v>0.40376240118886947</v>
      </c>
      <c r="AG293" s="47">
        <f t="shared" si="19"/>
        <v>1.743203740937356E-3</v>
      </c>
      <c r="AH293" s="18">
        <v>-0.61698496198750041</v>
      </c>
      <c r="AI293" s="46">
        <v>1</v>
      </c>
      <c r="AJ293" s="48"/>
      <c r="AK293" s="48"/>
      <c r="AL293" s="48"/>
      <c r="AM293" s="48"/>
      <c r="AN293" s="48"/>
      <c r="AO293" s="48"/>
      <c r="AP293" s="48"/>
      <c r="AQ293" s="48"/>
    </row>
    <row r="294" spans="1:43" ht="20" customHeight="1" x14ac:dyDescent="0.45">
      <c r="A294" s="26">
        <v>284</v>
      </c>
      <c r="B294" s="16" t="s">
        <v>510</v>
      </c>
      <c r="C294" s="16" t="s">
        <v>218</v>
      </c>
      <c r="D294" s="46">
        <v>26</v>
      </c>
      <c r="E294" s="46">
        <v>0</v>
      </c>
      <c r="F294" s="13">
        <v>0.16032431862832541</v>
      </c>
      <c r="G294" s="13">
        <v>0.1446165484050462</v>
      </c>
      <c r="H294" s="13">
        <v>-2.5558891735060702E-3</v>
      </c>
      <c r="I294" s="13">
        <v>0.11684670107674271</v>
      </c>
      <c r="J294" s="13">
        <v>0.57565654271637967</v>
      </c>
      <c r="K294" s="13">
        <v>12.684285714285711</v>
      </c>
      <c r="L294" s="13">
        <v>1.478507832186932</v>
      </c>
      <c r="M294" s="13">
        <v>-0.56970595491658638</v>
      </c>
      <c r="N294" s="19">
        <f>(F294-Settings!$D$18)/Settings!$E$18</f>
        <v>-0.11451932585152053</v>
      </c>
      <c r="O294" s="19">
        <f>(G294-Settings!$D$19)/Settings!$E$19</f>
        <v>0.63016195974598754</v>
      </c>
      <c r="P294" s="19">
        <f>(H294-Settings!$D$20)/Settings!$E$20</f>
        <v>-0.50449945817972297</v>
      </c>
      <c r="Q294" s="19">
        <f>(I294-Settings!$D$21)/Settings!$E$21</f>
        <v>1.4731089431867654</v>
      </c>
      <c r="R294" s="19">
        <f>(J294-Settings!$D$22)/Settings!$E$22</f>
        <v>0.88194872353289766</v>
      </c>
      <c r="S294" s="19">
        <f>(K294-Settings!$D$23)/Settings!$E$23</f>
        <v>-0.89282342734258635</v>
      </c>
      <c r="T294" s="19">
        <f>(L294-Settings!$D$24)/Settings!$E$24</f>
        <v>0.11769616453426175</v>
      </c>
      <c r="U294" s="19">
        <f>(M294-Settings!$D$25)/Settings!$E$25</f>
        <v>-0.34824578308250825</v>
      </c>
      <c r="V294" s="31">
        <f>Settings!$B$18*(N294-F$6)^2</f>
        <v>5.2009025951669438E-3</v>
      </c>
      <c r="W294" s="31">
        <f>Settings!$B$19*(O294-G$6)^2</f>
        <v>3.1811603245108012E-3</v>
      </c>
      <c r="X294" s="31">
        <f>Settings!$B$20*(P294-H$6)^2</f>
        <v>1.5301882501316189</v>
      </c>
      <c r="Y294" s="31">
        <f>Settings!$B$21*(Q294-I$6)^2</f>
        <v>1.0884306972074043</v>
      </c>
      <c r="Z294" s="31">
        <f>Settings!$B$22*(R294-J$6)^2</f>
        <v>0.10631211571615476</v>
      </c>
      <c r="AA294" s="31">
        <f>Settings!$B$23*(S294-K$6)^2</f>
        <v>6.8678842940497171</v>
      </c>
      <c r="AB294" s="31">
        <f>Settings!$B$24*(T294-L$6)^2</f>
        <v>1.9839276787507136</v>
      </c>
      <c r="AC294" s="31">
        <f>Settings!$B$25*(U294-M$6)^2</f>
        <v>2.7659311232168783E-2</v>
      </c>
      <c r="AD294" s="19">
        <f t="shared" si="16"/>
        <v>3.4077535723710208</v>
      </c>
      <c r="AE294" s="15">
        <f t="shared" si="17"/>
        <v>1.3488506451265057</v>
      </c>
      <c r="AF294" s="33">
        <f t="shared" si="18"/>
        <v>0.40264538940666789</v>
      </c>
      <c r="AG294" s="47">
        <f t="shared" si="19"/>
        <v>1.7383811544070811E-3</v>
      </c>
      <c r="AH294" s="48"/>
      <c r="AI294" s="48"/>
      <c r="AJ294" s="48"/>
      <c r="AK294" s="48"/>
      <c r="AL294" s="48"/>
      <c r="AM294" s="48"/>
      <c r="AN294" s="18">
        <v>-0.71258535174243842</v>
      </c>
      <c r="AO294" s="46">
        <v>0</v>
      </c>
      <c r="AP294" s="18">
        <v>-1.1542793658586821</v>
      </c>
      <c r="AQ294" s="46">
        <v>1</v>
      </c>
    </row>
    <row r="295" spans="1:43" ht="20" customHeight="1" x14ac:dyDescent="0.45">
      <c r="A295" s="26">
        <v>285</v>
      </c>
      <c r="B295" s="16" t="s">
        <v>511</v>
      </c>
      <c r="C295" s="16" t="s">
        <v>258</v>
      </c>
      <c r="D295" s="46">
        <v>26</v>
      </c>
      <c r="E295" s="46">
        <v>0</v>
      </c>
      <c r="F295" s="13">
        <v>0.47498002399558942</v>
      </c>
      <c r="G295" s="13">
        <v>0.22787775956836359</v>
      </c>
      <c r="H295" s="13">
        <v>-2.622361736240018E-2</v>
      </c>
      <c r="I295" s="13">
        <v>-2.9445446555117479E-5</v>
      </c>
      <c r="J295" s="13">
        <v>0.27088915362709198</v>
      </c>
      <c r="K295" s="13">
        <v>15.228666666666699</v>
      </c>
      <c r="L295" s="13">
        <v>1.5182270569753049</v>
      </c>
      <c r="M295" s="13">
        <v>-3.4875094830110118</v>
      </c>
      <c r="N295" s="19">
        <f>(F295-Settings!$D$18)/Settings!$E$18</f>
        <v>1.0116138285410803</v>
      </c>
      <c r="O295" s="19">
        <f>(G295-Settings!$D$19)/Settings!$E$19</f>
        <v>0.9770387776174827</v>
      </c>
      <c r="P295" s="19">
        <f>(H295-Settings!$D$20)/Settings!$E$20</f>
        <v>-0.71893362683192663</v>
      </c>
      <c r="Q295" s="19">
        <f>(I295-Settings!$D$21)/Settings!$E$21</f>
        <v>3.584702470056092E-2</v>
      </c>
      <c r="R295" s="19">
        <f>(J295-Settings!$D$22)/Settings!$E$22</f>
        <v>6.1957714561240655E-2</v>
      </c>
      <c r="S295" s="19">
        <f>(K295-Settings!$D$23)/Settings!$E$23</f>
        <v>-9.2184464719188858E-3</v>
      </c>
      <c r="T295" s="19">
        <f>(L295-Settings!$D$24)/Settings!$E$24</f>
        <v>0.14515623720781654</v>
      </c>
      <c r="U295" s="19">
        <f>(M295-Settings!$D$25)/Settings!$E$25</f>
        <v>-2.316044979474138</v>
      </c>
      <c r="V295" s="31">
        <f>Settings!$B$18*(N295-F$6)^2</f>
        <v>0.1861963694483823</v>
      </c>
      <c r="W295" s="31">
        <f>Settings!$B$19*(O295-G$6)^2</f>
        <v>4.4744858324839425E-2</v>
      </c>
      <c r="X295" s="31">
        <f>Settings!$B$20*(P295-H$6)^2</f>
        <v>1.7766374891598458</v>
      </c>
      <c r="Y295" s="31">
        <f>Settings!$B$21*(Q295-I$6)^2</f>
        <v>0.16041286616818917</v>
      </c>
      <c r="Z295" s="31">
        <f>Settings!$B$22*(R295-J$6)^2</f>
        <v>1.652889187006549E-3</v>
      </c>
      <c r="AA295" s="31">
        <f>Settings!$B$23*(S295-K$6)^2</f>
        <v>3.0173770141432583</v>
      </c>
      <c r="AB295" s="31">
        <f>Settings!$B$24*(T295-L$6)^2</f>
        <v>1.9073256289908758</v>
      </c>
      <c r="AC295" s="31">
        <f>Settings!$B$25*(U295-M$6)^2</f>
        <v>4.5544258492842102</v>
      </c>
      <c r="AD295" s="19">
        <f t="shared" si="16"/>
        <v>3.4130298804297934</v>
      </c>
      <c r="AE295" s="15">
        <f t="shared" si="17"/>
        <v>1.3509391035134803</v>
      </c>
      <c r="AF295" s="33">
        <f t="shared" si="18"/>
        <v>0.40151185040498955</v>
      </c>
      <c r="AG295" s="47">
        <f t="shared" si="19"/>
        <v>1.733487213261482E-3</v>
      </c>
      <c r="AH295" s="18">
        <v>-0.12263143379084319</v>
      </c>
      <c r="AI295" s="46">
        <v>0</v>
      </c>
      <c r="AJ295" s="18">
        <v>1.299431275710875</v>
      </c>
      <c r="AK295" s="46">
        <v>0</v>
      </c>
      <c r="AL295" s="18">
        <v>-0.1383971311655974</v>
      </c>
      <c r="AM295" s="46">
        <v>0</v>
      </c>
      <c r="AN295" s="18">
        <v>0.21853071823737749</v>
      </c>
      <c r="AO295" s="46">
        <v>0</v>
      </c>
      <c r="AP295" s="18">
        <v>0.171630602340509</v>
      </c>
      <c r="AQ295" s="46">
        <v>0</v>
      </c>
    </row>
    <row r="296" spans="1:43" ht="20" customHeight="1" x14ac:dyDescent="0.45">
      <c r="A296" s="26">
        <v>286</v>
      </c>
      <c r="B296" s="16" t="s">
        <v>512</v>
      </c>
      <c r="C296" s="16" t="s">
        <v>232</v>
      </c>
      <c r="D296" s="46">
        <v>26</v>
      </c>
      <c r="E296" s="46">
        <v>0</v>
      </c>
      <c r="F296" s="13">
        <v>0.6258666611371837</v>
      </c>
      <c r="G296" s="13">
        <v>-0.13288435512218591</v>
      </c>
      <c r="H296" s="13">
        <v>-1.7760073592888049E-2</v>
      </c>
      <c r="I296" s="13">
        <v>4.8474290048962587E-2</v>
      </c>
      <c r="J296" s="13">
        <v>0.1750146200987798</v>
      </c>
      <c r="K296" s="13">
        <v>13.89072916666669</v>
      </c>
      <c r="L296" s="13">
        <v>0.60471499312584553</v>
      </c>
      <c r="M296" s="13">
        <v>-0.62480410238013906</v>
      </c>
      <c r="N296" s="19">
        <f>(F296-Settings!$D$18)/Settings!$E$18</f>
        <v>1.5516276968471634</v>
      </c>
      <c r="O296" s="19">
        <f>(G296-Settings!$D$19)/Settings!$E$19</f>
        <v>-0.52594217358422723</v>
      </c>
      <c r="P296" s="19">
        <f>(H296-Settings!$D$20)/Settings!$E$20</f>
        <v>-0.64225229275616658</v>
      </c>
      <c r="Q296" s="19">
        <f>(I296-Settings!$D$21)/Settings!$E$21</f>
        <v>0.63231237717638755</v>
      </c>
      <c r="R296" s="19">
        <f>(J296-Settings!$D$22)/Settings!$E$22</f>
        <v>-0.19599723172579619</v>
      </c>
      <c r="S296" s="19">
        <f>(K296-Settings!$D$23)/Settings!$E$23</f>
        <v>-0.47385336601388706</v>
      </c>
      <c r="T296" s="19">
        <f>(L296-Settings!$D$24)/Settings!$E$24</f>
        <v>-0.48640462016365976</v>
      </c>
      <c r="U296" s="19">
        <f>(M296-Settings!$D$25)/Settings!$E$25</f>
        <v>-0.38540458738769579</v>
      </c>
      <c r="V296" s="31">
        <f>Settings!$B$18*(N296-F$6)^2</f>
        <v>0.45293750278038636</v>
      </c>
      <c r="W296" s="31">
        <f>Settings!$B$19*(O296-G$6)^2</f>
        <v>0.21217420252776897</v>
      </c>
      <c r="X296" s="31">
        <f>Settings!$B$20*(P296-H$6)^2</f>
        <v>1.6863950001599823</v>
      </c>
      <c r="Y296" s="31">
        <f>Settings!$B$21*(Q296-I$6)^2</f>
        <v>0.44524013147824926</v>
      </c>
      <c r="Z296" s="31">
        <f>Settings!$B$22*(R296-J$6)^2</f>
        <v>2.4341210338262538E-2</v>
      </c>
      <c r="AA296" s="31">
        <f>Settings!$B$23*(S296-K$6)^2</f>
        <v>4.8474599744075668</v>
      </c>
      <c r="AB296" s="31">
        <f>Settings!$B$24*(T296-L$6)^2</f>
        <v>4.0506411203510684</v>
      </c>
      <c r="AC296" s="31">
        <f>Settings!$B$25*(U296-M$6)^2</f>
        <v>4.1399915399041767E-2</v>
      </c>
      <c r="AD296" s="19">
        <f t="shared" si="16"/>
        <v>3.4293715251401862</v>
      </c>
      <c r="AE296" s="15">
        <f t="shared" si="17"/>
        <v>1.3574074227572057</v>
      </c>
      <c r="AF296" s="33">
        <f t="shared" si="18"/>
        <v>0.39801027570441738</v>
      </c>
      <c r="AG296" s="47">
        <f t="shared" si="19"/>
        <v>1.7183695150824639E-3</v>
      </c>
      <c r="AH296" s="18">
        <v>0.4260605754692115</v>
      </c>
      <c r="AI296" s="46">
        <v>0</v>
      </c>
      <c r="AJ296" s="18">
        <v>2.381375362469873E-2</v>
      </c>
      <c r="AK296" s="46">
        <v>0</v>
      </c>
      <c r="AL296" s="18">
        <v>-0.41522263264788739</v>
      </c>
      <c r="AM296" s="46">
        <v>1</v>
      </c>
      <c r="AN296" s="18">
        <v>-0.18440053295378861</v>
      </c>
      <c r="AO296" s="46">
        <v>1</v>
      </c>
      <c r="AP296" s="18">
        <v>-1.0145493997066199</v>
      </c>
      <c r="AQ296" s="46">
        <v>1</v>
      </c>
    </row>
    <row r="297" spans="1:43" ht="20" customHeight="1" x14ac:dyDescent="0.45">
      <c r="A297" s="26">
        <v>287</v>
      </c>
      <c r="B297" s="16" t="s">
        <v>513</v>
      </c>
      <c r="C297" s="16" t="s">
        <v>260</v>
      </c>
      <c r="D297" s="46">
        <v>26</v>
      </c>
      <c r="E297" s="46">
        <v>1</v>
      </c>
      <c r="F297" s="13">
        <v>0.43843975161911791</v>
      </c>
      <c r="G297" s="13">
        <v>2.4377500425726908E-2</v>
      </c>
      <c r="H297" s="13">
        <v>-2.339048922013981E-3</v>
      </c>
      <c r="I297" s="13">
        <v>0.1079021889590312</v>
      </c>
      <c r="J297" s="13">
        <v>-0.42694151007411002</v>
      </c>
      <c r="K297" s="13">
        <v>14.486021505376341</v>
      </c>
      <c r="L297" s="13">
        <v>0.50010442919199971</v>
      </c>
      <c r="M297" s="13">
        <v>0.10400588176835671</v>
      </c>
      <c r="N297" s="19">
        <f>(F297-Settings!$D$18)/Settings!$E$18</f>
        <v>0.88083847156590145</v>
      </c>
      <c r="O297" s="19">
        <f>(G297-Settings!$D$19)/Settings!$E$19</f>
        <v>0.12923076064111819</v>
      </c>
      <c r="P297" s="19">
        <f>(H297-Settings!$D$20)/Settings!$E$20</f>
        <v>-0.50253484380322111</v>
      </c>
      <c r="Q297" s="19">
        <f>(I297-Settings!$D$21)/Settings!$E$21</f>
        <v>1.3631155268341606</v>
      </c>
      <c r="R297" s="19">
        <f>(J297-Settings!$D$22)/Settings!$E$22</f>
        <v>-1.8155885404026324</v>
      </c>
      <c r="S297" s="19">
        <f>(K297-Settings!$D$23)/Settings!$E$23</f>
        <v>-0.26712202923596817</v>
      </c>
      <c r="T297" s="19">
        <f>(L297-Settings!$D$24)/Settings!$E$24</f>
        <v>-0.55872762503977369</v>
      </c>
      <c r="U297" s="19">
        <f>(M297-Settings!$D$25)/Settings!$E$25</f>
        <v>0.10611298304523521</v>
      </c>
      <c r="V297" s="31">
        <f>Settings!$B$18*(N297-F$6)^2</f>
        <v>0.13914411122425341</v>
      </c>
      <c r="W297" s="31">
        <f>Settings!$B$19*(O297-G$6)^2</f>
        <v>2.8096956115836763E-2</v>
      </c>
      <c r="X297" s="31">
        <f>Settings!$B$20*(P297-H$6)^2</f>
        <v>1.5280153464118476</v>
      </c>
      <c r="Y297" s="31">
        <f>Settings!$B$21*(Q297-I$6)^2</f>
        <v>0.98821148705130557</v>
      </c>
      <c r="Z297" s="31">
        <f>Settings!$B$22*(R297-J$6)^2</f>
        <v>0.77496321666072954</v>
      </c>
      <c r="AA297" s="31">
        <f>Settings!$B$23*(S297-K$6)^2</f>
        <v>3.97987920333602</v>
      </c>
      <c r="AB297" s="31">
        <f>Settings!$B$24*(T297-L$6)^2</f>
        <v>4.3469892562260446</v>
      </c>
      <c r="AC297" s="31">
        <f>Settings!$B$25*(U297-M$6)^2</f>
        <v>8.2971580501223038E-2</v>
      </c>
      <c r="AD297" s="19">
        <f t="shared" si="16"/>
        <v>3.4450357265966431</v>
      </c>
      <c r="AE297" s="15">
        <f t="shared" si="17"/>
        <v>1.3636075976792537</v>
      </c>
      <c r="AF297" s="33">
        <f t="shared" si="18"/>
        <v>0.39466702659572805</v>
      </c>
      <c r="AG297" s="47">
        <f t="shared" si="19"/>
        <v>1.7039353717942518E-3</v>
      </c>
      <c r="AH297" s="18">
        <v>1.58992419858483</v>
      </c>
      <c r="AI297" s="46">
        <v>1</v>
      </c>
      <c r="AJ297" s="18">
        <v>1.0425793427281591</v>
      </c>
      <c r="AK297" s="46">
        <v>1</v>
      </c>
      <c r="AL297" s="18">
        <v>-1.369764493409042</v>
      </c>
      <c r="AM297" s="46">
        <v>1</v>
      </c>
      <c r="AN297" s="18">
        <v>-0.33330575722055888</v>
      </c>
      <c r="AO297" s="46">
        <v>1</v>
      </c>
      <c r="AP297" s="18">
        <v>-0.20314660479023419</v>
      </c>
      <c r="AQ297" s="46">
        <v>1</v>
      </c>
    </row>
    <row r="298" spans="1:43" ht="20" customHeight="1" x14ac:dyDescent="0.45">
      <c r="A298" s="26">
        <v>288</v>
      </c>
      <c r="B298" s="16" t="s">
        <v>514</v>
      </c>
      <c r="C298" s="16" t="s">
        <v>214</v>
      </c>
      <c r="D298" s="46">
        <v>26</v>
      </c>
      <c r="E298" s="46">
        <v>1</v>
      </c>
      <c r="F298" s="13">
        <v>8.9358821154285062E-2</v>
      </c>
      <c r="G298" s="13">
        <v>0.43506988753335257</v>
      </c>
      <c r="H298" s="13">
        <v>-6.2026440952532456E-3</v>
      </c>
      <c r="I298" s="13">
        <v>-1.387323234814512E-2</v>
      </c>
      <c r="J298" s="13">
        <v>0.455495414868964</v>
      </c>
      <c r="K298" s="13">
        <v>13.40506172839506</v>
      </c>
      <c r="L298" s="13">
        <v>1.7751136651305111</v>
      </c>
      <c r="M298" s="13">
        <v>2.1289522747759291</v>
      </c>
      <c r="N298" s="19">
        <f>(F298-Settings!$D$18)/Settings!$E$18</f>
        <v>-0.36850041743923889</v>
      </c>
      <c r="O298" s="19">
        <f>(G298-Settings!$D$19)/Settings!$E$19</f>
        <v>1.8402275906596719</v>
      </c>
      <c r="P298" s="19">
        <f>(H298-Settings!$D$20)/Settings!$E$20</f>
        <v>-0.53753975903505091</v>
      </c>
      <c r="Q298" s="19">
        <f>(I298-Settings!$D$21)/Settings!$E$21</f>
        <v>-0.13439428041747856</v>
      </c>
      <c r="R298" s="19">
        <f>(J298-Settings!$D$22)/Settings!$E$22</f>
        <v>0.55864955180324771</v>
      </c>
      <c r="S298" s="19">
        <f>(K298-Settings!$D$23)/Settings!$E$23</f>
        <v>-0.64251449637721947</v>
      </c>
      <c r="T298" s="19">
        <f>(L298-Settings!$D$24)/Settings!$E$24</f>
        <v>0.3227560007074789</v>
      </c>
      <c r="U298" s="19">
        <f>(M298-Settings!$D$25)/Settings!$E$25</f>
        <v>1.4717593833355147</v>
      </c>
      <c r="V298" s="31">
        <f>Settings!$B$18*(N298-F$6)^2</f>
        <v>3.4484891398079379E-2</v>
      </c>
      <c r="W298" s="31">
        <f>Settings!$B$19*(O298-G$6)^2</f>
        <v>0.35707744865049179</v>
      </c>
      <c r="X298" s="31">
        <f>Settings!$B$20*(P298-H$6)^2</f>
        <v>1.5669628138609903</v>
      </c>
      <c r="Y298" s="31">
        <f>Settings!$B$21*(Q298-I$6)^2</f>
        <v>0.1052233731436647</v>
      </c>
      <c r="Z298" s="31">
        <f>Settings!$B$22*(R298-J$6)^2</f>
        <v>3.2931942508887611E-2</v>
      </c>
      <c r="AA298" s="31">
        <f>Settings!$B$23*(S298-K$6)^2</f>
        <v>5.6185872172948912</v>
      </c>
      <c r="AB298" s="31">
        <f>Settings!$B$24*(T298-L$6)^2</f>
        <v>1.4483155869914697</v>
      </c>
      <c r="AC298" s="31">
        <f>Settings!$B$25*(U298-M$6)^2</f>
        <v>2.7347047688109898</v>
      </c>
      <c r="AD298" s="19">
        <f t="shared" si="16"/>
        <v>3.4493895173870204</v>
      </c>
      <c r="AE298" s="15">
        <f t="shared" si="17"/>
        <v>1.3653309070065358</v>
      </c>
      <c r="AF298" s="33">
        <f t="shared" si="18"/>
        <v>0.3937400957483469</v>
      </c>
      <c r="AG298" s="47">
        <f t="shared" si="19"/>
        <v>1.6999334406684527E-3</v>
      </c>
      <c r="AH298" s="48"/>
      <c r="AI298" s="48"/>
      <c r="AJ298" s="48"/>
      <c r="AK298" s="48"/>
      <c r="AL298" s="48"/>
      <c r="AM298" s="48"/>
      <c r="AN298" s="48"/>
      <c r="AO298" s="48"/>
      <c r="AP298" s="48"/>
      <c r="AQ298" s="48"/>
    </row>
    <row r="299" spans="1:43" ht="20" customHeight="1" x14ac:dyDescent="0.45">
      <c r="A299" s="26">
        <v>289</v>
      </c>
      <c r="B299" s="16" t="s">
        <v>515</v>
      </c>
      <c r="C299" s="16" t="s">
        <v>246</v>
      </c>
      <c r="D299" s="46">
        <v>26</v>
      </c>
      <c r="E299" s="46">
        <v>1</v>
      </c>
      <c r="F299" s="13">
        <v>0.30209920980715221</v>
      </c>
      <c r="G299" s="13">
        <v>-0.11518806785211121</v>
      </c>
      <c r="H299" s="13">
        <v>-8.6641406721442507E-3</v>
      </c>
      <c r="I299" s="13">
        <v>1.326082262213707E-2</v>
      </c>
      <c r="J299" s="13">
        <v>0.5607877590464555</v>
      </c>
      <c r="K299" s="13">
        <v>13.576428571428551</v>
      </c>
      <c r="L299" s="13">
        <v>0.8150631515240564</v>
      </c>
      <c r="M299" s="13">
        <v>-1.808942252796427</v>
      </c>
      <c r="N299" s="19">
        <f>(F299-Settings!$D$18)/Settings!$E$18</f>
        <v>0.39288417166500761</v>
      </c>
      <c r="O299" s="19">
        <f>(G299-Settings!$D$19)/Settings!$E$19</f>
        <v>-0.45221718531396549</v>
      </c>
      <c r="P299" s="19">
        <f>(H299-Settings!$D$20)/Settings!$E$20</f>
        <v>-0.55984139136297106</v>
      </c>
      <c r="Q299" s="19">
        <f>(I299-Settings!$D$21)/Settings!$E$21</f>
        <v>0.19928153849843674</v>
      </c>
      <c r="R299" s="19">
        <f>(J299-Settings!$D$22)/Settings!$E$22</f>
        <v>0.84194356103793511</v>
      </c>
      <c r="S299" s="19">
        <f>(K299-Settings!$D$23)/Settings!$E$23</f>
        <v>-0.58300273343984266</v>
      </c>
      <c r="T299" s="19">
        <f>(L299-Settings!$D$24)/Settings!$E$24</f>
        <v>-0.34097943255893698</v>
      </c>
      <c r="U299" s="19">
        <f>(M299-Settings!$D$25)/Settings!$E$25</f>
        <v>-1.184000544370319</v>
      </c>
      <c r="V299" s="31">
        <f>Settings!$B$18*(N299-F$6)^2</f>
        <v>2.3963182070833269E-2</v>
      </c>
      <c r="W299" s="31">
        <f>Settings!$B$19*(O299-G$6)^2</f>
        <v>0.18288699711183343</v>
      </c>
      <c r="X299" s="31">
        <f>Settings!$B$20*(P299-H$6)^2</f>
        <v>1.5920318522111927</v>
      </c>
      <c r="Y299" s="31">
        <f>Settings!$B$21*(Q299-I$6)^2</f>
        <v>0.22430253597061911</v>
      </c>
      <c r="Z299" s="31">
        <f>Settings!$B$22*(R299-J$6)^2</f>
        <v>9.4965380594529358E-2</v>
      </c>
      <c r="AA299" s="31">
        <f>Settings!$B$23*(S299-K$6)^2</f>
        <v>5.3400007472977329</v>
      </c>
      <c r="AB299" s="31">
        <f>Settings!$B$24*(T299-L$6)^2</f>
        <v>3.4864181892821033</v>
      </c>
      <c r="AC299" s="31">
        <f>Settings!$B$25*(U299-M$6)^2</f>
        <v>1.0041355640655836</v>
      </c>
      <c r="AD299" s="19">
        <f t="shared" si="16"/>
        <v>3.4566898108746216</v>
      </c>
      <c r="AE299" s="15">
        <f t="shared" si="17"/>
        <v>1.368220495520271</v>
      </c>
      <c r="AF299" s="33">
        <f t="shared" si="18"/>
        <v>0.39218811771190437</v>
      </c>
      <c r="AG299" s="47">
        <f t="shared" si="19"/>
        <v>1.6932329308859341E-3</v>
      </c>
      <c r="AH299" s="18">
        <v>-1.008989208623809</v>
      </c>
      <c r="AI299" s="46">
        <v>1</v>
      </c>
      <c r="AJ299" s="48"/>
      <c r="AK299" s="48"/>
      <c r="AL299" s="48"/>
      <c r="AM299" s="48"/>
      <c r="AN299" s="48"/>
      <c r="AO299" s="48"/>
      <c r="AP299" s="48"/>
      <c r="AQ299" s="48"/>
    </row>
    <row r="300" spans="1:43" ht="20" customHeight="1" x14ac:dyDescent="0.45">
      <c r="A300" s="26">
        <v>290</v>
      </c>
      <c r="B300" s="16" t="s">
        <v>516</v>
      </c>
      <c r="C300" s="16" t="s">
        <v>271</v>
      </c>
      <c r="D300" s="46">
        <v>26</v>
      </c>
      <c r="E300" s="46">
        <v>1</v>
      </c>
      <c r="F300" s="13">
        <v>0.3704079737011709</v>
      </c>
      <c r="G300" s="13">
        <v>0.23444414932286209</v>
      </c>
      <c r="H300" s="13">
        <v>-3.2376524281579359E-3</v>
      </c>
      <c r="I300" s="13">
        <v>5.555621818711623E-2</v>
      </c>
      <c r="J300" s="13">
        <v>-0.33635400636069301</v>
      </c>
      <c r="K300" s="13">
        <v>14.02586912065442</v>
      </c>
      <c r="L300" s="13">
        <v>0.73085343081781806</v>
      </c>
      <c r="M300" s="13">
        <v>1.0684579003225041</v>
      </c>
      <c r="N300" s="19">
        <f>(F300-Settings!$D$18)/Settings!$E$18</f>
        <v>0.63735697938621072</v>
      </c>
      <c r="O300" s="19">
        <f>(G300-Settings!$D$19)/Settings!$E$19</f>
        <v>1.0043951942624034</v>
      </c>
      <c r="P300" s="19">
        <f>(H300-Settings!$D$20)/Settings!$E$20</f>
        <v>-0.51067636436869523</v>
      </c>
      <c r="Q300" s="19">
        <f>(I300-Settings!$D$21)/Settings!$E$21</f>
        <v>0.71940102550374463</v>
      </c>
      <c r="R300" s="19">
        <f>(J300-Settings!$D$22)/Settings!$E$22</f>
        <v>-1.5718585967490271</v>
      </c>
      <c r="S300" s="19">
        <f>(K300-Settings!$D$23)/Settings!$E$23</f>
        <v>-0.4269223683790993</v>
      </c>
      <c r="T300" s="19">
        <f>(L300-Settings!$D$24)/Settings!$E$24</f>
        <v>-0.39919821861867832</v>
      </c>
      <c r="U300" s="19">
        <f>(M300-Settings!$D$25)/Settings!$E$25</f>
        <v>0.75655016594513835</v>
      </c>
      <c r="V300" s="31">
        <f>Settings!$B$18*(N300-F$6)^2</f>
        <v>6.9765725165940679E-2</v>
      </c>
      <c r="W300" s="31">
        <f>Settings!$B$19*(O300-G$6)^2</f>
        <v>5.0070312597399996E-2</v>
      </c>
      <c r="X300" s="31">
        <f>Settings!$B$20*(P300-H$6)^2</f>
        <v>1.5370300927112899</v>
      </c>
      <c r="Y300" s="31">
        <f>Settings!$B$21*(Q300-I$6)^2</f>
        <v>0.49873311865855863</v>
      </c>
      <c r="Z300" s="31">
        <f>Settings!$B$22*(R300-J$6)^2</f>
        <v>0.59493547858212203</v>
      </c>
      <c r="AA300" s="31">
        <f>Settings!$B$23*(S300-K$6)^2</f>
        <v>4.6430070264263108</v>
      </c>
      <c r="AB300" s="31">
        <f>Settings!$B$24*(T300-L$6)^2</f>
        <v>3.7072193006486116</v>
      </c>
      <c r="AC300" s="31">
        <f>Settings!$B$25*(U300-M$6)^2</f>
        <v>0.88075421109917451</v>
      </c>
      <c r="AD300" s="19">
        <f t="shared" si="16"/>
        <v>3.4614325453328436</v>
      </c>
      <c r="AE300" s="15">
        <f t="shared" si="17"/>
        <v>1.3700977558026761</v>
      </c>
      <c r="AF300" s="33">
        <f t="shared" si="18"/>
        <v>0.39118138346723769</v>
      </c>
      <c r="AG300" s="47">
        <f t="shared" si="19"/>
        <v>1.6888864565825683E-3</v>
      </c>
      <c r="AH300" s="18">
        <v>-0.53246602129477927</v>
      </c>
      <c r="AI300" s="46">
        <v>1</v>
      </c>
      <c r="AJ300" s="18">
        <v>-1.0148989488785189</v>
      </c>
      <c r="AK300" s="46">
        <v>1</v>
      </c>
      <c r="AL300" s="18">
        <v>0.15777098729409961</v>
      </c>
      <c r="AM300" s="46">
        <v>1</v>
      </c>
      <c r="AN300" s="18">
        <v>0.22314444852323151</v>
      </c>
      <c r="AO300" s="46">
        <v>1</v>
      </c>
      <c r="AP300" s="18">
        <v>0.88883616397251675</v>
      </c>
      <c r="AQ300" s="46">
        <v>1</v>
      </c>
    </row>
    <row r="301" spans="1:43" ht="20" customHeight="1" x14ac:dyDescent="0.45">
      <c r="A301" s="26">
        <v>291</v>
      </c>
      <c r="B301" s="16" t="s">
        <v>517</v>
      </c>
      <c r="C301" s="16" t="s">
        <v>232</v>
      </c>
      <c r="D301" s="46">
        <v>26</v>
      </c>
      <c r="E301" s="46">
        <v>0</v>
      </c>
      <c r="F301" s="13">
        <v>0.2745182960587606</v>
      </c>
      <c r="G301" s="13">
        <v>-9.9839795651183255E-2</v>
      </c>
      <c r="H301" s="13">
        <v>1.7641191663200429E-2</v>
      </c>
      <c r="I301" s="13">
        <v>4.0540625988859748E-2</v>
      </c>
      <c r="J301" s="13">
        <v>0.56746009063799596</v>
      </c>
      <c r="K301" s="13">
        <v>16.854796163069519</v>
      </c>
      <c r="L301" s="13">
        <v>2.5364439743217089</v>
      </c>
      <c r="M301" s="13">
        <v>-4.5737891402583593</v>
      </c>
      <c r="N301" s="19">
        <f>(F301-Settings!$D$18)/Settings!$E$18</f>
        <v>0.29417380070811133</v>
      </c>
      <c r="O301" s="19">
        <f>(G301-Settings!$D$19)/Settings!$E$19</f>
        <v>-0.3882743270910598</v>
      </c>
      <c r="P301" s="19">
        <f>(H301-Settings!$D$20)/Settings!$E$20</f>
        <v>-0.32151002193747436</v>
      </c>
      <c r="Q301" s="19">
        <f>(I301-Settings!$D$21)/Settings!$E$21</f>
        <v>0.53474967026958975</v>
      </c>
      <c r="R301" s="19">
        <f>(J301-Settings!$D$22)/Settings!$E$22</f>
        <v>0.85989578332224859</v>
      </c>
      <c r="S301" s="19">
        <f>(K301-Settings!$D$23)/Settings!$E$23</f>
        <v>0.55549892465037953</v>
      </c>
      <c r="T301" s="19">
        <f>(L301-Settings!$D$24)/Settings!$E$24</f>
        <v>0.84910528698786347</v>
      </c>
      <c r="U301" s="19">
        <f>(M301-Settings!$D$25)/Settings!$E$25</f>
        <v>-3.0486440787643936</v>
      </c>
      <c r="V301" s="31">
        <f>Settings!$B$18*(N301-F$6)^2</f>
        <v>1.2244714699409858E-2</v>
      </c>
      <c r="W301" s="31">
        <f>Settings!$B$19*(O301-G$6)^2</f>
        <v>0.15924631184863325</v>
      </c>
      <c r="X301" s="31">
        <f>Settings!$B$20*(P301-H$6)^2</f>
        <v>1.3344233135287868</v>
      </c>
      <c r="Y301" s="31">
        <f>Settings!$B$21*(Q301-I$6)^2</f>
        <v>0.38891661715898646</v>
      </c>
      <c r="Z301" s="31">
        <f>Settings!$B$22*(R301-J$6)^2</f>
        <v>9.9978021352751772E-2</v>
      </c>
      <c r="AA301" s="31">
        <f>Settings!$B$23*(S301-K$6)^2</f>
        <v>1.3743869496433239</v>
      </c>
      <c r="AB301" s="31">
        <f>Settings!$B$24*(T301-L$6)^2</f>
        <v>0.45847870223903969</v>
      </c>
      <c r="AC301" s="31">
        <f>Settings!$B$25*(U301-M$6)^2</f>
        <v>8.2180215397522556</v>
      </c>
      <c r="AD301" s="19">
        <f t="shared" si="16"/>
        <v>3.470691022004579</v>
      </c>
      <c r="AE301" s="15">
        <f t="shared" si="17"/>
        <v>1.373762428721754</v>
      </c>
      <c r="AF301" s="33">
        <f t="shared" si="18"/>
        <v>0.38921958635486337</v>
      </c>
      <c r="AG301" s="47">
        <f t="shared" si="19"/>
        <v>1.6804165939723265E-3</v>
      </c>
      <c r="AH301" s="18">
        <v>-1.4403123432229581</v>
      </c>
      <c r="AI301" s="46">
        <v>0</v>
      </c>
      <c r="AJ301" s="18">
        <v>0.73765581253670831</v>
      </c>
      <c r="AK301" s="46">
        <v>0</v>
      </c>
      <c r="AL301" s="48"/>
      <c r="AM301" s="48"/>
      <c r="AN301" s="48"/>
      <c r="AO301" s="48"/>
      <c r="AP301" s="48"/>
      <c r="AQ301" s="48"/>
    </row>
    <row r="302" spans="1:43" ht="20" customHeight="1" x14ac:dyDescent="0.45">
      <c r="A302" s="26">
        <v>292</v>
      </c>
      <c r="B302" s="16" t="s">
        <v>518</v>
      </c>
      <c r="C302" s="16" t="s">
        <v>220</v>
      </c>
      <c r="D302" s="46">
        <v>26</v>
      </c>
      <c r="E302" s="46">
        <v>1</v>
      </c>
      <c r="F302" s="13">
        <v>0.34856458904916982</v>
      </c>
      <c r="G302" s="13">
        <v>7.1547029868611514E-2</v>
      </c>
      <c r="H302" s="13">
        <v>-7.3488495064963452E-2</v>
      </c>
      <c r="I302" s="13">
        <v>3.080134277554256E-2</v>
      </c>
      <c r="J302" s="13">
        <v>0.47559854324171269</v>
      </c>
      <c r="K302" s="13">
        <v>13.339075630252101</v>
      </c>
      <c r="L302" s="13">
        <v>1.2817519091799989</v>
      </c>
      <c r="M302" s="13">
        <v>1.2897692720867231</v>
      </c>
      <c r="N302" s="19">
        <f>(F302-Settings!$D$18)/Settings!$E$18</f>
        <v>0.55918086739721107</v>
      </c>
      <c r="O302" s="19">
        <f>(G302-Settings!$D$19)/Settings!$E$19</f>
        <v>0.3257450323534215</v>
      </c>
      <c r="P302" s="19">
        <f>(H302-Settings!$D$20)/Settings!$E$20</f>
        <v>-1.1471625077666456</v>
      </c>
      <c r="Q302" s="19">
        <f>(I302-Settings!$D$21)/Settings!$E$21</f>
        <v>0.41498270932634512</v>
      </c>
      <c r="R302" s="19">
        <f>(J302-Settings!$D$22)/Settings!$E$22</f>
        <v>0.61273796515716972</v>
      </c>
      <c r="S302" s="19">
        <f>(K302-Settings!$D$23)/Settings!$E$23</f>
        <v>-0.66542995050085529</v>
      </c>
      <c r="T302" s="19">
        <f>(L302-Settings!$D$24)/Settings!$E$24</f>
        <v>-1.8331967271179427E-2</v>
      </c>
      <c r="U302" s="19">
        <f>(M302-Settings!$D$25)/Settings!$E$25</f>
        <v>0.90580501991893403</v>
      </c>
      <c r="V302" s="31">
        <f>Settings!$B$18*(N302-F$6)^2</f>
        <v>5.2519164868068881E-2</v>
      </c>
      <c r="W302" s="31">
        <f>Settings!$B$19*(O302-G$6)^2</f>
        <v>6.3580868841544352E-3</v>
      </c>
      <c r="X302" s="31">
        <f>Settings!$B$20*(P302-H$6)^2</f>
        <v>2.3238424155730475</v>
      </c>
      <c r="Y302" s="31">
        <f>Settings!$B$21*(Q302-I$6)^2</f>
        <v>0.32498024147824522</v>
      </c>
      <c r="Z302" s="31">
        <f>Settings!$B$22*(R302-J$6)^2</f>
        <v>4.2296313774953978E-2</v>
      </c>
      <c r="AA302" s="31">
        <f>Settings!$B$23*(S302-K$6)^2</f>
        <v>5.7277479003037257</v>
      </c>
      <c r="AB302" s="31">
        <f>Settings!$B$24*(T302-L$6)^2</f>
        <v>2.38562793177165</v>
      </c>
      <c r="AC302" s="31">
        <f>Settings!$B$25*(U302-M$6)^2</f>
        <v>1.1831781242255148</v>
      </c>
      <c r="AD302" s="19">
        <f t="shared" si="16"/>
        <v>3.4708140513256196</v>
      </c>
      <c r="AE302" s="15">
        <f t="shared" si="17"/>
        <v>1.3738111259574934</v>
      </c>
      <c r="AF302" s="33">
        <f t="shared" si="18"/>
        <v>0.38919354858397159</v>
      </c>
      <c r="AG302" s="47">
        <f t="shared" si="19"/>
        <v>1.6803041785035E-3</v>
      </c>
      <c r="AH302" s="18">
        <v>5.0251928241162869E-3</v>
      </c>
      <c r="AI302" s="46">
        <v>1</v>
      </c>
      <c r="AJ302" s="18">
        <v>-4.578961778997237E-2</v>
      </c>
      <c r="AK302" s="46">
        <v>1</v>
      </c>
      <c r="AL302" s="18">
        <v>-0.18258026478085429</v>
      </c>
      <c r="AM302" s="46">
        <v>1</v>
      </c>
      <c r="AN302" s="18">
        <v>-0.18862281950443829</v>
      </c>
      <c r="AO302" s="46">
        <v>1</v>
      </c>
      <c r="AP302" s="48"/>
      <c r="AQ302" s="48"/>
    </row>
    <row r="303" spans="1:43" ht="20" customHeight="1" x14ac:dyDescent="0.45">
      <c r="A303" s="26">
        <v>293</v>
      </c>
      <c r="B303" s="16" t="s">
        <v>519</v>
      </c>
      <c r="C303" s="16" t="s">
        <v>229</v>
      </c>
      <c r="D303" s="46">
        <v>26</v>
      </c>
      <c r="E303" s="46">
        <v>1</v>
      </c>
      <c r="F303" s="13">
        <v>2.137516326758539E-2</v>
      </c>
      <c r="G303" s="13">
        <v>-0.3836141649967158</v>
      </c>
      <c r="H303" s="13">
        <v>3.025511428720019E-2</v>
      </c>
      <c r="I303" s="13">
        <v>3.3299707949173089E-3</v>
      </c>
      <c r="J303" s="13">
        <v>0.56142558665358133</v>
      </c>
      <c r="K303" s="13">
        <v>13.93011494252876</v>
      </c>
      <c r="L303" s="13">
        <v>0.35738896705622381</v>
      </c>
      <c r="M303" s="13">
        <v>5.4885779996473982E-2</v>
      </c>
      <c r="N303" s="19">
        <f>(F303-Settings!$D$18)/Settings!$E$18</f>
        <v>-0.61180969102681859</v>
      </c>
      <c r="O303" s="19">
        <f>(G303-Settings!$D$19)/Settings!$E$19</f>
        <v>-1.5705145186129958</v>
      </c>
      <c r="P303" s="19">
        <f>(H303-Settings!$D$20)/Settings!$E$20</f>
        <v>-0.20722545732979716</v>
      </c>
      <c r="Q303" s="19">
        <f>(I303-Settings!$D$21)/Settings!$E$21</f>
        <v>7.7158799394038691E-2</v>
      </c>
      <c r="R303" s="19">
        <f>(J303-Settings!$D$22)/Settings!$E$22</f>
        <v>0.84365966624420397</v>
      </c>
      <c r="S303" s="19">
        <f>(K303-Settings!$D$23)/Settings!$E$23</f>
        <v>-0.46017559197827546</v>
      </c>
      <c r="T303" s="19">
        <f>(L303-Settings!$D$24)/Settings!$E$24</f>
        <v>-0.65739463031918122</v>
      </c>
      <c r="U303" s="19">
        <f>(M303-Settings!$D$25)/Settings!$E$25</f>
        <v>7.2985839335010086E-2</v>
      </c>
      <c r="V303" s="31">
        <f>Settings!$B$18*(N303-F$6)^2</f>
        <v>8.6737492393120966E-2</v>
      </c>
      <c r="W303" s="31">
        <f>Settings!$B$19*(O303-G$6)^2</f>
        <v>0.86075840594490582</v>
      </c>
      <c r="X303" s="31">
        <f>Settings!$B$20*(P303-H$6)^2</f>
        <v>1.2189546799935025</v>
      </c>
      <c r="Y303" s="31">
        <f>Settings!$B$21*(Q303-I$6)^2</f>
        <v>0.17555340571512229</v>
      </c>
      <c r="Z303" s="31">
        <f>Settings!$B$22*(R303-J$6)^2</f>
        <v>9.5438980944754531E-2</v>
      </c>
      <c r="AA303" s="31">
        <f>Settings!$B$23*(S303-K$6)^2</f>
        <v>4.7874184880820208</v>
      </c>
      <c r="AB303" s="31">
        <f>Settings!$B$24*(T303-L$6)^2</f>
        <v>4.7681546900820351</v>
      </c>
      <c r="AC303" s="31">
        <f>Settings!$B$25*(U303-M$6)^2</f>
        <v>6.4984581196449606E-2</v>
      </c>
      <c r="AD303" s="19">
        <f t="shared" si="16"/>
        <v>3.4724632070551751</v>
      </c>
      <c r="AE303" s="15">
        <f t="shared" si="17"/>
        <v>1.3744638916937719</v>
      </c>
      <c r="AF303" s="33">
        <f t="shared" si="18"/>
        <v>0.38884460243246127</v>
      </c>
      <c r="AG303" s="47">
        <f t="shared" si="19"/>
        <v>1.6787976384321428E-3</v>
      </c>
      <c r="AH303" s="18">
        <v>-0.3916488078794515</v>
      </c>
      <c r="AI303" s="46">
        <v>1</v>
      </c>
      <c r="AJ303" s="18">
        <v>-0.1989578235480618</v>
      </c>
      <c r="AK303" s="46">
        <v>1</v>
      </c>
      <c r="AL303" s="18">
        <v>0.45766853525167711</v>
      </c>
      <c r="AM303" s="46">
        <v>1</v>
      </c>
      <c r="AN303" s="48"/>
      <c r="AO303" s="48"/>
      <c r="AP303" s="48"/>
      <c r="AQ303" s="48"/>
    </row>
    <row r="304" spans="1:43" ht="20" customHeight="1" x14ac:dyDescent="0.45">
      <c r="A304" s="26">
        <v>294</v>
      </c>
      <c r="B304" s="16" t="s">
        <v>520</v>
      </c>
      <c r="C304" s="16" t="s">
        <v>220</v>
      </c>
      <c r="D304" s="46">
        <v>26</v>
      </c>
      <c r="E304" s="46">
        <v>1</v>
      </c>
      <c r="F304" s="13">
        <v>-0.3692596170430642</v>
      </c>
      <c r="G304" s="13">
        <v>0.40831992739149442</v>
      </c>
      <c r="H304" s="13">
        <v>9.8738508062678254E-2</v>
      </c>
      <c r="I304" s="13">
        <v>3.8126780204316639E-2</v>
      </c>
      <c r="J304" s="13">
        <v>-8.5555167298446505E-2</v>
      </c>
      <c r="K304" s="13">
        <v>16.0878676470588</v>
      </c>
      <c r="L304" s="13">
        <v>9.7485286283265193E-2</v>
      </c>
      <c r="M304" s="13">
        <v>1.787009998295475</v>
      </c>
      <c r="N304" s="19">
        <f>(F304-Settings!$D$18)/Settings!$E$18</f>
        <v>-2.009867218231788</v>
      </c>
      <c r="O304" s="19">
        <f>(G304-Settings!$D$19)/Settings!$E$19</f>
        <v>1.7287838472580008</v>
      </c>
      <c r="P304" s="19">
        <f>(H304-Settings!$D$20)/Settings!$E$20</f>
        <v>0.41324725950734464</v>
      </c>
      <c r="Q304" s="19">
        <f>(I304-Settings!$D$21)/Settings!$E$21</f>
        <v>0.50506586629055716</v>
      </c>
      <c r="R304" s="19">
        <f>(J304-Settings!$D$22)/Settings!$E$22</f>
        <v>-0.89707251249602427</v>
      </c>
      <c r="S304" s="19">
        <f>(K304-Settings!$D$23)/Settings!$E$23</f>
        <v>0.28916229133897386</v>
      </c>
      <c r="T304" s="19">
        <f>(L304-Settings!$D$24)/Settings!$E$24</f>
        <v>-0.83708026114848821</v>
      </c>
      <c r="U304" s="19">
        <f>(M304-Settings!$D$25)/Settings!$E$25</f>
        <v>1.2411497036940602</v>
      </c>
      <c r="V304" s="31">
        <f>Settings!$B$18*(N304-F$6)^2</f>
        <v>0.84592650412192727</v>
      </c>
      <c r="W304" s="31">
        <f>Settings!$B$19*(O304-G$6)^2</f>
        <v>0.29999765882210128</v>
      </c>
      <c r="X304" s="31">
        <f>Settings!$B$20*(P304-H$6)^2</f>
        <v>0.68323279625030719</v>
      </c>
      <c r="Y304" s="31">
        <f>Settings!$B$21*(Q304-I$6)^2</f>
        <v>0.37253541773511295</v>
      </c>
      <c r="Z304" s="31">
        <f>Settings!$B$22*(R304-J$6)^2</f>
        <v>0.22047447530358247</v>
      </c>
      <c r="AA304" s="31">
        <f>Settings!$B$23*(S304-K$6)^2</f>
        <v>2.0697976637655078</v>
      </c>
      <c r="AB304" s="31">
        <f>Settings!$B$24*(T304-L$6)^2</f>
        <v>5.5851684660268237</v>
      </c>
      <c r="AC304" s="31">
        <f>Settings!$B$25*(U304-M$6)^2</f>
        <v>2.0251697772874464</v>
      </c>
      <c r="AD304" s="19">
        <f t="shared" si="16"/>
        <v>3.4788364088172945</v>
      </c>
      <c r="AE304" s="15">
        <f t="shared" si="17"/>
        <v>1.3769865204947669</v>
      </c>
      <c r="AF304" s="33">
        <f t="shared" si="18"/>
        <v>0.38749747791663741</v>
      </c>
      <c r="AG304" s="47">
        <f t="shared" si="19"/>
        <v>1.6729815632141975E-3</v>
      </c>
      <c r="AH304" s="18">
        <v>0.63616028641944911</v>
      </c>
      <c r="AI304" s="46">
        <v>1</v>
      </c>
      <c r="AJ304" s="18">
        <v>0.54035449187136853</v>
      </c>
      <c r="AK304" s="46">
        <v>1</v>
      </c>
      <c r="AL304" s="18">
        <v>0.55040858599498121</v>
      </c>
      <c r="AM304" s="46">
        <v>1</v>
      </c>
      <c r="AN304" s="18">
        <v>-1.257905609103269</v>
      </c>
      <c r="AO304" s="46">
        <v>1</v>
      </c>
      <c r="AP304" s="48"/>
      <c r="AQ304" s="48"/>
    </row>
    <row r="305" spans="1:43" ht="20" customHeight="1" x14ac:dyDescent="0.45">
      <c r="A305" s="26">
        <v>295</v>
      </c>
      <c r="B305" s="16" t="s">
        <v>521</v>
      </c>
      <c r="C305" s="16" t="s">
        <v>260</v>
      </c>
      <c r="D305" s="46">
        <v>26</v>
      </c>
      <c r="E305" s="46">
        <v>1</v>
      </c>
      <c r="F305" s="13">
        <v>-0.42806869057232722</v>
      </c>
      <c r="G305" s="13">
        <v>-8.6253414669890338E-2</v>
      </c>
      <c r="H305" s="13">
        <v>-5.7551484202111113E-2</v>
      </c>
      <c r="I305" s="13">
        <v>-0.15021499645148889</v>
      </c>
      <c r="J305" s="13">
        <v>0.27791141410418241</v>
      </c>
      <c r="K305" s="13">
        <v>15.96666666666669</v>
      </c>
      <c r="L305" s="13">
        <v>-0.14990525677389141</v>
      </c>
      <c r="M305" s="13">
        <v>-0.72996200234671449</v>
      </c>
      <c r="N305" s="19">
        <f>(F305-Settings!$D$18)/Settings!$E$18</f>
        <v>-2.2203412263325335</v>
      </c>
      <c r="O305" s="19">
        <f>(G305-Settings!$D$19)/Settings!$E$19</f>
        <v>-0.33167173225327273</v>
      </c>
      <c r="P305" s="19">
        <f>(H305-Settings!$D$20)/Settings!$E$20</f>
        <v>-1.0027701246911764</v>
      </c>
      <c r="Q305" s="19">
        <f>(I305-Settings!$D$21)/Settings!$E$21</f>
        <v>-1.8110308848413199</v>
      </c>
      <c r="R305" s="19">
        <f>(J305-Settings!$D$22)/Settings!$E$22</f>
        <v>8.0851436986982841E-2</v>
      </c>
      <c r="S305" s="19">
        <f>(K305-Settings!$D$23)/Settings!$E$23</f>
        <v>0.24707197862040847</v>
      </c>
      <c r="T305" s="19">
        <f>(L305-Settings!$D$24)/Settings!$E$24</f>
        <v>-1.0081148754264673</v>
      </c>
      <c r="U305" s="19">
        <f>(M305-Settings!$D$25)/Settings!$E$25</f>
        <v>-0.45632424632155183</v>
      </c>
      <c r="V305" s="31">
        <f>Settings!$B$18*(N305-F$6)^2</f>
        <v>1.0279312965322716</v>
      </c>
      <c r="W305" s="31">
        <f>Settings!$B$19*(O305-G$6)^2</f>
        <v>0.13968407505516015</v>
      </c>
      <c r="X305" s="31">
        <f>Settings!$B$20*(P305-H$6)^2</f>
        <v>2.1311363211972507</v>
      </c>
      <c r="Y305" s="31">
        <f>Settings!$B$21*(Q305-I$6)^2</f>
        <v>0.18099337376652028</v>
      </c>
      <c r="Z305" s="31">
        <f>Settings!$B$22*(R305-J$6)^2</f>
        <v>1.0372399860065842E-3</v>
      </c>
      <c r="AA305" s="31">
        <f>Settings!$B$23*(S305-K$6)^2</f>
        <v>2.1926781678786926</v>
      </c>
      <c r="AB305" s="31">
        <f>Settings!$B$24*(T305-L$6)^2</f>
        <v>6.4228321797900803</v>
      </c>
      <c r="AC305" s="31">
        <f>Settings!$B$25*(U305-M$6)^2</f>
        <v>7.5289515685370012E-2</v>
      </c>
      <c r="AD305" s="19">
        <f t="shared" si="16"/>
        <v>3.4887794670760361</v>
      </c>
      <c r="AE305" s="15">
        <f t="shared" si="17"/>
        <v>1.3809221632171667</v>
      </c>
      <c r="AF305" s="33">
        <f t="shared" si="18"/>
        <v>0.3854001975444058</v>
      </c>
      <c r="AG305" s="47">
        <f t="shared" si="19"/>
        <v>1.6639267651946106E-3</v>
      </c>
      <c r="AH305" s="18">
        <v>-0.14438822189924469</v>
      </c>
      <c r="AI305" s="46">
        <v>1</v>
      </c>
      <c r="AJ305" s="18">
        <v>0.1996105987291561</v>
      </c>
      <c r="AK305" s="46">
        <v>1</v>
      </c>
      <c r="AL305" s="18">
        <v>0.2015071676724346</v>
      </c>
      <c r="AM305" s="46">
        <v>1</v>
      </c>
      <c r="AN305" s="48"/>
      <c r="AO305" s="48"/>
      <c r="AP305" s="48"/>
      <c r="AQ305" s="48"/>
    </row>
    <row r="306" spans="1:43" ht="20" customHeight="1" x14ac:dyDescent="0.45">
      <c r="A306" s="26">
        <v>296</v>
      </c>
      <c r="B306" s="16" t="s">
        <v>522</v>
      </c>
      <c r="C306" s="16" t="s">
        <v>232</v>
      </c>
      <c r="D306" s="46">
        <v>26</v>
      </c>
      <c r="E306" s="46">
        <v>0</v>
      </c>
      <c r="F306" s="13">
        <v>0.224454199836568</v>
      </c>
      <c r="G306" s="13">
        <v>-0.34094638278724232</v>
      </c>
      <c r="H306" s="13">
        <v>-6.433016539450811E-3</v>
      </c>
      <c r="I306" s="13">
        <v>1.6072274077115239E-5</v>
      </c>
      <c r="J306" s="13">
        <v>0.42815032856266189</v>
      </c>
      <c r="K306" s="13">
        <v>14.34149659863945</v>
      </c>
      <c r="L306" s="13">
        <v>0.49370683457075371</v>
      </c>
      <c r="M306" s="13">
        <v>-1.9150569823652579</v>
      </c>
      <c r="N306" s="19">
        <f>(F306-Settings!$D$18)/Settings!$E$18</f>
        <v>0.11499752124193272</v>
      </c>
      <c r="O306" s="19">
        <f>(G306-Settings!$D$19)/Settings!$E$19</f>
        <v>-1.3927550996510865</v>
      </c>
      <c r="P306" s="19">
        <f>(H306-Settings!$D$20)/Settings!$E$20</f>
        <v>-0.53962697767968038</v>
      </c>
      <c r="Q306" s="19">
        <f>(I306-Settings!$D$21)/Settings!$E$21</f>
        <v>3.640677010992862E-2</v>
      </c>
      <c r="R306" s="19">
        <f>(J306-Settings!$D$22)/Settings!$E$22</f>
        <v>0.48507630967348525</v>
      </c>
      <c r="S306" s="19">
        <f>(K306-Settings!$D$23)/Settings!$E$23</f>
        <v>-0.31731220509508351</v>
      </c>
      <c r="T306" s="19">
        <f>(L306-Settings!$D$24)/Settings!$E$24</f>
        <v>-0.5631506321395191</v>
      </c>
      <c r="U306" s="19">
        <f>(M306-Settings!$D$25)/Settings!$E$25</f>
        <v>-1.2555654998446284</v>
      </c>
      <c r="V306" s="31">
        <f>Settings!$B$18*(N306-F$6)^2</f>
        <v>9.3182268337962644E-4</v>
      </c>
      <c r="W306" s="31">
        <f>Settings!$B$19*(O306-G$6)^2</f>
        <v>0.71956917883809313</v>
      </c>
      <c r="X306" s="31">
        <f>Settings!$B$20*(P306-H$6)^2</f>
        <v>1.5693005967563236</v>
      </c>
      <c r="Y306" s="31">
        <f>Settings!$B$21*(Q306-I$6)^2</f>
        <v>0.16061344764796895</v>
      </c>
      <c r="Z306" s="31">
        <f>Settings!$B$22*(R306-J$6)^2</f>
        <v>2.2072643269782567E-2</v>
      </c>
      <c r="AA306" s="31">
        <f>Settings!$B$23*(S306-K$6)^2</f>
        <v>4.1826533907830896</v>
      </c>
      <c r="AB306" s="31">
        <f>Settings!$B$24*(T306-L$6)^2</f>
        <v>4.3654522587228186</v>
      </c>
      <c r="AC306" s="31">
        <f>Settings!$B$25*(U306-M$6)^2</f>
        <v>1.152682673963658</v>
      </c>
      <c r="AD306" s="19">
        <f t="shared" si="16"/>
        <v>3.4890222144126732</v>
      </c>
      <c r="AE306" s="15">
        <f t="shared" si="17"/>
        <v>1.3810182470139178</v>
      </c>
      <c r="AF306" s="33">
        <f t="shared" si="18"/>
        <v>0.38534906262394641</v>
      </c>
      <c r="AG306" s="47">
        <f t="shared" si="19"/>
        <v>1.6637059952953461E-3</v>
      </c>
      <c r="AH306" s="18">
        <v>-1.216822174950239</v>
      </c>
      <c r="AI306" s="46">
        <v>0</v>
      </c>
      <c r="AJ306" s="18">
        <v>-0.1217915327516241</v>
      </c>
      <c r="AK306" s="46">
        <v>0</v>
      </c>
      <c r="AL306" s="48"/>
      <c r="AM306" s="48"/>
      <c r="AN306" s="48"/>
      <c r="AO306" s="48"/>
      <c r="AP306" s="48"/>
      <c r="AQ306" s="48"/>
    </row>
    <row r="307" spans="1:43" ht="20" customHeight="1" x14ac:dyDescent="0.45">
      <c r="A307" s="26">
        <v>297</v>
      </c>
      <c r="B307" s="16" t="s">
        <v>523</v>
      </c>
      <c r="C307" s="16" t="s">
        <v>229</v>
      </c>
      <c r="D307" s="46">
        <v>26</v>
      </c>
      <c r="E307" s="46">
        <v>1</v>
      </c>
      <c r="F307" s="13">
        <v>0.57576134395301981</v>
      </c>
      <c r="G307" s="13">
        <v>9.9549759279358423E-3</v>
      </c>
      <c r="H307" s="13">
        <v>4.4400912217058421E-2</v>
      </c>
      <c r="I307" s="13">
        <v>6.5308091982994643E-2</v>
      </c>
      <c r="J307" s="13">
        <v>0.30457467591899129</v>
      </c>
      <c r="K307" s="13">
        <v>15.961382113821101</v>
      </c>
      <c r="L307" s="13">
        <v>3.08212976409841</v>
      </c>
      <c r="M307" s="13">
        <v>-4.4732458646915987</v>
      </c>
      <c r="N307" s="19">
        <f>(F307-Settings!$D$18)/Settings!$E$18</f>
        <v>1.3723038901277362</v>
      </c>
      <c r="O307" s="19">
        <f>(G307-Settings!$D$19)/Settings!$E$19</f>
        <v>6.9144685341848894E-2</v>
      </c>
      <c r="P307" s="19">
        <f>(H307-Settings!$D$20)/Settings!$E$20</f>
        <v>-7.9061807874223983E-2</v>
      </c>
      <c r="Q307" s="19">
        <f>(I307-Settings!$D$21)/Settings!$E$21</f>
        <v>0.83932281671291686</v>
      </c>
      <c r="R307" s="19">
        <f>(J307-Settings!$D$22)/Settings!$E$22</f>
        <v>0.15259019822168698</v>
      </c>
      <c r="S307" s="19">
        <f>(K307-Settings!$D$23)/Settings!$E$23</f>
        <v>0.24523677496835022</v>
      </c>
      <c r="T307" s="19">
        <f>(L307-Settings!$D$24)/Settings!$E$24</f>
        <v>1.2263677215905857</v>
      </c>
      <c r="U307" s="19">
        <f>(M307-Settings!$D$25)/Settings!$E$25</f>
        <v>-2.9808365739211644</v>
      </c>
      <c r="V307" s="31">
        <f>Settings!$B$18*(N307-F$6)^2</f>
        <v>0.35142401939696777</v>
      </c>
      <c r="W307" s="31">
        <f>Settings!$B$19*(O307-G$6)^2</f>
        <v>3.7827440120522832E-2</v>
      </c>
      <c r="X307" s="31">
        <f>Settings!$B$20*(P307-H$6)^2</f>
        <v>1.0956777740577042</v>
      </c>
      <c r="Y307" s="31">
        <f>Settings!$B$21*(Q307-I$6)^2</f>
        <v>0.57735841830993873</v>
      </c>
      <c r="Z307" s="31">
        <f>Settings!$B$22*(R307-J$6)^2</f>
        <v>1.5292046744226524E-8</v>
      </c>
      <c r="AA307" s="31">
        <f>Settings!$B$23*(S307-K$6)^2</f>
        <v>2.198116562860871</v>
      </c>
      <c r="AB307" s="31">
        <f>Settings!$B$24*(T307-L$6)^2</f>
        <v>8.9908894662178301E-2</v>
      </c>
      <c r="AC307" s="31">
        <f>Settings!$B$25*(U307-M$6)^2</f>
        <v>7.833850603847929</v>
      </c>
      <c r="AD307" s="19">
        <f t="shared" si="16"/>
        <v>3.490582147514675</v>
      </c>
      <c r="AE307" s="15">
        <f t="shared" si="17"/>
        <v>1.381635696816641</v>
      </c>
      <c r="AF307" s="33">
        <f t="shared" si="18"/>
        <v>0.38502053850192164</v>
      </c>
      <c r="AG307" s="47">
        <f t="shared" si="19"/>
        <v>1.6622876252915628E-3</v>
      </c>
      <c r="AH307" s="18">
        <v>-2.4365919762403512</v>
      </c>
      <c r="AI307" s="46">
        <v>1</v>
      </c>
      <c r="AJ307" s="18">
        <v>0.1644960859942339</v>
      </c>
      <c r="AK307" s="46">
        <v>1</v>
      </c>
      <c r="AL307" s="18">
        <v>-8.9534201441671346E-2</v>
      </c>
      <c r="AM307" s="46">
        <v>1</v>
      </c>
      <c r="AN307" s="48"/>
      <c r="AO307" s="48"/>
      <c r="AP307" s="48"/>
      <c r="AQ307" s="48"/>
    </row>
    <row r="308" spans="1:43" ht="20" customHeight="1" x14ac:dyDescent="0.45">
      <c r="A308" s="26">
        <v>298</v>
      </c>
      <c r="B308" s="16" t="s">
        <v>524</v>
      </c>
      <c r="C308" s="16" t="s">
        <v>260</v>
      </c>
      <c r="D308" s="46">
        <v>26</v>
      </c>
      <c r="E308" s="46">
        <v>1</v>
      </c>
      <c r="F308" s="13">
        <v>0.27278908930189072</v>
      </c>
      <c r="G308" s="13">
        <v>-0.42122745658602001</v>
      </c>
      <c r="H308" s="13">
        <v>0.12605684317387669</v>
      </c>
      <c r="I308" s="13">
        <v>7.3583705890163498E-2</v>
      </c>
      <c r="J308" s="13">
        <v>0.10634290504804909</v>
      </c>
      <c r="K308" s="13">
        <v>14.32052341597797</v>
      </c>
      <c r="L308" s="13">
        <v>5.7392636994913253E-2</v>
      </c>
      <c r="M308" s="13">
        <v>-6.5881142513003865E-2</v>
      </c>
      <c r="N308" s="19">
        <f>(F308-Settings!$D$18)/Settings!$E$18</f>
        <v>0.28798507752116642</v>
      </c>
      <c r="O308" s="19">
        <f>(G308-Settings!$D$19)/Settings!$E$19</f>
        <v>-1.7272162854246556</v>
      </c>
      <c r="P308" s="19">
        <f>(H308-Settings!$D$20)/Settings!$E$20</f>
        <v>0.66075662888065667</v>
      </c>
      <c r="Q308" s="19">
        <f>(I308-Settings!$D$21)/Settings!$E$21</f>
        <v>0.94109058605409424</v>
      </c>
      <c r="R308" s="19">
        <f>(J308-Settings!$D$22)/Settings!$E$22</f>
        <v>-0.38076171417429594</v>
      </c>
      <c r="S308" s="19">
        <f>(K308-Settings!$D$23)/Settings!$E$23</f>
        <v>-0.32459570902441942</v>
      </c>
      <c r="T308" s="19">
        <f>(L308-Settings!$D$24)/Settings!$E$24</f>
        <v>-0.86479850260459468</v>
      </c>
      <c r="U308" s="19">
        <f>(M308-Settings!$D$25)/Settings!$E$25</f>
        <v>-8.4607182473104732E-3</v>
      </c>
      <c r="V308" s="31">
        <f>Settings!$B$18*(N308-F$6)^2</f>
        <v>1.1639854599451348E-2</v>
      </c>
      <c r="W308" s="31">
        <f>Settings!$B$19*(O308-G$6)^2</f>
        <v>0.99570427340737655</v>
      </c>
      <c r="X308" s="31">
        <f>Settings!$B$20*(P308-H$6)^2</f>
        <v>0.51249765676814452</v>
      </c>
      <c r="Y308" s="31">
        <f>Settings!$B$21*(Q308-I$6)^2</f>
        <v>0.64859341931599168</v>
      </c>
      <c r="Z308" s="31">
        <f>Settings!$B$22*(R308-J$6)^2</f>
        <v>5.6951859584791598E-2</v>
      </c>
      <c r="AA308" s="31">
        <f>Settings!$B$23*(S308-K$6)^2</f>
        <v>4.2124982092859202</v>
      </c>
      <c r="AB308" s="31">
        <f>Settings!$B$24*(T308-L$6)^2</f>
        <v>5.7169495909147656</v>
      </c>
      <c r="AC308" s="31">
        <f>Settings!$B$25*(U308-M$6)^2</f>
        <v>3.0093290273958812E-2</v>
      </c>
      <c r="AD308" s="19">
        <f t="shared" si="16"/>
        <v>3.4906916440943907</v>
      </c>
      <c r="AE308" s="15">
        <f t="shared" si="17"/>
        <v>1.3816790375480208</v>
      </c>
      <c r="AF308" s="33">
        <f t="shared" si="18"/>
        <v>0.38499748337662326</v>
      </c>
      <c r="AG308" s="47">
        <f t="shared" si="19"/>
        <v>1.6621880870964522E-3</v>
      </c>
      <c r="AH308" s="18">
        <v>0.1080656322828334</v>
      </c>
      <c r="AI308" s="46">
        <v>1</v>
      </c>
      <c r="AJ308" s="18">
        <v>2.1949517917485759E-2</v>
      </c>
      <c r="AK308" s="46">
        <v>1</v>
      </c>
      <c r="AL308" s="18">
        <v>-0.14382890283951019</v>
      </c>
      <c r="AM308" s="46">
        <v>1</v>
      </c>
      <c r="AN308" s="18">
        <v>0.56477258459699309</v>
      </c>
      <c r="AO308" s="46">
        <v>1</v>
      </c>
      <c r="AP308" s="18">
        <v>0.81209768207959943</v>
      </c>
      <c r="AQ308" s="46">
        <v>1</v>
      </c>
    </row>
    <row r="309" spans="1:43" ht="20" customHeight="1" x14ac:dyDescent="0.45">
      <c r="A309" s="26">
        <v>299</v>
      </c>
      <c r="B309" s="16" t="s">
        <v>525</v>
      </c>
      <c r="C309" s="16" t="s">
        <v>232</v>
      </c>
      <c r="D309" s="46">
        <v>26</v>
      </c>
      <c r="E309" s="46">
        <v>0</v>
      </c>
      <c r="F309" s="13">
        <v>0.34568824268445308</v>
      </c>
      <c r="G309" s="13">
        <v>0.32580765126452182</v>
      </c>
      <c r="H309" s="13">
        <v>6.0305107052444379E-2</v>
      </c>
      <c r="I309" s="13">
        <v>7.0038308247670503E-2</v>
      </c>
      <c r="J309" s="13">
        <v>0.19816069075091031</v>
      </c>
      <c r="K309" s="13">
        <v>12.50962441314554</v>
      </c>
      <c r="L309" s="13">
        <v>1.207164937333014</v>
      </c>
      <c r="M309" s="13">
        <v>0.87263497469543605</v>
      </c>
      <c r="N309" s="19">
        <f>(F309-Settings!$D$18)/Settings!$E$18</f>
        <v>0.54888660306457027</v>
      </c>
      <c r="O309" s="19">
        <f>(G309-Settings!$D$19)/Settings!$E$19</f>
        <v>1.3850271882043996</v>
      </c>
      <c r="P309" s="19">
        <f>(H309-Settings!$D$20)/Settings!$E$20</f>
        <v>6.5033255681937768E-2</v>
      </c>
      <c r="Q309" s="19">
        <f>(I309-Settings!$D$21)/Settings!$E$21</f>
        <v>0.89749174087459316</v>
      </c>
      <c r="R309" s="19">
        <f>(J309-Settings!$D$22)/Settings!$E$22</f>
        <v>-0.13372163890569524</v>
      </c>
      <c r="S309" s="19">
        <f>(K309-Settings!$D$23)/Settings!$E$23</f>
        <v>-0.95347927980382474</v>
      </c>
      <c r="T309" s="19">
        <f>(L309-Settings!$D$24)/Settings!$E$24</f>
        <v>-6.9898020695720472E-2</v>
      </c>
      <c r="U309" s="19">
        <f>(M309-Settings!$D$25)/Settings!$E$25</f>
        <v>0.62448500392387563</v>
      </c>
      <c r="V309" s="31">
        <f>Settings!$B$18*(N309-F$6)^2</f>
        <v>5.0430277815895069E-2</v>
      </c>
      <c r="W309" s="31">
        <f>Settings!$B$19*(O309-G$6)^2</f>
        <v>0.15522636199184814</v>
      </c>
      <c r="X309" s="31">
        <f>Settings!$B$20*(P309-H$6)^2</f>
        <v>0.96492312919254442</v>
      </c>
      <c r="Y309" s="31">
        <f>Settings!$B$21*(Q309-I$6)^2</f>
        <v>0.61756805238233681</v>
      </c>
      <c r="Z309" s="31">
        <f>Settings!$B$22*(R309-J$6)^2</f>
        <v>1.6426576650447253E-2</v>
      </c>
      <c r="AA309" s="31">
        <f>Settings!$B$23*(S309-K$6)^2</f>
        <v>7.1894807483515022</v>
      </c>
      <c r="AB309" s="31">
        <f>Settings!$B$24*(T309-L$6)^2</f>
        <v>2.5475794592247691</v>
      </c>
      <c r="AC309" s="31">
        <f>Settings!$B$25*(U309-M$6)^2</f>
        <v>0.65031305465382239</v>
      </c>
      <c r="AD309" s="19">
        <f t="shared" si="16"/>
        <v>3.4916969599699175</v>
      </c>
      <c r="AE309" s="15">
        <f t="shared" si="17"/>
        <v>1.3820769597975209</v>
      </c>
      <c r="AF309" s="33">
        <f t="shared" si="18"/>
        <v>0.38478583915457942</v>
      </c>
      <c r="AG309" s="47">
        <f t="shared" si="19"/>
        <v>1.6612743343583857E-3</v>
      </c>
      <c r="AH309" s="18">
        <v>-0.2799144627393424</v>
      </c>
      <c r="AI309" s="46">
        <v>0</v>
      </c>
      <c r="AJ309" s="18">
        <v>-0.50401735832859762</v>
      </c>
      <c r="AK309" s="46">
        <v>0</v>
      </c>
      <c r="AL309" s="18">
        <v>-8.4509189053108058E-2</v>
      </c>
      <c r="AM309" s="46">
        <v>1</v>
      </c>
      <c r="AN309" s="18">
        <v>-5.5377836818389543E-2</v>
      </c>
      <c r="AO309" s="46">
        <v>1</v>
      </c>
      <c r="AP309" s="18">
        <v>0.55135280079543003</v>
      </c>
      <c r="AQ309" s="46">
        <v>1</v>
      </c>
    </row>
    <row r="310" spans="1:43" ht="20" customHeight="1" x14ac:dyDescent="0.45">
      <c r="A310" s="26">
        <v>300</v>
      </c>
      <c r="B310" s="16" t="s">
        <v>526</v>
      </c>
      <c r="C310" s="16" t="s">
        <v>214</v>
      </c>
      <c r="D310" s="46">
        <v>26</v>
      </c>
      <c r="E310" s="46">
        <v>1</v>
      </c>
      <c r="F310" s="13">
        <v>-0.1071525141914834</v>
      </c>
      <c r="G310" s="13">
        <v>0.28457801996985199</v>
      </c>
      <c r="H310" s="13">
        <v>-7.9078035142311889E-2</v>
      </c>
      <c r="I310" s="13">
        <v>6.6027071501288656E-2</v>
      </c>
      <c r="J310" s="13">
        <v>0.4631643591950641</v>
      </c>
      <c r="K310" s="13">
        <v>14.308865248226949</v>
      </c>
      <c r="L310" s="13">
        <v>0.55727844440303498</v>
      </c>
      <c r="M310" s="13">
        <v>0.74237947302623108</v>
      </c>
      <c r="N310" s="19">
        <f>(F310-Settings!$D$18)/Settings!$E$18</f>
        <v>-1.0718022364497508</v>
      </c>
      <c r="O310" s="19">
        <f>(G310-Settings!$D$19)/Settings!$E$19</f>
        <v>1.2132592892549428</v>
      </c>
      <c r="P310" s="19">
        <f>(H310-Settings!$D$20)/Settings!$E$20</f>
        <v>-1.1978048157257515</v>
      </c>
      <c r="Q310" s="19">
        <f>(I310-Settings!$D$21)/Settings!$E$21</f>
        <v>0.84816432896802496</v>
      </c>
      <c r="R310" s="19">
        <f>(J310-Settings!$D$22)/Settings!$E$22</f>
        <v>0.57928320757100427</v>
      </c>
      <c r="S310" s="19">
        <f>(K310-Settings!$D$23)/Settings!$E$23</f>
        <v>-0.3286443225321522</v>
      </c>
      <c r="T310" s="19">
        <f>(L310-Settings!$D$24)/Settings!$E$24</f>
        <v>-0.51920010099822822</v>
      </c>
      <c r="U310" s="19">
        <f>(M310-Settings!$D$25)/Settings!$E$25</f>
        <v>0.53663924287715881</v>
      </c>
      <c r="V310" s="31">
        <f>Settings!$B$18*(N310-F$6)^2</f>
        <v>0.25022726759557595</v>
      </c>
      <c r="W310" s="31">
        <f>Settings!$B$19*(O310-G$6)^2</f>
        <v>0.10059733486666621</v>
      </c>
      <c r="X310" s="31">
        <f>Settings!$B$20*(P310-H$6)^2</f>
        <v>2.3934050481401177</v>
      </c>
      <c r="Y310" s="31">
        <f>Settings!$B$21*(Q310-I$6)^2</f>
        <v>0.58338294338921126</v>
      </c>
      <c r="Z310" s="31">
        <f>Settings!$B$22*(R310-J$6)^2</f>
        <v>3.6366205426707002E-2</v>
      </c>
      <c r="AA310" s="31">
        <f>Settings!$B$23*(S310-K$6)^2</f>
        <v>4.2291336500061965</v>
      </c>
      <c r="AB310" s="31">
        <f>Settings!$B$24*(T310-L$6)^2</f>
        <v>4.1837263754313465</v>
      </c>
      <c r="AC310" s="31">
        <f>Settings!$B$25*(U310-M$6)^2</f>
        <v>0.51634879276061241</v>
      </c>
      <c r="AD310" s="19">
        <f t="shared" si="16"/>
        <v>3.5061642314096515</v>
      </c>
      <c r="AE310" s="15">
        <f t="shared" si="17"/>
        <v>1.3878033681190969</v>
      </c>
      <c r="AF310" s="33">
        <f t="shared" si="18"/>
        <v>0.38174627436800901</v>
      </c>
      <c r="AG310" s="47">
        <f t="shared" si="19"/>
        <v>1.6481513177249165E-3</v>
      </c>
      <c r="AH310" s="48"/>
      <c r="AI310" s="48"/>
      <c r="AJ310" s="48"/>
      <c r="AK310" s="48"/>
      <c r="AL310" s="48"/>
      <c r="AM310" s="48"/>
      <c r="AN310" s="48"/>
      <c r="AO310" s="48"/>
      <c r="AP310" s="48"/>
      <c r="AQ310" s="48"/>
    </row>
    <row r="311" spans="1:43" ht="20" customHeight="1" x14ac:dyDescent="0.45">
      <c r="A311" s="26">
        <v>301</v>
      </c>
      <c r="B311" s="16" t="s">
        <v>527</v>
      </c>
      <c r="C311" s="16" t="s">
        <v>224</v>
      </c>
      <c r="D311" s="46">
        <v>26</v>
      </c>
      <c r="E311" s="46">
        <v>0</v>
      </c>
      <c r="F311" s="13">
        <v>-0.33247865147757671</v>
      </c>
      <c r="G311" s="13">
        <v>0.27238483533838559</v>
      </c>
      <c r="H311" s="13">
        <v>-9.919966405664614E-4</v>
      </c>
      <c r="I311" s="13">
        <v>-1.6006497699767031E-2</v>
      </c>
      <c r="J311" s="13">
        <v>0.37813801884370413</v>
      </c>
      <c r="K311" s="13">
        <v>12.981186868686869</v>
      </c>
      <c r="L311" s="13">
        <v>0.84635777804359602</v>
      </c>
      <c r="M311" s="13">
        <v>0.15041017934413969</v>
      </c>
      <c r="N311" s="19">
        <f>(F311-Settings!$D$18)/Settings!$E$18</f>
        <v>-1.8782304353375365</v>
      </c>
      <c r="O311" s="19">
        <f>(G311-Settings!$D$19)/Settings!$E$19</f>
        <v>1.1624609279821716</v>
      </c>
      <c r="P311" s="19">
        <f>(H311-Settings!$D$20)/Settings!$E$20</f>
        <v>-0.49033029109761778</v>
      </c>
      <c r="Q311" s="19">
        <f>(I311-Settings!$D$21)/Settings!$E$21</f>
        <v>-0.16062770052173461</v>
      </c>
      <c r="R311" s="19">
        <f>(J311-Settings!$D$22)/Settings!$E$22</f>
        <v>0.35051583576583695</v>
      </c>
      <c r="S311" s="19">
        <f>(K311-Settings!$D$23)/Settings!$E$23</f>
        <v>-0.78971648551077522</v>
      </c>
      <c r="T311" s="19">
        <f>(L311-Settings!$D$24)/Settings!$E$24</f>
        <v>-0.31934374548052569</v>
      </c>
      <c r="U311" s="19">
        <f>(M311-Settings!$D$25)/Settings!$E$25</f>
        <v>0.13740855815833403</v>
      </c>
      <c r="V311" s="31">
        <f>Settings!$B$18*(N311-F$6)^2</f>
        <v>0.74110209882827371</v>
      </c>
      <c r="W311" s="31">
        <f>Settings!$B$19*(O311-G$6)^2</f>
        <v>8.6702634792161976E-2</v>
      </c>
      <c r="X311" s="31">
        <f>Settings!$B$20*(P311-H$6)^2</f>
        <v>1.514551446938539</v>
      </c>
      <c r="Y311" s="31">
        <f>Settings!$B$21*(Q311-I$6)^2</f>
        <v>9.7749761075285699E-2</v>
      </c>
      <c r="Z311" s="31">
        <f>Settings!$B$22*(R311-J$6)^2</f>
        <v>7.8130351730262646E-3</v>
      </c>
      <c r="AA311" s="31">
        <f>Settings!$B$23*(S311-K$6)^2</f>
        <v>6.3380978575083642</v>
      </c>
      <c r="AB311" s="31">
        <f>Settings!$B$24*(T311-L$6)^2</f>
        <v>3.4060901869351321</v>
      </c>
      <c r="AC311" s="31">
        <f>Settings!$B$25*(U311-M$6)^2</f>
        <v>0.10198024157936871</v>
      </c>
      <c r="AD311" s="19">
        <f t="shared" si="16"/>
        <v>3.5062925238533866</v>
      </c>
      <c r="AE311" s="15">
        <f t="shared" si="17"/>
        <v>1.3878541485942169</v>
      </c>
      <c r="AF311" s="33">
        <f t="shared" si="18"/>
        <v>0.3817193718985773</v>
      </c>
      <c r="AG311" s="47">
        <f t="shared" si="19"/>
        <v>1.6480351690067205E-3</v>
      </c>
      <c r="AH311" s="18">
        <v>-0.51425936146976703</v>
      </c>
      <c r="AI311" s="46">
        <v>0</v>
      </c>
      <c r="AJ311" s="18">
        <v>-0.43526060699798702</v>
      </c>
      <c r="AK311" s="46">
        <v>1</v>
      </c>
      <c r="AL311" s="18">
        <v>-0.1239660759096861</v>
      </c>
      <c r="AM311" s="46">
        <v>1</v>
      </c>
      <c r="AN311" s="48"/>
      <c r="AO311" s="48"/>
      <c r="AP311" s="48"/>
      <c r="AQ311" s="48"/>
    </row>
    <row r="312" spans="1:43" ht="20" customHeight="1" x14ac:dyDescent="0.45">
      <c r="A312" s="26">
        <v>302</v>
      </c>
      <c r="B312" s="16" t="s">
        <v>528</v>
      </c>
      <c r="C312" s="16" t="s">
        <v>224</v>
      </c>
      <c r="D312" s="46">
        <v>26</v>
      </c>
      <c r="E312" s="46">
        <v>0</v>
      </c>
      <c r="F312" s="13">
        <v>0.3532848851349002</v>
      </c>
      <c r="G312" s="13">
        <v>6.562995637003316E-2</v>
      </c>
      <c r="H312" s="13">
        <v>0.1485242265996671</v>
      </c>
      <c r="I312" s="13">
        <v>5.5486313737904177E-5</v>
      </c>
      <c r="J312" s="13">
        <v>0.43250544558166171</v>
      </c>
      <c r="K312" s="13">
        <v>14.732194616977271</v>
      </c>
      <c r="L312" s="13">
        <v>2.2818392635613209</v>
      </c>
      <c r="M312" s="13">
        <v>3.6861085516893031</v>
      </c>
      <c r="N312" s="19">
        <f>(F312-Settings!$D$18)/Settings!$E$18</f>
        <v>0.57607451283258038</v>
      </c>
      <c r="O312" s="19">
        <f>(G312-Settings!$D$19)/Settings!$E$19</f>
        <v>0.30109374999010552</v>
      </c>
      <c r="P312" s="19">
        <f>(H312-Settings!$D$20)/Settings!$E$20</f>
        <v>0.86431544315503916</v>
      </c>
      <c r="Q312" s="19">
        <f>(I312-Settings!$D$21)/Settings!$E$21</f>
        <v>3.6891456677233134E-2</v>
      </c>
      <c r="R312" s="19">
        <f>(J312-Settings!$D$22)/Settings!$E$22</f>
        <v>0.4967939570545607</v>
      </c>
      <c r="S312" s="19">
        <f>(K312-Settings!$D$23)/Settings!$E$23</f>
        <v>-0.18163176986130139</v>
      </c>
      <c r="T312" s="19">
        <f>(L312-Settings!$D$24)/Settings!$E$24</f>
        <v>0.67308312397333558</v>
      </c>
      <c r="U312" s="19">
        <f>(M312-Settings!$D$25)/Settings!$E$25</f>
        <v>2.5219229193181736</v>
      </c>
      <c r="V312" s="31">
        <f>Settings!$B$18*(N312-F$6)^2</f>
        <v>5.6039042845875547E-2</v>
      </c>
      <c r="W312" s="31">
        <f>Settings!$B$19*(O312-G$6)^2</f>
        <v>8.2377408892584415E-3</v>
      </c>
      <c r="X312" s="31">
        <f>Settings!$B$20*(P312-H$6)^2</f>
        <v>0.39044395517038288</v>
      </c>
      <c r="Y312" s="31">
        <f>Settings!$B$21*(Q312-I$6)^2</f>
        <v>0.16078723347698373</v>
      </c>
      <c r="Z312" s="31">
        <f>Settings!$B$22*(R312-J$6)^2</f>
        <v>2.3657189887584699E-2</v>
      </c>
      <c r="AA312" s="31">
        <f>Settings!$B$23*(S312-K$6)^2</f>
        <v>3.646087900652867</v>
      </c>
      <c r="AB312" s="31">
        <f>Settings!$B$24*(T312-L$6)^2</f>
        <v>0.72783543271566897</v>
      </c>
      <c r="AC312" s="31">
        <f>Settings!$B$25*(U312-M$6)^2</f>
        <v>7.3108470843191498</v>
      </c>
      <c r="AD312" s="19">
        <f t="shared" si="16"/>
        <v>3.5105463363923528</v>
      </c>
      <c r="AE312" s="15">
        <f t="shared" si="17"/>
        <v>1.3895378847170257</v>
      </c>
      <c r="AF312" s="33">
        <f t="shared" si="18"/>
        <v>0.38082787921066363</v>
      </c>
      <c r="AG312" s="47">
        <f t="shared" si="19"/>
        <v>1.6441862385862219E-3</v>
      </c>
      <c r="AH312" s="18">
        <v>1.618079655527191</v>
      </c>
      <c r="AI312" s="46">
        <v>0</v>
      </c>
      <c r="AJ312" s="18">
        <v>-1.0588156630740371</v>
      </c>
      <c r="AK312" s="46">
        <v>1</v>
      </c>
      <c r="AL312" s="18">
        <v>-1.3340365973595161</v>
      </c>
      <c r="AM312" s="46">
        <v>1</v>
      </c>
      <c r="AN312" s="18">
        <v>0.73354142478462236</v>
      </c>
      <c r="AO312" s="46">
        <v>1</v>
      </c>
      <c r="AP312" s="18">
        <v>0.45007291744236078</v>
      </c>
      <c r="AQ312" s="46">
        <v>1</v>
      </c>
    </row>
    <row r="313" spans="1:43" ht="20" customHeight="1" x14ac:dyDescent="0.45">
      <c r="A313" s="26">
        <v>303</v>
      </c>
      <c r="B313" s="16" t="s">
        <v>529</v>
      </c>
      <c r="C313" s="16" t="s">
        <v>220</v>
      </c>
      <c r="D313" s="46">
        <v>26</v>
      </c>
      <c r="E313" s="46">
        <v>1</v>
      </c>
      <c r="F313" s="13">
        <v>4.7744420403665118E-2</v>
      </c>
      <c r="G313" s="13">
        <v>-0.35593908875286379</v>
      </c>
      <c r="H313" s="13">
        <v>-4.9529991205546638E-2</v>
      </c>
      <c r="I313" s="13">
        <v>3.9464866265056638E-2</v>
      </c>
      <c r="J313" s="13">
        <v>0.50732163337286773</v>
      </c>
      <c r="K313" s="13">
        <v>15.19131652661061</v>
      </c>
      <c r="L313" s="13">
        <v>0.2935535784262836</v>
      </c>
      <c r="M313" s="13">
        <v>1.2190301041953899</v>
      </c>
      <c r="N313" s="19">
        <f>(F313-Settings!$D$18)/Settings!$E$18</f>
        <v>-0.51743576355271514</v>
      </c>
      <c r="O313" s="19">
        <f>(G313-Settings!$D$19)/Settings!$E$19</f>
        <v>-1.455216623618552</v>
      </c>
      <c r="P313" s="19">
        <f>(H313-Settings!$D$20)/Settings!$E$20</f>
        <v>-0.93009385562387714</v>
      </c>
      <c r="Q313" s="19">
        <f>(I313-Settings!$D$21)/Settings!$E$21</f>
        <v>0.52152072210132305</v>
      </c>
      <c r="R313" s="19">
        <f>(J313-Settings!$D$22)/Settings!$E$22</f>
        <v>0.6980904326966797</v>
      </c>
      <c r="S313" s="19">
        <f>(K313-Settings!$D$23)/Settings!$E$23</f>
        <v>-2.2189291014240341E-2</v>
      </c>
      <c r="T313" s="19">
        <f>(L313-Settings!$D$24)/Settings!$E$24</f>
        <v>-0.70152752617156722</v>
      </c>
      <c r="U313" s="19">
        <f>(M313-Settings!$D$25)/Settings!$E$25</f>
        <v>0.85809773723534366</v>
      </c>
      <c r="V313" s="31">
        <f>Settings!$B$18*(N313-F$6)^2</f>
        <v>6.3658818413714832E-2</v>
      </c>
      <c r="W313" s="31">
        <f>Settings!$B$19*(O313-G$6)^2</f>
        <v>0.76774024607649194</v>
      </c>
      <c r="X313" s="31">
        <f>Settings!$B$20*(P313-H$6)^2</f>
        <v>2.0372977104259942</v>
      </c>
      <c r="Y313" s="31">
        <f>Settings!$B$21*(Q313-I$6)^2</f>
        <v>0.38157260037000573</v>
      </c>
      <c r="Z313" s="31">
        <f>Settings!$B$22*(R313-J$6)^2</f>
        <v>5.9453780978471961E-2</v>
      </c>
      <c r="AA313" s="31">
        <f>Settings!$B$23*(S313-K$6)^2</f>
        <v>3.0626075241859612</v>
      </c>
      <c r="AB313" s="31">
        <f>Settings!$B$24*(T313-L$6)^2</f>
        <v>4.9628405095966368</v>
      </c>
      <c r="AC313" s="31">
        <f>Settings!$B$25*(U313-M$6)^2</f>
        <v>1.0816678777567075</v>
      </c>
      <c r="AD313" s="19">
        <f t="shared" si="16"/>
        <v>3.5237535481080378</v>
      </c>
      <c r="AE313" s="15">
        <f t="shared" si="17"/>
        <v>1.3947655385554543</v>
      </c>
      <c r="AF313" s="33">
        <f t="shared" si="18"/>
        <v>0.37806639381581586</v>
      </c>
      <c r="AG313" s="47">
        <f t="shared" si="19"/>
        <v>1.6322638018841707E-3</v>
      </c>
      <c r="AH313" s="18">
        <v>0.24927538079421119</v>
      </c>
      <c r="AI313" s="46">
        <v>1</v>
      </c>
      <c r="AJ313" s="18">
        <v>-4.645964099687877E-2</v>
      </c>
      <c r="AK313" s="46">
        <v>1</v>
      </c>
      <c r="AL313" s="18">
        <v>1.2192442696631469</v>
      </c>
      <c r="AM313" s="46">
        <v>1</v>
      </c>
      <c r="AN313" s="18">
        <v>0.60777116195988912</v>
      </c>
      <c r="AO313" s="46">
        <v>1</v>
      </c>
      <c r="AP313" s="48"/>
      <c r="AQ313" s="48"/>
    </row>
    <row r="314" spans="1:43" ht="20" customHeight="1" x14ac:dyDescent="0.45">
      <c r="A314" s="26">
        <v>304</v>
      </c>
      <c r="B314" s="16" t="s">
        <v>530</v>
      </c>
      <c r="C314" s="16" t="s">
        <v>234</v>
      </c>
      <c r="D314" s="46">
        <v>26</v>
      </c>
      <c r="E314" s="46">
        <v>1</v>
      </c>
      <c r="F314" s="13">
        <v>0.23568929950941611</v>
      </c>
      <c r="G314" s="13">
        <v>0.41600202210859449</v>
      </c>
      <c r="H314" s="13">
        <v>-4.0131016464645488E-4</v>
      </c>
      <c r="I314" s="13">
        <v>-0.19990551249964661</v>
      </c>
      <c r="J314" s="13">
        <v>0.14800185571769611</v>
      </c>
      <c r="K314" s="13">
        <v>13.482151300236399</v>
      </c>
      <c r="L314" s="13">
        <v>0.6235135925339147</v>
      </c>
      <c r="M314" s="13">
        <v>0.85501938469801764</v>
      </c>
      <c r="N314" s="19">
        <f>(F314-Settings!$D$18)/Settings!$E$18</f>
        <v>0.15520724259350374</v>
      </c>
      <c r="O314" s="19">
        <f>(G314-Settings!$D$19)/Settings!$E$19</f>
        <v>1.7607884329807355</v>
      </c>
      <c r="P314" s="19">
        <f>(H314-Settings!$D$20)/Settings!$E$20</f>
        <v>-0.48497855803785406</v>
      </c>
      <c r="Q314" s="19">
        <f>(I314-Settings!$D$21)/Settings!$E$21</f>
        <v>-2.4220904427615353</v>
      </c>
      <c r="R314" s="19">
        <f>(J314-Settings!$D$22)/Settings!$E$22</f>
        <v>-0.26867634606984792</v>
      </c>
      <c r="S314" s="19">
        <f>(K314-Settings!$D$23)/Settings!$E$23</f>
        <v>-0.61574306123168732</v>
      </c>
      <c r="T314" s="19">
        <f>(L314-Settings!$D$24)/Settings!$E$24</f>
        <v>-0.47340812013987948</v>
      </c>
      <c r="U314" s="19">
        <f>(M314-Settings!$D$25)/Settings!$E$25</f>
        <v>0.61260485383593499</v>
      </c>
      <c r="V314" s="31">
        <f>Settings!$B$18*(N314-F$6)^2</f>
        <v>2.3530362377863672E-3</v>
      </c>
      <c r="W314" s="31">
        <f>Settings!$B$19*(O314-G$6)^2</f>
        <v>0.31588143723460543</v>
      </c>
      <c r="X314" s="31">
        <f>Settings!$B$20*(P314-H$6)^2</f>
        <v>1.5086662778453439</v>
      </c>
      <c r="Y314" s="31">
        <f>Settings!$B$21*(Q314-I$6)^2</f>
        <v>0.48819189404335567</v>
      </c>
      <c r="Z314" s="31">
        <f>Settings!$B$22*(R314-J$6)^2</f>
        <v>3.5539710072396591E-2</v>
      </c>
      <c r="AA314" s="31">
        <f>Settings!$B$23*(S314-K$6)^2</f>
        <v>5.4923882671296784</v>
      </c>
      <c r="AB314" s="31">
        <f>Settings!$B$24*(T314-L$6)^2</f>
        <v>3.9984959856234061</v>
      </c>
      <c r="AC314" s="31">
        <f>Settings!$B$25*(U314-M$6)^2</f>
        <v>0.63129341373493919</v>
      </c>
      <c r="AD314" s="19">
        <f t="shared" si="16"/>
        <v>3.5316865690377326</v>
      </c>
      <c r="AE314" s="15">
        <f t="shared" si="17"/>
        <v>1.3979055720618605</v>
      </c>
      <c r="AF314" s="33">
        <f t="shared" si="18"/>
        <v>0.37641237513261872</v>
      </c>
      <c r="AG314" s="47">
        <f t="shared" si="19"/>
        <v>1.6251227418259786E-3</v>
      </c>
      <c r="AH314" s="48"/>
      <c r="AI314" s="48"/>
      <c r="AJ314" s="48"/>
      <c r="AK314" s="48"/>
      <c r="AL314" s="18">
        <v>-0.1831395417169481</v>
      </c>
      <c r="AM314" s="46">
        <v>1</v>
      </c>
      <c r="AN314" s="18">
        <v>-0.2925020457998857</v>
      </c>
      <c r="AO314" s="46">
        <v>1</v>
      </c>
      <c r="AP314" s="18">
        <v>-0.48403257053477122</v>
      </c>
      <c r="AQ314" s="46">
        <v>1</v>
      </c>
    </row>
    <row r="315" spans="1:43" ht="20" customHeight="1" x14ac:dyDescent="0.45">
      <c r="A315" s="26">
        <v>305</v>
      </c>
      <c r="B315" s="16" t="s">
        <v>531</v>
      </c>
      <c r="C315" s="16" t="s">
        <v>234</v>
      </c>
      <c r="D315" s="46">
        <v>26</v>
      </c>
      <c r="E315" s="46">
        <v>1</v>
      </c>
      <c r="F315" s="13">
        <v>-0.12059710411035621</v>
      </c>
      <c r="G315" s="13">
        <v>0.59372846836752891</v>
      </c>
      <c r="H315" s="13">
        <v>3.7184073118651489E-2</v>
      </c>
      <c r="I315" s="13">
        <v>-5.5777860353503371E-2</v>
      </c>
      <c r="J315" s="13">
        <v>0.1927124940499601</v>
      </c>
      <c r="K315" s="13">
        <v>13.450150150150121</v>
      </c>
      <c r="L315" s="13">
        <v>0.38039926333542751</v>
      </c>
      <c r="M315" s="13">
        <v>-0.16297485536492959</v>
      </c>
      <c r="N315" s="19">
        <f>(F315-Settings!$D$18)/Settings!$E$18</f>
        <v>-1.1199195856558724</v>
      </c>
      <c r="O315" s="19">
        <f>(G315-Settings!$D$19)/Settings!$E$19</f>
        <v>2.5012194604490148</v>
      </c>
      <c r="P315" s="19">
        <f>(H315-Settings!$D$20)/Settings!$E$20</f>
        <v>-0.14444775789074388</v>
      </c>
      <c r="Q315" s="19">
        <f>(I315-Settings!$D$21)/Settings!$E$21</f>
        <v>-0.64970837856346975</v>
      </c>
      <c r="R315" s="19">
        <f>(J315-Settings!$D$22)/Settings!$E$22</f>
        <v>-0.14838026863388895</v>
      </c>
      <c r="S315" s="19">
        <f>(K315-Settings!$D$23)/Settings!$E$23</f>
        <v>-0.62685632459084162</v>
      </c>
      <c r="T315" s="19">
        <f>(L315-Settings!$D$24)/Settings!$E$24</f>
        <v>-0.64148635387537889</v>
      </c>
      <c r="U315" s="19">
        <f>(M315-Settings!$D$25)/Settings!$E$25</f>
        <v>-7.3941799576140776E-2</v>
      </c>
      <c r="V315" s="31">
        <f>Settings!$B$18*(N315-F$6)^2</f>
        <v>0.27221883499829935</v>
      </c>
      <c r="W315" s="31">
        <f>Settings!$B$19*(O315-G$6)^2</f>
        <v>0.79774215985882346</v>
      </c>
      <c r="X315" s="31">
        <f>Settings!$B$20*(P315-H$6)^2</f>
        <v>1.1577496715018221</v>
      </c>
      <c r="Y315" s="31">
        <f>Settings!$B$21*(Q315-I$6)^2</f>
        <v>8.8221035080987241E-3</v>
      </c>
      <c r="Z315" s="31">
        <f>Settings!$B$22*(R315-J$6)^2</f>
        <v>1.8149948747545604E-2</v>
      </c>
      <c r="AA315" s="31">
        <f>Settings!$B$23*(S315-K$6)^2</f>
        <v>5.5446015150611876</v>
      </c>
      <c r="AB315" s="31">
        <f>Settings!$B$24*(T315-L$6)^2</f>
        <v>4.6989328052975079</v>
      </c>
      <c r="AC315" s="31">
        <f>Settings!$B$25*(U315-M$6)^2</f>
        <v>1.1662508829760141E-2</v>
      </c>
      <c r="AD315" s="19">
        <f t="shared" si="16"/>
        <v>3.5369308090211553</v>
      </c>
      <c r="AE315" s="15">
        <f t="shared" si="17"/>
        <v>1.3999813373232308</v>
      </c>
      <c r="AF315" s="33">
        <f t="shared" si="18"/>
        <v>0.37532090494776027</v>
      </c>
      <c r="AG315" s="47">
        <f t="shared" si="19"/>
        <v>1.6204104285849129E-3</v>
      </c>
      <c r="AH315" s="48"/>
      <c r="AI315" s="48"/>
      <c r="AJ315" s="48"/>
      <c r="AK315" s="48"/>
      <c r="AL315" s="48"/>
      <c r="AM315" s="48"/>
      <c r="AN315" s="48"/>
      <c r="AO315" s="48"/>
      <c r="AP315" s="48"/>
      <c r="AQ315" s="48"/>
    </row>
    <row r="316" spans="1:43" ht="20" customHeight="1" x14ac:dyDescent="0.45">
      <c r="A316" s="26">
        <v>306</v>
      </c>
      <c r="B316" s="16" t="s">
        <v>532</v>
      </c>
      <c r="C316" s="16" t="s">
        <v>236</v>
      </c>
      <c r="D316" s="46">
        <v>26</v>
      </c>
      <c r="E316" s="46">
        <v>0</v>
      </c>
      <c r="F316" s="13">
        <v>-5.2501767119416162E-2</v>
      </c>
      <c r="G316" s="13">
        <v>0.53329115072008837</v>
      </c>
      <c r="H316" s="13">
        <v>4.1076895848364443E-3</v>
      </c>
      <c r="I316" s="13">
        <v>0.1046682734510017</v>
      </c>
      <c r="J316" s="13">
        <v>0.30543111912465731</v>
      </c>
      <c r="K316" s="13">
        <v>13.07388535031845</v>
      </c>
      <c r="L316" s="13">
        <v>1.164252287264566</v>
      </c>
      <c r="M316" s="13">
        <v>-1.366979765188689</v>
      </c>
      <c r="N316" s="19">
        <f>(F316-Settings!$D$18)/Settings!$E$18</f>
        <v>-0.87621061951610735</v>
      </c>
      <c r="O316" s="19">
        <f>(G316-Settings!$D$19)/Settings!$E$19</f>
        <v>2.2494298920134641</v>
      </c>
      <c r="P316" s="19">
        <f>(H316-Settings!$D$20)/Settings!$E$20</f>
        <v>-0.44412615323513782</v>
      </c>
      <c r="Q316" s="19">
        <f>(I316-Settings!$D$21)/Settings!$E$21</f>
        <v>1.3233470732569694</v>
      </c>
      <c r="R316" s="19">
        <f>(J316-Settings!$D$22)/Settings!$E$22</f>
        <v>0.15489449898837845</v>
      </c>
      <c r="S316" s="19">
        <f>(K316-Settings!$D$23)/Settings!$E$23</f>
        <v>-0.75752443501921485</v>
      </c>
      <c r="T316" s="19">
        <f>(L316-Settings!$D$24)/Settings!$E$24</f>
        <v>-9.9565882940588851E-2</v>
      </c>
      <c r="U316" s="19">
        <f>(M316-Settings!$D$25)/Settings!$E$25</f>
        <v>-0.88593612036924985</v>
      </c>
      <c r="V316" s="31">
        <f>Settings!$B$18*(N316-F$6)^2</f>
        <v>0.17036750373937967</v>
      </c>
      <c r="W316" s="31">
        <f>Settings!$B$19*(O316-G$6)^2</f>
        <v>0.6092745536057832</v>
      </c>
      <c r="X316" s="31">
        <f>Settings!$B$20*(P316-H$6)^2</f>
        <v>1.4641194040449599</v>
      </c>
      <c r="Y316" s="31">
        <f>Settings!$B$21*(Q316-I$6)^2</f>
        <v>0.95316808698932987</v>
      </c>
      <c r="Z316" s="31">
        <f>Settings!$B$22*(R316-J$6)^2</f>
        <v>8.2238347999422001E-7</v>
      </c>
      <c r="AA316" s="31">
        <f>Settings!$B$23*(S316-K$6)^2</f>
        <v>6.1770434825657761</v>
      </c>
      <c r="AB316" s="31">
        <f>Settings!$B$24*(T316-L$6)^2</f>
        <v>2.6431662136217118</v>
      </c>
      <c r="AC316" s="31">
        <f>Settings!$B$25*(U316-M$6)^2</f>
        <v>0.49561772420970723</v>
      </c>
      <c r="AD316" s="19">
        <f t="shared" si="16"/>
        <v>3.5373376699376786</v>
      </c>
      <c r="AE316" s="15">
        <f t="shared" si="17"/>
        <v>1.4001423802502131</v>
      </c>
      <c r="AF316" s="33">
        <f t="shared" si="18"/>
        <v>0.3752362908602469</v>
      </c>
      <c r="AG316" s="47">
        <f t="shared" si="19"/>
        <v>1.6200451157339516E-3</v>
      </c>
      <c r="AH316" s="18">
        <v>-0.33915518549017021</v>
      </c>
      <c r="AI316" s="46">
        <v>1</v>
      </c>
      <c r="AJ316" s="18">
        <v>0.74502244168257525</v>
      </c>
      <c r="AK316" s="46">
        <v>1</v>
      </c>
      <c r="AL316" s="18">
        <v>1.0834575008411991</v>
      </c>
      <c r="AM316" s="46">
        <v>1</v>
      </c>
      <c r="AN316" s="18">
        <v>0.33623809482984962</v>
      </c>
      <c r="AO316" s="46">
        <v>1</v>
      </c>
      <c r="AP316" s="18">
        <v>-1.6559922640052629</v>
      </c>
      <c r="AQ316" s="46">
        <v>1</v>
      </c>
    </row>
    <row r="317" spans="1:43" ht="20" customHeight="1" x14ac:dyDescent="0.45">
      <c r="A317" s="26">
        <v>307</v>
      </c>
      <c r="B317" s="16" t="s">
        <v>533</v>
      </c>
      <c r="C317" s="16" t="s">
        <v>258</v>
      </c>
      <c r="D317" s="46">
        <v>26</v>
      </c>
      <c r="E317" s="46">
        <v>0</v>
      </c>
      <c r="F317" s="13">
        <v>0.32699107690988077</v>
      </c>
      <c r="G317" s="13">
        <v>0.32425679353859649</v>
      </c>
      <c r="H317" s="13">
        <v>-1.1054689167654501E-3</v>
      </c>
      <c r="I317" s="13">
        <v>1.9476201316021409E-2</v>
      </c>
      <c r="J317" s="13">
        <v>-0.32817045931873612</v>
      </c>
      <c r="K317" s="13">
        <v>13.65180878552971</v>
      </c>
      <c r="L317" s="13">
        <v>0.42215799283615107</v>
      </c>
      <c r="M317" s="13">
        <v>-0.98545654161843754</v>
      </c>
      <c r="N317" s="19">
        <f>(F317-Settings!$D$18)/Settings!$E$18</f>
        <v>0.48197061230780125</v>
      </c>
      <c r="O317" s="19">
        <f>(G317-Settings!$D$19)/Settings!$E$19</f>
        <v>1.3785661172516219</v>
      </c>
      <c r="P317" s="19">
        <f>(H317-Settings!$D$20)/Settings!$E$20</f>
        <v>-0.49135837174049168</v>
      </c>
      <c r="Q317" s="19">
        <f>(I317-Settings!$D$21)/Settings!$E$21</f>
        <v>0.27571396180655616</v>
      </c>
      <c r="R317" s="19">
        <f>(J317-Settings!$D$22)/Settings!$E$22</f>
        <v>-1.5498403781464609</v>
      </c>
      <c r="S317" s="19">
        <f>(K317-Settings!$D$23)/Settings!$E$23</f>
        <v>-0.55682491892014485</v>
      </c>
      <c r="T317" s="19">
        <f>(L317-Settings!$D$24)/Settings!$E$24</f>
        <v>-0.61261626003656711</v>
      </c>
      <c r="U317" s="19">
        <f>(M317-Settings!$D$25)/Settings!$E$25</f>
        <v>-0.62863260917752961</v>
      </c>
      <c r="V317" s="31">
        <f>Settings!$B$18*(N317-F$6)^2</f>
        <v>3.7885168053015124E-2</v>
      </c>
      <c r="W317" s="31">
        <f>Settings!$B$19*(O317-G$6)^2</f>
        <v>0.15295787249080198</v>
      </c>
      <c r="X317" s="31">
        <f>Settings!$B$20*(P317-H$6)^2</f>
        <v>1.5156833137041092</v>
      </c>
      <c r="Y317" s="31">
        <f>Settings!$B$21*(Q317-I$6)^2</f>
        <v>0.25784815084054408</v>
      </c>
      <c r="Z317" s="31">
        <f>Settings!$B$22*(R317-J$6)^2</f>
        <v>0.57984228741544352</v>
      </c>
      <c r="AA317" s="31">
        <f>Settings!$B$23*(S317-K$6)^2</f>
        <v>5.2197003254864551</v>
      </c>
      <c r="AB317" s="31">
        <f>Settings!$B$24*(T317-L$6)^2</f>
        <v>4.5746027560593969</v>
      </c>
      <c r="AC317" s="31">
        <f>Settings!$B$25*(U317-M$6)^2</f>
        <v>0.19953884714604345</v>
      </c>
      <c r="AD317" s="19">
        <f t="shared" si="16"/>
        <v>3.5409121312446894</v>
      </c>
      <c r="AE317" s="15">
        <f t="shared" si="17"/>
        <v>1.4015572168390533</v>
      </c>
      <c r="AF317" s="33">
        <f t="shared" si="18"/>
        <v>0.37449331897511834</v>
      </c>
      <c r="AG317" s="47">
        <f t="shared" si="19"/>
        <v>1.6168374090090216E-3</v>
      </c>
      <c r="AH317" s="18">
        <v>-0.21258216120697621</v>
      </c>
      <c r="AI317" s="46">
        <v>0</v>
      </c>
      <c r="AJ317" s="18">
        <v>0.82605888333037214</v>
      </c>
      <c r="AK317" s="46">
        <v>0</v>
      </c>
      <c r="AL317" s="18">
        <v>0.25436831506500729</v>
      </c>
      <c r="AM317" s="46">
        <v>0</v>
      </c>
      <c r="AN317" s="48"/>
      <c r="AO317" s="48"/>
      <c r="AP317" s="48"/>
      <c r="AQ317" s="48"/>
    </row>
    <row r="318" spans="1:43" ht="20" customHeight="1" x14ac:dyDescent="0.45">
      <c r="A318" s="26">
        <v>308</v>
      </c>
      <c r="B318" s="16" t="s">
        <v>534</v>
      </c>
      <c r="C318" s="16" t="s">
        <v>216</v>
      </c>
      <c r="D318" s="46">
        <v>26</v>
      </c>
      <c r="E318" s="46">
        <v>1</v>
      </c>
      <c r="F318" s="13">
        <v>0.26583284900435361</v>
      </c>
      <c r="G318" s="13">
        <v>-9.5527127587707386E-2</v>
      </c>
      <c r="H318" s="13">
        <v>5.9090518116550327E-2</v>
      </c>
      <c r="I318" s="13">
        <v>-5.623131052626092E-6</v>
      </c>
      <c r="J318" s="13">
        <v>0.57954388216033614</v>
      </c>
      <c r="K318" s="13">
        <v>11.59671361502347</v>
      </c>
      <c r="L318" s="13">
        <v>2.3691385309371831</v>
      </c>
      <c r="M318" s="13">
        <v>-2.205397226814183</v>
      </c>
      <c r="N318" s="19">
        <f>(F318-Settings!$D$18)/Settings!$E$18</f>
        <v>0.26308912713680904</v>
      </c>
      <c r="O318" s="19">
        <f>(G318-Settings!$D$19)/Settings!$E$19</f>
        <v>-0.37030720226194591</v>
      </c>
      <c r="P318" s="19">
        <f>(H318-Settings!$D$20)/Settings!$E$20</f>
        <v>5.4028846359507769E-2</v>
      </c>
      <c r="Q318" s="19">
        <f>(I318-Settings!$D$21)/Settings!$E$21</f>
        <v>3.6139975040732082E-2</v>
      </c>
      <c r="R318" s="19">
        <f>(J318-Settings!$D$22)/Settings!$E$22</f>
        <v>0.89240779332507714</v>
      </c>
      <c r="S318" s="19">
        <f>(K318-Settings!$D$23)/Settings!$E$23</f>
        <v>-1.27051220192047</v>
      </c>
      <c r="T318" s="19">
        <f>(L318-Settings!$D$24)/Settings!$E$24</f>
        <v>0.73343788263899357</v>
      </c>
      <c r="U318" s="19">
        <f>(M318-Settings!$D$25)/Settings!$E$25</f>
        <v>-1.4513741943662479</v>
      </c>
      <c r="V318" s="31">
        <f>Settings!$B$18*(N318-F$6)^2</f>
        <v>9.3614043102780691E-3</v>
      </c>
      <c r="W318" s="31">
        <f>Settings!$B$19*(O318-G$6)^2</f>
        <v>0.15289791921782042</v>
      </c>
      <c r="X318" s="31">
        <f>Settings!$B$20*(P318-H$6)^2</f>
        <v>0.97461582603087593</v>
      </c>
      <c r="Y318" s="31">
        <f>Settings!$B$21*(Q318-I$6)^2</f>
        <v>0.16051782757040312</v>
      </c>
      <c r="Z318" s="31">
        <f>Settings!$B$22*(R318-J$6)^2</f>
        <v>0.10938420199872174</v>
      </c>
      <c r="AA318" s="31">
        <f>Settings!$B$23*(S318-K$6)^2</f>
        <v>8.9901245015235531</v>
      </c>
      <c r="AB318" s="31">
        <f>Settings!$B$24*(T318-L$6)^2</f>
        <v>0.62849689112771845</v>
      </c>
      <c r="AC318" s="31">
        <f>Settings!$B$25*(U318-M$6)^2</f>
        <v>1.6114761327708815</v>
      </c>
      <c r="AD318" s="19">
        <f t="shared" si="16"/>
        <v>3.5548382107418406</v>
      </c>
      <c r="AE318" s="15">
        <f t="shared" si="17"/>
        <v>1.4070694115781657</v>
      </c>
      <c r="AF318" s="33">
        <f t="shared" si="18"/>
        <v>0.37160561400538217</v>
      </c>
      <c r="AG318" s="47">
        <f t="shared" si="19"/>
        <v>1.6043700319299638E-3</v>
      </c>
      <c r="AH318" s="18">
        <v>-2.0852948344602602</v>
      </c>
      <c r="AI318" s="46">
        <v>1</v>
      </c>
      <c r="AJ318" s="48"/>
      <c r="AK318" s="48"/>
      <c r="AL318" s="48"/>
      <c r="AM318" s="48"/>
      <c r="AN318" s="48"/>
      <c r="AO318" s="48"/>
      <c r="AP318" s="48"/>
      <c r="AQ318" s="48"/>
    </row>
    <row r="319" spans="1:43" ht="20" customHeight="1" x14ac:dyDescent="0.45">
      <c r="A319" s="26">
        <v>309</v>
      </c>
      <c r="B319" s="16" t="s">
        <v>535</v>
      </c>
      <c r="C319" s="16" t="s">
        <v>216</v>
      </c>
      <c r="D319" s="46">
        <v>26</v>
      </c>
      <c r="E319" s="46">
        <v>1</v>
      </c>
      <c r="F319" s="13">
        <v>0.41884934630730092</v>
      </c>
      <c r="G319" s="13">
        <v>2.6462149728569591E-3</v>
      </c>
      <c r="H319" s="13">
        <v>0.12637425457643031</v>
      </c>
      <c r="I319" s="13">
        <v>5.0689779750208424E-3</v>
      </c>
      <c r="J319" s="13">
        <v>0.44706120616839112</v>
      </c>
      <c r="K319" s="13">
        <v>19.867634408602129</v>
      </c>
      <c r="L319" s="13">
        <v>7.2927926802742178</v>
      </c>
      <c r="M319" s="13">
        <v>3.021848329697161</v>
      </c>
      <c r="N319" s="19">
        <f>(F319-Settings!$D$18)/Settings!$E$18</f>
        <v>0.81072563218841065</v>
      </c>
      <c r="O319" s="19">
        <f>(G319-Settings!$D$19)/Settings!$E$19</f>
        <v>3.8695455655431005E-2</v>
      </c>
      <c r="P319" s="19">
        <f>(H319-Settings!$D$20)/Settings!$E$20</f>
        <v>0.66363243722542431</v>
      </c>
      <c r="Q319" s="19">
        <f>(I319-Settings!$D$21)/Settings!$E$21</f>
        <v>9.8543905510954197E-2</v>
      </c>
      <c r="R319" s="19">
        <f>(J319-Settings!$D$22)/Settings!$E$22</f>
        <v>0.53595691620687791</v>
      </c>
      <c r="S319" s="19">
        <f>(K319-Settings!$D$23)/Settings!$E$23</f>
        <v>1.6017883483387048</v>
      </c>
      <c r="T319" s="19">
        <f>(L319-Settings!$D$24)/Settings!$E$24</f>
        <v>4.1374293119939578</v>
      </c>
      <c r="U319" s="19">
        <f>(M319-Settings!$D$25)/Settings!$E$25</f>
        <v>2.0739384274066395</v>
      </c>
      <c r="V319" s="31">
        <f>Settings!$B$18*(N319-F$6)^2</f>
        <v>0.11673486343483382</v>
      </c>
      <c r="W319" s="31">
        <f>Settings!$B$19*(O319-G$6)^2</f>
        <v>4.330980790057698E-2</v>
      </c>
      <c r="X319" s="31">
        <f>Settings!$B$20*(P319-H$6)^2</f>
        <v>0.51065789922104077</v>
      </c>
      <c r="Y319" s="31">
        <f>Settings!$B$21*(Q319-I$6)^2</f>
        <v>0.18365908607061329</v>
      </c>
      <c r="Z319" s="31">
        <f>Settings!$B$22*(R319-J$6)^2</f>
        <v>2.9351620810959961E-2</v>
      </c>
      <c r="AA319" s="31">
        <f>Settings!$B$23*(S319-K$6)^2</f>
        <v>1.5889379374148669E-2</v>
      </c>
      <c r="AB319" s="31">
        <f>Settings!$B$24*(T319-L$6)^2</f>
        <v>6.8184357915460474</v>
      </c>
      <c r="AC319" s="31">
        <f>Settings!$B$25*(U319-M$6)^2</f>
        <v>5.0889644503082501</v>
      </c>
      <c r="AD319" s="19">
        <f t="shared" si="16"/>
        <v>3.5786873150174032</v>
      </c>
      <c r="AE319" s="15">
        <f t="shared" si="17"/>
        <v>1.4165093194249645</v>
      </c>
      <c r="AF319" s="33">
        <f t="shared" si="18"/>
        <v>0.3666860208909099</v>
      </c>
      <c r="AG319" s="47">
        <f t="shared" si="19"/>
        <v>1.5831301812262175E-3</v>
      </c>
      <c r="AH319" s="18">
        <v>-1.291773664392863</v>
      </c>
      <c r="AI319" s="46">
        <v>1</v>
      </c>
      <c r="AJ319" s="18">
        <v>-2.969063558416448</v>
      </c>
      <c r="AK319" s="46">
        <v>1</v>
      </c>
      <c r="AL319" s="48"/>
      <c r="AM319" s="48"/>
      <c r="AN319" s="48"/>
      <c r="AO319" s="48"/>
      <c r="AP319" s="48"/>
      <c r="AQ319" s="48"/>
    </row>
    <row r="320" spans="1:43" ht="20" customHeight="1" x14ac:dyDescent="0.45">
      <c r="A320" s="26">
        <v>310</v>
      </c>
      <c r="B320" s="16" t="s">
        <v>536</v>
      </c>
      <c r="C320" s="16" t="s">
        <v>214</v>
      </c>
      <c r="D320" s="46">
        <v>26</v>
      </c>
      <c r="E320" s="46">
        <v>1</v>
      </c>
      <c r="F320" s="13">
        <v>0.21408566845613489</v>
      </c>
      <c r="G320" s="13">
        <v>0.48770246712584792</v>
      </c>
      <c r="H320" s="13">
        <v>6.0866868004752581E-4</v>
      </c>
      <c r="I320" s="13">
        <v>-2.7684179635668271E-2</v>
      </c>
      <c r="J320" s="13">
        <v>-0.26991901610230151</v>
      </c>
      <c r="K320" s="13">
        <v>12.883333333333329</v>
      </c>
      <c r="L320" s="13">
        <v>1.313850516792709</v>
      </c>
      <c r="M320" s="13">
        <v>1.4887705413930321</v>
      </c>
      <c r="N320" s="19">
        <f>(F320-Settings!$D$18)/Settings!$E$18</f>
        <v>7.7889193788479236E-2</v>
      </c>
      <c r="O320" s="19">
        <f>(G320-Settings!$D$19)/Settings!$E$19</f>
        <v>2.05950162559536</v>
      </c>
      <c r="P320" s="19">
        <f>(H320-Settings!$D$20)/Settings!$E$20</f>
        <v>-0.47582795548784279</v>
      </c>
      <c r="Q320" s="19">
        <f>(I320-Settings!$D$21)/Settings!$E$21</f>
        <v>-0.3042317467016748</v>
      </c>
      <c r="R320" s="19">
        <f>(J320-Settings!$D$22)/Settings!$E$22</f>
        <v>-1.3931121276606273</v>
      </c>
      <c r="S320" s="19">
        <f>(K320-Settings!$D$23)/Settings!$E$23</f>
        <v>-0.82369876758739602</v>
      </c>
      <c r="T320" s="19">
        <f>(L320-Settings!$D$24)/Settings!$E$24</f>
        <v>3.8595559134060324E-3</v>
      </c>
      <c r="U320" s="19">
        <f>(M320-Settings!$D$25)/Settings!$E$25</f>
        <v>1.0400136923162884</v>
      </c>
      <c r="V320" s="31">
        <f>Settings!$B$18*(N320-F$6)^2</f>
        <v>1.9405666444911982E-4</v>
      </c>
      <c r="W320" s="31">
        <f>Settings!$B$19*(O320-G$6)^2</f>
        <v>0.48388983757311144</v>
      </c>
      <c r="X320" s="31">
        <f>Settings!$B$20*(P320-H$6)^2</f>
        <v>1.498630126518735</v>
      </c>
      <c r="Y320" s="31">
        <f>Settings!$B$21*(Q320-I$6)^2</f>
        <v>6.1716421548285577E-2</v>
      </c>
      <c r="Z320" s="31">
        <f>Settings!$B$22*(R320-J$6)^2</f>
        <v>0.47801011494284462</v>
      </c>
      <c r="AA320" s="31">
        <f>Settings!$B$23*(S320-K$6)^2</f>
        <v>6.5103573794557601</v>
      </c>
      <c r="AB320" s="31">
        <f>Settings!$B$24*(T320-L$6)^2</f>
        <v>2.3175686584827888</v>
      </c>
      <c r="AC320" s="31">
        <f>Settings!$B$25*(U320-M$6)^2</f>
        <v>1.4931583519738685</v>
      </c>
      <c r="AD320" s="19">
        <f t="shared" si="16"/>
        <v>3.5837863980934803</v>
      </c>
      <c r="AE320" s="15">
        <f t="shared" si="17"/>
        <v>1.4185276289507718</v>
      </c>
      <c r="AF320" s="33">
        <f t="shared" si="18"/>
        <v>0.36563843475268704</v>
      </c>
      <c r="AG320" s="47">
        <f t="shared" si="19"/>
        <v>1.5786073329626664E-3</v>
      </c>
      <c r="AH320" s="48"/>
      <c r="AI320" s="48"/>
      <c r="AJ320" s="48"/>
      <c r="AK320" s="48"/>
      <c r="AL320" s="48"/>
      <c r="AM320" s="48"/>
      <c r="AN320" s="48"/>
      <c r="AO320" s="48"/>
      <c r="AP320" s="48"/>
      <c r="AQ320" s="48"/>
    </row>
    <row r="321" spans="1:43" ht="20" customHeight="1" x14ac:dyDescent="0.45">
      <c r="A321" s="26">
        <v>311</v>
      </c>
      <c r="B321" s="16" t="s">
        <v>537</v>
      </c>
      <c r="C321" s="16" t="s">
        <v>271</v>
      </c>
      <c r="D321" s="46">
        <v>26</v>
      </c>
      <c r="E321" s="46">
        <v>1</v>
      </c>
      <c r="F321" s="13">
        <v>7.8258786148217171E-2</v>
      </c>
      <c r="G321" s="13">
        <v>-0.21827265304527521</v>
      </c>
      <c r="H321" s="13">
        <v>5.753885086459019E-3</v>
      </c>
      <c r="I321" s="13">
        <v>1.6494233981732039E-5</v>
      </c>
      <c r="J321" s="13">
        <v>0.69769818148606699</v>
      </c>
      <c r="K321" s="13">
        <v>12.55551876379689</v>
      </c>
      <c r="L321" s="13">
        <v>1.1400929145130769</v>
      </c>
      <c r="M321" s="13">
        <v>0.99130982380834676</v>
      </c>
      <c r="N321" s="19">
        <f>(F321-Settings!$D$18)/Settings!$E$18</f>
        <v>-0.40822675076811171</v>
      </c>
      <c r="O321" s="19">
        <f>(G321-Settings!$D$19)/Settings!$E$19</f>
        <v>-0.88168070600752013</v>
      </c>
      <c r="P321" s="19">
        <f>(H321-Settings!$D$20)/Settings!$E$20</f>
        <v>-0.42921130543005453</v>
      </c>
      <c r="Q321" s="19">
        <f>(I321-Settings!$D$21)/Settings!$E$21</f>
        <v>3.6411959080647399E-2</v>
      </c>
      <c r="R321" s="19">
        <f>(J321-Settings!$D$22)/Settings!$E$22</f>
        <v>1.2103074984344735</v>
      </c>
      <c r="S321" s="19">
        <f>(K321-Settings!$D$23)/Settings!$E$23</f>
        <v>-0.93754122744912149</v>
      </c>
      <c r="T321" s="19">
        <f>(L321-Settings!$D$24)/Settings!$E$24</f>
        <v>-0.1162685788023065</v>
      </c>
      <c r="U321" s="19">
        <f>(M321-Settings!$D$25)/Settings!$E$25</f>
        <v>0.70452064390707803</v>
      </c>
      <c r="V321" s="31">
        <f>Settings!$B$18*(N321-F$6)^2</f>
        <v>4.1398916585788904E-2</v>
      </c>
      <c r="W321" s="31">
        <f>Settings!$B$19*(O321-G$6)^2</f>
        <v>0.38404645624780498</v>
      </c>
      <c r="X321" s="31">
        <f>Settings!$B$20*(P321-H$6)^2</f>
        <v>1.4480220906515078</v>
      </c>
      <c r="Y321" s="31">
        <f>Settings!$B$21*(Q321-I$6)^2</f>
        <v>0.16061530767143417</v>
      </c>
      <c r="Z321" s="31">
        <f>Settings!$B$22*(R321-J$6)^2</f>
        <v>0.22363620308453599</v>
      </c>
      <c r="AA321" s="31">
        <f>Settings!$B$23*(S321-K$6)^2</f>
        <v>7.1042647101619574</v>
      </c>
      <c r="AB321" s="31">
        <f>Settings!$B$24*(T321-L$6)^2</f>
        <v>2.6977550690129477</v>
      </c>
      <c r="AC321" s="31">
        <f>Settings!$B$25*(U321-M$6)^2</f>
        <v>0.78580342385885227</v>
      </c>
      <c r="AD321" s="19">
        <f t="shared" si="16"/>
        <v>3.5840678254289258</v>
      </c>
      <c r="AE321" s="15">
        <f t="shared" si="17"/>
        <v>1.418639022992304</v>
      </c>
      <c r="AF321" s="33">
        <f t="shared" si="18"/>
        <v>0.36558066049961246</v>
      </c>
      <c r="AG321" s="47">
        <f t="shared" si="19"/>
        <v>1.5783578984095905E-3</v>
      </c>
      <c r="AH321" s="18">
        <v>0.68185777413853654</v>
      </c>
      <c r="AI321" s="46">
        <v>1</v>
      </c>
      <c r="AJ321" s="18">
        <v>-0.84554405853651549</v>
      </c>
      <c r="AK321" s="46">
        <v>1</v>
      </c>
      <c r="AL321" s="48"/>
      <c r="AM321" s="48"/>
      <c r="AN321" s="48"/>
      <c r="AO321" s="48"/>
      <c r="AP321" s="48"/>
      <c r="AQ321" s="48"/>
    </row>
    <row r="322" spans="1:43" ht="20" customHeight="1" x14ac:dyDescent="0.45">
      <c r="A322" s="26">
        <v>312</v>
      </c>
      <c r="B322" s="16" t="s">
        <v>538</v>
      </c>
      <c r="C322" s="16" t="s">
        <v>216</v>
      </c>
      <c r="D322" s="46">
        <v>26</v>
      </c>
      <c r="E322" s="46">
        <v>1</v>
      </c>
      <c r="F322" s="13">
        <v>-5.1246523171012338E-2</v>
      </c>
      <c r="G322" s="13">
        <v>-0.34552265445132491</v>
      </c>
      <c r="H322" s="13">
        <v>0.26821718406351269</v>
      </c>
      <c r="I322" s="13">
        <v>-1.408367871499581E-5</v>
      </c>
      <c r="J322" s="13">
        <v>0.33499955463543513</v>
      </c>
      <c r="K322" s="13">
        <v>17.274408602150579</v>
      </c>
      <c r="L322" s="13">
        <v>0.38784166372587042</v>
      </c>
      <c r="M322" s="13">
        <v>3.338453628582152</v>
      </c>
      <c r="N322" s="19">
        <f>(F322-Settings!$D$18)/Settings!$E$18</f>
        <v>-0.87171817967460397</v>
      </c>
      <c r="O322" s="19">
        <f>(G322-Settings!$D$19)/Settings!$E$19</f>
        <v>-1.4118204306782649</v>
      </c>
      <c r="P322" s="19">
        <f>(H322-Settings!$D$20)/Settings!$E$20</f>
        <v>1.9487566545141835</v>
      </c>
      <c r="Q322" s="19">
        <f>(I322-Settings!$D$21)/Settings!$E$21</f>
        <v>3.6035933084127725E-2</v>
      </c>
      <c r="R322" s="19">
        <f>(J322-Settings!$D$22)/Settings!$E$22</f>
        <v>0.23444976682936378</v>
      </c>
      <c r="S322" s="19">
        <f>(K322-Settings!$D$23)/Settings!$E$23</f>
        <v>0.70122067314104974</v>
      </c>
      <c r="T322" s="19">
        <f>(L322-Settings!$D$24)/Settings!$E$24</f>
        <v>-0.63634101539820198</v>
      </c>
      <c r="U322" s="19">
        <f>(M322-Settings!$D$25)/Settings!$E$25</f>
        <v>2.2874605671670571</v>
      </c>
      <c r="V322" s="31">
        <f>Settings!$B$18*(N322-F$6)^2</f>
        <v>0.16871302040727529</v>
      </c>
      <c r="W322" s="31">
        <f>Settings!$B$19*(O322-G$6)^2</f>
        <v>0.73410711542824791</v>
      </c>
      <c r="X322" s="31">
        <f>Settings!$B$20*(P322-H$6)^2</f>
        <v>1.9565937163185634E-2</v>
      </c>
      <c r="Y322" s="31">
        <f>Settings!$B$21*(Q322-I$6)^2</f>
        <v>0.16048054636704145</v>
      </c>
      <c r="Z322" s="31">
        <f>Settings!$B$22*(R322-J$6)^2</f>
        <v>1.3311589455718674E-3</v>
      </c>
      <c r="AA322" s="31">
        <f>Settings!$B$23*(S322-K$6)^2</f>
        <v>1.0539501782331608</v>
      </c>
      <c r="AB322" s="31">
        <f>Settings!$B$24*(T322-L$6)^2</f>
        <v>4.6766521567857255</v>
      </c>
      <c r="AC322" s="31">
        <f>Settings!$B$25*(U322-M$6)^2</f>
        <v>6.0979139524707096</v>
      </c>
      <c r="AD322" s="19">
        <f t="shared" si="16"/>
        <v>3.593426507638763</v>
      </c>
      <c r="AE322" s="15">
        <f t="shared" si="17"/>
        <v>1.4223433590800481</v>
      </c>
      <c r="AF322" s="33">
        <f t="shared" si="18"/>
        <v>0.36366203585850443</v>
      </c>
      <c r="AG322" s="47">
        <f t="shared" si="19"/>
        <v>1.5700744286214522E-3</v>
      </c>
      <c r="AH322" s="18">
        <v>1.6242050125399929</v>
      </c>
      <c r="AI322" s="46">
        <v>1</v>
      </c>
      <c r="AJ322" s="18">
        <v>-0.91700074934130038</v>
      </c>
      <c r="AK322" s="46">
        <v>1</v>
      </c>
      <c r="AL322" s="48"/>
      <c r="AM322" s="48"/>
      <c r="AN322" s="48"/>
      <c r="AO322" s="48"/>
      <c r="AP322" s="48"/>
      <c r="AQ322" s="48"/>
    </row>
    <row r="323" spans="1:43" ht="20" customHeight="1" x14ac:dyDescent="0.45">
      <c r="A323" s="26">
        <v>313</v>
      </c>
      <c r="B323" s="16" t="s">
        <v>539</v>
      </c>
      <c r="C323" s="16" t="s">
        <v>271</v>
      </c>
      <c r="D323" s="46">
        <v>26</v>
      </c>
      <c r="E323" s="46">
        <v>1</v>
      </c>
      <c r="F323" s="13">
        <v>-0.20468409748941069</v>
      </c>
      <c r="G323" s="13">
        <v>-0.15960792232097681</v>
      </c>
      <c r="H323" s="13">
        <v>-0.109316362102178</v>
      </c>
      <c r="I323" s="13">
        <v>0.1630188009487698</v>
      </c>
      <c r="J323" s="13">
        <v>0.36337281713866482</v>
      </c>
      <c r="K323" s="13">
        <v>15.75946502057611</v>
      </c>
      <c r="L323" s="13">
        <v>0.1665986473810446</v>
      </c>
      <c r="M323" s="13">
        <v>0.2491050985646778</v>
      </c>
      <c r="N323" s="19">
        <f>(F323-Settings!$D$18)/Settings!$E$18</f>
        <v>-1.4208616931152593</v>
      </c>
      <c r="O323" s="19">
        <f>(G323-Settings!$D$19)/Settings!$E$19</f>
        <v>-0.63727596062113345</v>
      </c>
      <c r="P323" s="19">
        <f>(H323-Settings!$D$20)/Settings!$E$20</f>
        <v>-1.471769872757082</v>
      </c>
      <c r="Q323" s="19">
        <f>(I323-Settings!$D$21)/Settings!$E$21</f>
        <v>2.0409014553173566</v>
      </c>
      <c r="R323" s="19">
        <f>(J323-Settings!$D$22)/Settings!$E$22</f>
        <v>0.31078936542409669</v>
      </c>
      <c r="S323" s="19">
        <f>(K323-Settings!$D$23)/Settings!$E$23</f>
        <v>0.17511561282584845</v>
      </c>
      <c r="T323" s="19">
        <f>(L323-Settings!$D$24)/Settings!$E$24</f>
        <v>-0.78929841423252767</v>
      </c>
      <c r="U323" s="19">
        <f>(M323-Settings!$D$25)/Settings!$E$25</f>
        <v>0.20396951089559681</v>
      </c>
      <c r="V323" s="31">
        <f>Settings!$B$18*(N323-F$6)^2</f>
        <v>0.4307708418160241</v>
      </c>
      <c r="W323" s="31">
        <f>Settings!$B$19*(O323-G$6)^2</f>
        <v>0.26052213855499756</v>
      </c>
      <c r="X323" s="31">
        <f>Settings!$B$20*(P323-H$6)^2</f>
        <v>2.7875116041588122</v>
      </c>
      <c r="Y323" s="31">
        <f>Settings!$B$21*(Q323-I$6)^2</f>
        <v>1.6827365346282126</v>
      </c>
      <c r="Z323" s="31">
        <f>Settings!$B$22*(R323-J$6)^2</f>
        <v>4.9879128513097724E-3</v>
      </c>
      <c r="AA323" s="31">
        <f>Settings!$B$23*(S323-K$6)^2</f>
        <v>2.410957463046163</v>
      </c>
      <c r="AB323" s="31">
        <f>Settings!$B$24*(T323-L$6)^2</f>
        <v>5.3616062657897876</v>
      </c>
      <c r="AC323" s="31">
        <f>Settings!$B$25*(U323-M$6)^2</f>
        <v>0.14892221109902049</v>
      </c>
      <c r="AD323" s="19">
        <f t="shared" si="16"/>
        <v>3.6177361667131458</v>
      </c>
      <c r="AE323" s="15">
        <f t="shared" si="17"/>
        <v>1.4319655628658905</v>
      </c>
      <c r="AF323" s="33">
        <f t="shared" si="18"/>
        <v>0.35870222675445179</v>
      </c>
      <c r="AG323" s="47">
        <f t="shared" si="19"/>
        <v>1.5486609494092674E-3</v>
      </c>
      <c r="AH323" s="18">
        <v>0.23357150522474321</v>
      </c>
      <c r="AI323" s="46">
        <v>1</v>
      </c>
      <c r="AJ323" s="18">
        <v>0.1974299051318881</v>
      </c>
      <c r="AK323" s="46">
        <v>1</v>
      </c>
      <c r="AL323" s="18">
        <v>-0.29136522267789577</v>
      </c>
      <c r="AM323" s="46">
        <v>1</v>
      </c>
      <c r="AN323" s="18">
        <v>-0.3293101156471327</v>
      </c>
      <c r="AO323" s="46">
        <v>1</v>
      </c>
      <c r="AP323" s="18">
        <v>-0.28108642917539067</v>
      </c>
      <c r="AQ323" s="46">
        <v>1</v>
      </c>
    </row>
    <row r="324" spans="1:43" ht="20" customHeight="1" x14ac:dyDescent="0.45">
      <c r="A324" s="26">
        <v>314</v>
      </c>
      <c r="B324" s="16" t="s">
        <v>540</v>
      </c>
      <c r="C324" s="16" t="s">
        <v>216</v>
      </c>
      <c r="D324" s="46">
        <v>26</v>
      </c>
      <c r="E324" s="46">
        <v>1</v>
      </c>
      <c r="F324" s="13">
        <v>0.40904761424405978</v>
      </c>
      <c r="G324" s="13">
        <v>-9.2875914595318493E-2</v>
      </c>
      <c r="H324" s="13">
        <v>-2.4383824691330311E-2</v>
      </c>
      <c r="I324" s="13">
        <v>2.6968822695506479E-2</v>
      </c>
      <c r="J324" s="13">
        <v>0.44672382377378489</v>
      </c>
      <c r="K324" s="13">
        <v>12.916142557651989</v>
      </c>
      <c r="L324" s="13">
        <v>0.5323639955556676</v>
      </c>
      <c r="M324" s="13">
        <v>-0.74616677114014973</v>
      </c>
      <c r="N324" s="19">
        <f>(F324-Settings!$D$18)/Settings!$E$18</f>
        <v>0.7756458441578542</v>
      </c>
      <c r="O324" s="19">
        <f>(G324-Settings!$D$19)/Settings!$E$19</f>
        <v>-0.35926191102188054</v>
      </c>
      <c r="P324" s="19">
        <f>(H324-Settings!$D$20)/Settings!$E$20</f>
        <v>-0.7022647514432695</v>
      </c>
      <c r="Q324" s="19">
        <f>(I324-Settings!$D$21)/Settings!$E$21</f>
        <v>0.36785303122927043</v>
      </c>
      <c r="R324" s="19">
        <f>(J324-Settings!$D$22)/Settings!$E$22</f>
        <v>0.5350491729900293</v>
      </c>
      <c r="S324" s="19">
        <f>(K324-Settings!$D$23)/Settings!$E$23</f>
        <v>-0.81230487863403689</v>
      </c>
      <c r="T324" s="19">
        <f>(L324-Settings!$D$24)/Settings!$E$24</f>
        <v>-0.5364248222664677</v>
      </c>
      <c r="U324" s="19">
        <f>(M324-Settings!$D$25)/Settings!$E$25</f>
        <v>-0.46725292287650116</v>
      </c>
      <c r="V324" s="31">
        <f>Settings!$B$18*(N324-F$6)^2</f>
        <v>0.10626079763772074</v>
      </c>
      <c r="W324" s="31">
        <f>Settings!$B$19*(O324-G$6)^2</f>
        <v>0.14905933452289014</v>
      </c>
      <c r="X324" s="31">
        <f>Settings!$B$20*(P324-H$6)^2</f>
        <v>1.7568206418610541</v>
      </c>
      <c r="Y324" s="31">
        <f>Settings!$B$21*(Q324-I$6)^2</f>
        <v>0.30139369847561981</v>
      </c>
      <c r="Z324" s="31">
        <f>Settings!$B$22*(R324-J$6)^2</f>
        <v>2.9212686597024601E-2</v>
      </c>
      <c r="AA324" s="31">
        <f>Settings!$B$23*(S324-K$6)^2</f>
        <v>6.4523432688205578</v>
      </c>
      <c r="AB324" s="31">
        <f>Settings!$B$24*(T324-L$6)^2</f>
        <v>4.2544865054082406</v>
      </c>
      <c r="AC324" s="31">
        <f>Settings!$B$25*(U324-M$6)^2</f>
        <v>8.1406376580786297E-2</v>
      </c>
      <c r="AD324" s="19">
        <f t="shared" si="16"/>
        <v>3.6236698676761234</v>
      </c>
      <c r="AE324" s="15">
        <f t="shared" si="17"/>
        <v>1.4343142292826148</v>
      </c>
      <c r="AF324" s="33">
        <f t="shared" si="18"/>
        <v>0.35749687642417111</v>
      </c>
      <c r="AG324" s="47">
        <f t="shared" si="19"/>
        <v>1.5434569700424454E-3</v>
      </c>
      <c r="AH324" s="18">
        <v>-0.82014135975231794</v>
      </c>
      <c r="AI324" s="46">
        <v>1</v>
      </c>
      <c r="AJ324" s="48"/>
      <c r="AK324" s="48"/>
      <c r="AL324" s="48"/>
      <c r="AM324" s="48"/>
      <c r="AN324" s="48"/>
      <c r="AO324" s="48"/>
      <c r="AP324" s="48"/>
      <c r="AQ324" s="48"/>
    </row>
    <row r="325" spans="1:43" ht="20" customHeight="1" x14ac:dyDescent="0.45">
      <c r="A325" s="26">
        <v>315</v>
      </c>
      <c r="B325" s="16" t="s">
        <v>541</v>
      </c>
      <c r="C325" s="16" t="s">
        <v>229</v>
      </c>
      <c r="D325" s="46">
        <v>26</v>
      </c>
      <c r="E325" s="46">
        <v>1</v>
      </c>
      <c r="F325" s="13">
        <v>3.6670989590762038E-2</v>
      </c>
      <c r="G325" s="13">
        <v>-0.4012859660823121</v>
      </c>
      <c r="H325" s="13">
        <v>0.16435726930254441</v>
      </c>
      <c r="I325" s="13">
        <v>-0.23002362232529941</v>
      </c>
      <c r="J325" s="13">
        <v>-0.16766215269908211</v>
      </c>
      <c r="K325" s="13">
        <v>16.640277777777801</v>
      </c>
      <c r="L325" s="13">
        <v>-0.63882048092175425</v>
      </c>
      <c r="M325" s="13">
        <v>-1.7989917851841259</v>
      </c>
      <c r="N325" s="19">
        <f>(F325-Settings!$D$18)/Settings!$E$18</f>
        <v>-0.55706688213271249</v>
      </c>
      <c r="O325" s="19">
        <f>(G325-Settings!$D$19)/Settings!$E$19</f>
        <v>-1.6441374943178024</v>
      </c>
      <c r="P325" s="19">
        <f>(H325-Settings!$D$20)/Settings!$E$20</f>
        <v>1.0077658547082478</v>
      </c>
      <c r="Q325" s="19">
        <f>(I325-Settings!$D$21)/Settings!$E$21</f>
        <v>-2.7924621019654698</v>
      </c>
      <c r="R325" s="19">
        <f>(J325-Settings!$D$22)/Settings!$E$22</f>
        <v>-1.1179852223613294</v>
      </c>
      <c r="S325" s="19">
        <f>(K325-Settings!$D$23)/Settings!$E$23</f>
        <v>0.48100162362526444</v>
      </c>
      <c r="T325" s="19">
        <f>(L325-Settings!$D$24)/Settings!$E$24</f>
        <v>-1.3461287127518564</v>
      </c>
      <c r="U325" s="19">
        <f>(M325-Settings!$D$25)/Settings!$E$25</f>
        <v>-1.1772898381892229</v>
      </c>
      <c r="V325" s="31">
        <f>Settings!$B$18*(N325-F$6)^2</f>
        <v>7.2916507348410542E-2</v>
      </c>
      <c r="W325" s="31">
        <f>Settings!$B$19*(O325-G$6)^2</f>
        <v>0.92293653579946966</v>
      </c>
      <c r="X325" s="31">
        <f>Settings!$B$20*(P325-H$6)^2</f>
        <v>0.31438692683362834</v>
      </c>
      <c r="Y325" s="31">
        <f>Settings!$B$21*(Q325-I$6)^2</f>
        <v>0.74708803252008671</v>
      </c>
      <c r="Z325" s="31">
        <f>Settings!$B$22*(R325-J$6)^2</f>
        <v>0.32301292814868771</v>
      </c>
      <c r="AA325" s="31">
        <f>Settings!$B$23*(S325-K$6)^2</f>
        <v>1.5546095025413902</v>
      </c>
      <c r="AB325" s="31">
        <f>Settings!$B$24*(T325-L$6)^2</f>
        <v>8.2503632349776428</v>
      </c>
      <c r="AC325" s="31">
        <f>Settings!$B$25*(U325-M$6)^2</f>
        <v>0.99073146135944268</v>
      </c>
      <c r="AD325" s="19">
        <f t="shared" si="16"/>
        <v>3.6298822473365111</v>
      </c>
      <c r="AE325" s="15">
        <f t="shared" si="17"/>
        <v>1.4367732017801051</v>
      </c>
      <c r="AF325" s="33">
        <f t="shared" si="18"/>
        <v>0.35623715055164479</v>
      </c>
      <c r="AG325" s="47">
        <f t="shared" si="19"/>
        <v>1.5380182297162598E-3</v>
      </c>
      <c r="AH325" s="18">
        <v>-9.4185529976766769E-2</v>
      </c>
      <c r="AI325" s="46">
        <v>1</v>
      </c>
      <c r="AJ325" s="18">
        <v>0.88777623938781569</v>
      </c>
      <c r="AK325" s="46">
        <v>1</v>
      </c>
      <c r="AL325" s="18">
        <v>-0.13839949461091269</v>
      </c>
      <c r="AM325" s="46">
        <v>1</v>
      </c>
      <c r="AN325" s="48"/>
      <c r="AO325" s="48"/>
      <c r="AP325" s="48"/>
      <c r="AQ325" s="48"/>
    </row>
    <row r="326" spans="1:43" ht="20" customHeight="1" x14ac:dyDescent="0.45">
      <c r="A326" s="26">
        <v>316</v>
      </c>
      <c r="B326" s="16" t="s">
        <v>542</v>
      </c>
      <c r="C326" s="16" t="s">
        <v>214</v>
      </c>
      <c r="D326" s="46">
        <v>26</v>
      </c>
      <c r="E326" s="46">
        <v>1</v>
      </c>
      <c r="F326" s="13">
        <v>0.1224620334338562</v>
      </c>
      <c r="G326" s="13">
        <v>-0.32605531057980319</v>
      </c>
      <c r="H326" s="13">
        <v>2.0838769335786149E-2</v>
      </c>
      <c r="I326" s="13">
        <v>-2.8681225647119138E-3</v>
      </c>
      <c r="J326" s="13">
        <v>0.5277757640858427</v>
      </c>
      <c r="K326" s="13">
        <v>13.103658536585369</v>
      </c>
      <c r="L326" s="13">
        <v>0.38566199042673588</v>
      </c>
      <c r="M326" s="13">
        <v>0.31865587820323937</v>
      </c>
      <c r="N326" s="19">
        <f>(F326-Settings!$D$18)/Settings!$E$18</f>
        <v>-0.25002608429021828</v>
      </c>
      <c r="O326" s="19">
        <f>(G326-Settings!$D$19)/Settings!$E$19</f>
        <v>-1.3307169948740702</v>
      </c>
      <c r="P326" s="19">
        <f>(H326-Settings!$D$20)/Settings!$E$20</f>
        <v>-0.29253935333551229</v>
      </c>
      <c r="Q326" s="19">
        <f>(I326-Settings!$D$21)/Settings!$E$21</f>
        <v>9.3893915727476511E-4</v>
      </c>
      <c r="R326" s="19">
        <f>(J326-Settings!$D$22)/Settings!$E$22</f>
        <v>0.75312323437237583</v>
      </c>
      <c r="S326" s="19">
        <f>(K326-Settings!$D$23)/Settings!$E$23</f>
        <v>-0.74718489224861617</v>
      </c>
      <c r="T326" s="19">
        <f>(L326-Settings!$D$24)/Settings!$E$24</f>
        <v>-0.63784794277449763</v>
      </c>
      <c r="U326" s="19">
        <f>(M326-Settings!$D$25)/Settings!$E$25</f>
        <v>0.25087533130584061</v>
      </c>
      <c r="V326" s="31">
        <f>Settings!$B$18*(N326-F$6)^2</f>
        <v>1.7614000704557018E-2</v>
      </c>
      <c r="W326" s="31">
        <f>Settings!$B$19*(O326-G$6)^2</f>
        <v>0.67326940169798311</v>
      </c>
      <c r="X326" s="31">
        <f>Settings!$B$20*(P326-H$6)^2</f>
        <v>1.3046581681862732</v>
      </c>
      <c r="Y326" s="31">
        <f>Settings!$B$21*(Q326-I$6)^2</f>
        <v>0.14815138156193397</v>
      </c>
      <c r="Z326" s="31">
        <f>Settings!$B$22*(R326-J$6)^2</f>
        <v>7.2061578372027632E-2</v>
      </c>
      <c r="AA326" s="31">
        <f>Settings!$B$23*(S326-K$6)^2</f>
        <v>6.1257552953883936</v>
      </c>
      <c r="AB326" s="31">
        <f>Settings!$B$24*(T326-L$6)^2</f>
        <v>4.6831720598749911</v>
      </c>
      <c r="AC326" s="31">
        <f>Settings!$B$25*(U326-M$6)^2</f>
        <v>0.18732469267836951</v>
      </c>
      <c r="AD326" s="19">
        <f t="shared" si="16"/>
        <v>3.6348324003266685</v>
      </c>
      <c r="AE326" s="15">
        <f t="shared" si="17"/>
        <v>1.4387325620778637</v>
      </c>
      <c r="AF326" s="33">
        <f t="shared" si="18"/>
        <v>0.35523501566262244</v>
      </c>
      <c r="AG326" s="47">
        <f t="shared" si="19"/>
        <v>1.5336916126703838E-3</v>
      </c>
      <c r="AH326" s="48"/>
      <c r="AI326" s="48"/>
      <c r="AJ326" s="48"/>
      <c r="AK326" s="48"/>
      <c r="AL326" s="48"/>
      <c r="AM326" s="48"/>
      <c r="AN326" s="48"/>
      <c r="AO326" s="48"/>
      <c r="AP326" s="48"/>
      <c r="AQ326" s="48"/>
    </row>
    <row r="327" spans="1:43" ht="20" customHeight="1" x14ac:dyDescent="0.45">
      <c r="A327" s="26">
        <v>317</v>
      </c>
      <c r="B327" s="16" t="s">
        <v>543</v>
      </c>
      <c r="C327" s="16" t="s">
        <v>271</v>
      </c>
      <c r="D327" s="46">
        <v>26</v>
      </c>
      <c r="E327" s="46">
        <v>1</v>
      </c>
      <c r="F327" s="13">
        <v>0.39427328416737378</v>
      </c>
      <c r="G327" s="13">
        <v>0.28638782486357289</v>
      </c>
      <c r="H327" s="13">
        <v>3.1825783355095172E-2</v>
      </c>
      <c r="I327" s="13">
        <v>-1.1171582720217371E-5</v>
      </c>
      <c r="J327" s="13">
        <v>-0.28750193603123803</v>
      </c>
      <c r="K327" s="13">
        <v>13.056944444444451</v>
      </c>
      <c r="L327" s="13">
        <v>0.69373616782302372</v>
      </c>
      <c r="M327" s="13">
        <v>1.281104478571798</v>
      </c>
      <c r="N327" s="19">
        <f>(F327-Settings!$D$18)/Settings!$E$18</f>
        <v>0.72276943782072367</v>
      </c>
      <c r="O327" s="19">
        <f>(G327-Settings!$D$19)/Settings!$E$19</f>
        <v>1.2207991671132024</v>
      </c>
      <c r="P327" s="19">
        <f>(H327-Settings!$D$20)/Settings!$E$20</f>
        <v>-0.19299489353788091</v>
      </c>
      <c r="Q327" s="19">
        <f>(I327-Settings!$D$21)/Settings!$E$21</f>
        <v>3.6071744024176441E-2</v>
      </c>
      <c r="R327" s="19">
        <f>(J327-Settings!$D$22)/Settings!$E$22</f>
        <v>-1.440419801543585</v>
      </c>
      <c r="S327" s="19">
        <f>(K327-Settings!$D$23)/Settings!$E$23</f>
        <v>-0.76340762196758416</v>
      </c>
      <c r="T327" s="19">
        <f>(L327-Settings!$D$24)/Settings!$E$24</f>
        <v>-0.42485941278123063</v>
      </c>
      <c r="U327" s="19">
        <f>(M327-Settings!$D$25)/Settings!$E$25</f>
        <v>0.89996138666830716</v>
      </c>
      <c r="V327" s="31">
        <f>Settings!$B$18*(N327-F$6)^2</f>
        <v>9.1403208117240578E-2</v>
      </c>
      <c r="W327" s="31">
        <f>Settings!$B$19*(O327-G$6)^2</f>
        <v>0.10274766422032285</v>
      </c>
      <c r="X327" s="31">
        <f>Settings!$B$20*(P327-H$6)^2</f>
        <v>1.2049424460414095</v>
      </c>
      <c r="Y327" s="31">
        <f>Settings!$B$21*(Q327-I$6)^2</f>
        <v>0.16049337796054977</v>
      </c>
      <c r="Z327" s="31">
        <f>Settings!$B$22*(R327-J$6)^2</f>
        <v>0.50771238326759449</v>
      </c>
      <c r="AA327" s="31">
        <f>Settings!$B$23*(S327-K$6)^2</f>
        <v>6.2063218384914176</v>
      </c>
      <c r="AB327" s="31">
        <f>Settings!$B$24*(T327-L$6)^2</f>
        <v>3.8066946455844448</v>
      </c>
      <c r="AC327" s="31">
        <f>Settings!$B$25*(U327-M$6)^2</f>
        <v>1.1704995659961461</v>
      </c>
      <c r="AD327" s="19">
        <f t="shared" si="16"/>
        <v>3.6401669095907025</v>
      </c>
      <c r="AE327" s="15">
        <f t="shared" si="17"/>
        <v>1.4408440575570451</v>
      </c>
      <c r="AF327" s="33">
        <f t="shared" si="18"/>
        <v>0.3541567033026497</v>
      </c>
      <c r="AG327" s="47">
        <f t="shared" si="19"/>
        <v>1.5290361070208515E-3</v>
      </c>
      <c r="AH327" s="18">
        <v>0.33314139069292581</v>
      </c>
      <c r="AI327" s="46">
        <v>1</v>
      </c>
      <c r="AJ327" s="48"/>
      <c r="AK327" s="48"/>
      <c r="AL327" s="48"/>
      <c r="AM327" s="48"/>
      <c r="AN327" s="48"/>
      <c r="AO327" s="48"/>
      <c r="AP327" s="48"/>
      <c r="AQ327" s="48"/>
    </row>
    <row r="328" spans="1:43" ht="20" customHeight="1" x14ac:dyDescent="0.45">
      <c r="A328" s="26">
        <v>318</v>
      </c>
      <c r="B328" s="16" t="s">
        <v>544</v>
      </c>
      <c r="C328" s="16" t="s">
        <v>234</v>
      </c>
      <c r="D328" s="46">
        <v>26</v>
      </c>
      <c r="E328" s="46">
        <v>1</v>
      </c>
      <c r="F328" s="13">
        <v>0.4358470828828257</v>
      </c>
      <c r="G328" s="13">
        <v>0.40628643352570892</v>
      </c>
      <c r="H328" s="13">
        <v>-4.2519230596535142E-3</v>
      </c>
      <c r="I328" s="13">
        <v>0.1328818493164379</v>
      </c>
      <c r="J328" s="13">
        <v>-2.073271121537414E-2</v>
      </c>
      <c r="K328" s="13">
        <v>14.550131233595771</v>
      </c>
      <c r="L328" s="13">
        <v>0.65334406646154819</v>
      </c>
      <c r="M328" s="13">
        <v>-2.4431064187281661</v>
      </c>
      <c r="N328" s="19">
        <f>(F328-Settings!$D$18)/Settings!$E$18</f>
        <v>0.87155947178139737</v>
      </c>
      <c r="O328" s="19">
        <f>(G328-Settings!$D$19)/Settings!$E$19</f>
        <v>1.7203120526315536</v>
      </c>
      <c r="P328" s="19">
        <f>(H328-Settings!$D$20)/Settings!$E$20</f>
        <v>-0.51986585133243179</v>
      </c>
      <c r="Q328" s="19">
        <f>(I328-Settings!$D$21)/Settings!$E$21</f>
        <v>1.6702980926219835</v>
      </c>
      <c r="R328" s="19">
        <f>(J328-Settings!$D$22)/Settings!$E$22</f>
        <v>-0.72266464252537288</v>
      </c>
      <c r="S328" s="19">
        <f>(K328-Settings!$D$23)/Settings!$E$23</f>
        <v>-0.24485819522795807</v>
      </c>
      <c r="T328" s="19">
        <f>(L328-Settings!$D$24)/Settings!$E$24</f>
        <v>-0.45278468183503151</v>
      </c>
      <c r="U328" s="19">
        <f>(M328-Settings!$D$25)/Settings!$E$25</f>
        <v>-1.6116879208798112</v>
      </c>
      <c r="V328" s="31">
        <f>Settings!$B$18*(N328-F$6)^2</f>
        <v>0.13606549071823984</v>
      </c>
      <c r="W328" s="31">
        <f>Settings!$B$19*(O328-G$6)^2</f>
        <v>0.29586171446925719</v>
      </c>
      <c r="X328" s="31">
        <f>Settings!$B$20*(P328-H$6)^2</f>
        <v>1.5472370585526356</v>
      </c>
      <c r="Y328" s="31">
        <f>Settings!$B$21*(Q328-I$6)^2</f>
        <v>1.2802118897917023</v>
      </c>
      <c r="Z328" s="31">
        <f>Settings!$B$22*(R328-J$6)^2</f>
        <v>0.1533110307819934</v>
      </c>
      <c r="AA328" s="31">
        <f>Settings!$B$23*(S328-K$6)^2</f>
        <v>3.8915438110277196</v>
      </c>
      <c r="AB328" s="31">
        <f>Settings!$B$24*(T328-L$6)^2</f>
        <v>3.9164430690435124</v>
      </c>
      <c r="AC328" s="31">
        <f>Settings!$B$25*(U328-M$6)^2</f>
        <v>2.0441937127547334</v>
      </c>
      <c r="AD328" s="19">
        <f t="shared" si="16"/>
        <v>3.6420966183147581</v>
      </c>
      <c r="AE328" s="15">
        <f t="shared" si="17"/>
        <v>1.4416078712548583</v>
      </c>
      <c r="AF328" s="33">
        <f t="shared" si="18"/>
        <v>0.35376705214889764</v>
      </c>
      <c r="AG328" s="47">
        <f t="shared" si="19"/>
        <v>1.527353827177852E-3</v>
      </c>
      <c r="AH328" s="18">
        <v>-0.3760971863210622</v>
      </c>
      <c r="AI328" s="46">
        <v>1</v>
      </c>
      <c r="AJ328" s="18">
        <v>0.76563298078503084</v>
      </c>
      <c r="AK328" s="46">
        <v>1</v>
      </c>
      <c r="AL328" s="18">
        <v>-0.23479902601629579</v>
      </c>
      <c r="AM328" s="46">
        <v>1</v>
      </c>
      <c r="AN328" s="18">
        <v>0.29592138152437658</v>
      </c>
      <c r="AO328" s="46">
        <v>1</v>
      </c>
      <c r="AP328" s="18">
        <v>0.53188532787706766</v>
      </c>
      <c r="AQ328" s="46">
        <v>1</v>
      </c>
    </row>
    <row r="329" spans="1:43" ht="20" customHeight="1" x14ac:dyDescent="0.45">
      <c r="A329" s="26">
        <v>319</v>
      </c>
      <c r="B329" s="16" t="s">
        <v>545</v>
      </c>
      <c r="C329" s="16" t="s">
        <v>236</v>
      </c>
      <c r="D329" s="46">
        <v>26</v>
      </c>
      <c r="E329" s="46">
        <v>0</v>
      </c>
      <c r="F329" s="13">
        <v>-0.14572057388052251</v>
      </c>
      <c r="G329" s="13">
        <v>3.491960153975824E-2</v>
      </c>
      <c r="H329" s="13">
        <v>-1.679355457624936E-3</v>
      </c>
      <c r="I329" s="13">
        <v>-0.12828917316853511</v>
      </c>
      <c r="J329" s="13">
        <v>0.68939129595355908</v>
      </c>
      <c r="K329" s="13">
        <v>12.53108108108111</v>
      </c>
      <c r="L329" s="13">
        <v>1.286006103125652</v>
      </c>
      <c r="M329" s="13">
        <v>-2.2530432946880361</v>
      </c>
      <c r="N329" s="19">
        <f>(F329-Settings!$D$18)/Settings!$E$18</f>
        <v>-1.2098349178076981</v>
      </c>
      <c r="O329" s="19">
        <f>(G329-Settings!$D$19)/Settings!$E$19</f>
        <v>0.17315049753927447</v>
      </c>
      <c r="P329" s="19">
        <f>(H329-Settings!$D$20)/Settings!$E$20</f>
        <v>-0.49655789415801033</v>
      </c>
      <c r="Q329" s="19">
        <f>(I329-Settings!$D$21)/Settings!$E$21</f>
        <v>-1.5414022927507525</v>
      </c>
      <c r="R329" s="19">
        <f>(J329-Settings!$D$22)/Settings!$E$22</f>
        <v>1.1879574318162316</v>
      </c>
      <c r="S329" s="19">
        <f>(K329-Settings!$D$23)/Settings!$E$23</f>
        <v>-0.94602787255955334</v>
      </c>
      <c r="T329" s="19">
        <f>(L329-Settings!$D$24)/Settings!$E$24</f>
        <v>-1.5390810299021519E-2</v>
      </c>
      <c r="U329" s="19">
        <f>(M329-Settings!$D$25)/Settings!$E$25</f>
        <v>-1.4835072331985852</v>
      </c>
      <c r="V329" s="31">
        <f>Settings!$B$18*(N329-F$6)^2</f>
        <v>0.31579601567188853</v>
      </c>
      <c r="W329" s="31">
        <f>Settings!$B$19*(O329-G$6)^2</f>
        <v>2.1898069538151693E-2</v>
      </c>
      <c r="X329" s="31">
        <f>Settings!$B$20*(P329-H$6)^2</f>
        <v>1.5214142110104705</v>
      </c>
      <c r="Y329" s="31">
        <f>Settings!$B$21*(Q329-I$6)^2</f>
        <v>9.2934490733480313E-2</v>
      </c>
      <c r="Z329" s="31">
        <f>Settings!$B$22*(R329-J$6)^2</f>
        <v>0.21428255937732757</v>
      </c>
      <c r="AA329" s="31">
        <f>Settings!$B$23*(S329-K$6)^2</f>
        <v>7.1495770467002391</v>
      </c>
      <c r="AB329" s="31">
        <f>Settings!$B$24*(T329-L$6)^2</f>
        <v>2.3765510670662304</v>
      </c>
      <c r="AC329" s="31">
        <f>Settings!$B$25*(U329-M$6)^2</f>
        <v>1.6940905495084018</v>
      </c>
      <c r="AD329" s="19">
        <f t="shared" si="16"/>
        <v>3.6587626336790682</v>
      </c>
      <c r="AE329" s="15">
        <f t="shared" si="17"/>
        <v>1.4482045822841116</v>
      </c>
      <c r="AF329" s="33">
        <f t="shared" si="18"/>
        <v>0.35041109518713842</v>
      </c>
      <c r="AG329" s="47">
        <f t="shared" si="19"/>
        <v>1.5128648190063682E-3</v>
      </c>
      <c r="AH329" s="18">
        <v>-0.60354393027957098</v>
      </c>
      <c r="AI329" s="46">
        <v>1</v>
      </c>
      <c r="AJ329" s="18">
        <v>0.33074666384855073</v>
      </c>
      <c r="AK329" s="46">
        <v>1</v>
      </c>
      <c r="AL329" s="18">
        <v>-0.96500114935866377</v>
      </c>
      <c r="AM329" s="46">
        <v>1</v>
      </c>
      <c r="AN329" s="18">
        <v>-0.55695633235505482</v>
      </c>
      <c r="AO329" s="46">
        <v>1</v>
      </c>
      <c r="AP329" s="18">
        <v>0.76676623775241681</v>
      </c>
      <c r="AQ329" s="46">
        <v>1</v>
      </c>
    </row>
    <row r="330" spans="1:43" ht="20" customHeight="1" x14ac:dyDescent="0.45">
      <c r="A330" s="26">
        <v>320</v>
      </c>
      <c r="B330" s="16" t="s">
        <v>546</v>
      </c>
      <c r="C330" s="16" t="s">
        <v>229</v>
      </c>
      <c r="D330" s="46">
        <v>26</v>
      </c>
      <c r="E330" s="46">
        <v>1</v>
      </c>
      <c r="F330" s="13">
        <v>3.818750837667495E-2</v>
      </c>
      <c r="G330" s="13">
        <v>-0.35831309328419297</v>
      </c>
      <c r="H330" s="13">
        <v>-3.6122712505933748E-2</v>
      </c>
      <c r="I330" s="13">
        <v>-1.260219606938332E-2</v>
      </c>
      <c r="J330" s="13">
        <v>0.55477448976381494</v>
      </c>
      <c r="K330" s="13">
        <v>15.08586497890291</v>
      </c>
      <c r="L330" s="13">
        <v>0.60383782537326436</v>
      </c>
      <c r="M330" s="13">
        <v>-2.9850837036406181</v>
      </c>
      <c r="N330" s="19">
        <f>(F330-Settings!$D$18)/Settings!$E$18</f>
        <v>-0.55163935593520597</v>
      </c>
      <c r="O330" s="19">
        <f>(G330-Settings!$D$19)/Settings!$E$19</f>
        <v>-1.4651070290778805</v>
      </c>
      <c r="P330" s="19">
        <f>(H330-Settings!$D$20)/Settings!$E$20</f>
        <v>-0.80862133241022327</v>
      </c>
      <c r="Q330" s="19">
        <f>(I330-Settings!$D$21)/Settings!$E$21</f>
        <v>-0.11876395639653219</v>
      </c>
      <c r="R330" s="19">
        <f>(J330-Settings!$D$22)/Settings!$E$22</f>
        <v>0.82576457692475591</v>
      </c>
      <c r="S330" s="19">
        <f>(K330-Settings!$D$23)/Settings!$E$23</f>
        <v>-5.8810188017831978E-2</v>
      </c>
      <c r="T330" s="19">
        <f>(L330-Settings!$D$24)/Settings!$E$24</f>
        <v>-0.48701105421067648</v>
      </c>
      <c r="U330" s="19">
        <f>(M330-Settings!$D$25)/Settings!$E$25</f>
        <v>-1.977203438098257</v>
      </c>
      <c r="V330" s="31">
        <f>Settings!$B$18*(N330-F$6)^2</f>
        <v>7.1611528273157476E-2</v>
      </c>
      <c r="W330" s="31">
        <f>Settings!$B$19*(O330-G$6)^2</f>
        <v>0.77551096191764568</v>
      </c>
      <c r="X330" s="31">
        <f>Settings!$B$20*(P330-H$6)^2</f>
        <v>1.8851707882969853</v>
      </c>
      <c r="Y330" s="31">
        <f>Settings!$B$21*(Q330-I$6)^2</f>
        <v>0.10980714885287224</v>
      </c>
      <c r="Z330" s="31">
        <f>Settings!$B$22*(R330-J$6)^2</f>
        <v>9.0558307146839545E-2</v>
      </c>
      <c r="AA330" s="31">
        <f>Settings!$B$23*(S330-K$6)^2</f>
        <v>3.1921240038516383</v>
      </c>
      <c r="AB330" s="31">
        <f>Settings!$B$24*(T330-L$6)^2</f>
        <v>4.0530825312559617</v>
      </c>
      <c r="AC330" s="31">
        <f>Settings!$B$25*(U330-M$6)^2</f>
        <v>3.2229891390032055</v>
      </c>
      <c r="AD330" s="19">
        <f t="shared" si="16"/>
        <v>3.6607177450055208</v>
      </c>
      <c r="AE330" s="15">
        <f t="shared" si="17"/>
        <v>1.4489784507924925</v>
      </c>
      <c r="AF330" s="33">
        <f t="shared" si="18"/>
        <v>0.35001849766264792</v>
      </c>
      <c r="AG330" s="47">
        <f t="shared" si="19"/>
        <v>1.5111698185027069E-3</v>
      </c>
      <c r="AH330" s="18">
        <v>-1.060929510282383</v>
      </c>
      <c r="AI330" s="46">
        <v>1</v>
      </c>
      <c r="AJ330" s="18">
        <v>0.81887938644125091</v>
      </c>
      <c r="AK330" s="46">
        <v>1</v>
      </c>
      <c r="AL330" s="18">
        <v>0.72470345333705932</v>
      </c>
      <c r="AM330" s="46">
        <v>1</v>
      </c>
      <c r="AN330" s="48"/>
      <c r="AO330" s="48"/>
      <c r="AP330" s="48"/>
      <c r="AQ330" s="48"/>
    </row>
    <row r="331" spans="1:43" ht="20" customHeight="1" x14ac:dyDescent="0.45">
      <c r="A331" s="26">
        <v>321</v>
      </c>
      <c r="B331" s="16" t="s">
        <v>547</v>
      </c>
      <c r="C331" s="16" t="s">
        <v>229</v>
      </c>
      <c r="D331" s="46">
        <v>26</v>
      </c>
      <c r="E331" s="46">
        <v>1</v>
      </c>
      <c r="F331" s="13">
        <v>0.2129399094036821</v>
      </c>
      <c r="G331" s="13">
        <v>0.35466774106186222</v>
      </c>
      <c r="H331" s="13">
        <v>-1.380382942895414E-2</v>
      </c>
      <c r="I331" s="13">
        <v>0.3025010770315773</v>
      </c>
      <c r="J331" s="13">
        <v>0.1160874430739242</v>
      </c>
      <c r="K331" s="13">
        <v>14.61220806794058</v>
      </c>
      <c r="L331" s="13">
        <v>0.84124545382535798</v>
      </c>
      <c r="M331" s="13">
        <v>-0.65190072185008041</v>
      </c>
      <c r="N331" s="19">
        <f>(F331-Settings!$D$18)/Settings!$E$18</f>
        <v>7.3788593564477145E-2</v>
      </c>
      <c r="O331" s="19">
        <f>(G331-Settings!$D$19)/Settings!$E$19</f>
        <v>1.5052620007001078</v>
      </c>
      <c r="P331" s="19">
        <f>(H331-Settings!$D$20)/Settings!$E$20</f>
        <v>-0.60640795985241192</v>
      </c>
      <c r="Q331" s="19">
        <f>(I331-Settings!$D$21)/Settings!$E$21</f>
        <v>3.7561579014018158</v>
      </c>
      <c r="R331" s="19">
        <f>(J331-Settings!$D$22)/Settings!$E$22</f>
        <v>-0.35454357583712937</v>
      </c>
      <c r="S331" s="19">
        <f>(K331-Settings!$D$23)/Settings!$E$23</f>
        <v>-0.22330033850354425</v>
      </c>
      <c r="T331" s="19">
        <f>(L331-Settings!$D$24)/Settings!$E$24</f>
        <v>-0.32287817484845949</v>
      </c>
      <c r="U331" s="19">
        <f>(M331-Settings!$D$25)/Settings!$E$25</f>
        <v>-0.40367884934689746</v>
      </c>
      <c r="V331" s="31">
        <f>Settings!$B$18*(N331-F$6)^2</f>
        <v>1.4632720158337868E-4</v>
      </c>
      <c r="W331" s="31">
        <f>Settings!$B$19*(O331-G$6)^2</f>
        <v>0.20048759519062123</v>
      </c>
      <c r="X331" s="31">
        <f>Settings!$B$20*(P331-H$6)^2</f>
        <v>1.6450182499648816</v>
      </c>
      <c r="Y331" s="31">
        <f>Settings!$B$21*(Q331-I$6)^2</f>
        <v>4.2612905360450339</v>
      </c>
      <c r="Z331" s="31">
        <f>Settings!$B$22*(R331-J$6)^2</f>
        <v>5.1493040174227102E-2</v>
      </c>
      <c r="AA331" s="31">
        <f>Settings!$B$23*(S331-K$6)^2</f>
        <v>3.8069542004561221</v>
      </c>
      <c r="AB331" s="31">
        <f>Settings!$B$24*(T331-L$6)^2</f>
        <v>3.4191486791309424</v>
      </c>
      <c r="AC331" s="31">
        <f>Settings!$B$25*(U331-M$6)^2</f>
        <v>4.9170380939240033E-2</v>
      </c>
      <c r="AD331" s="19">
        <f t="shared" ref="AD331:AD394" si="20">SQRT(SUM(V331:AC331))</f>
        <v>3.665202451311885</v>
      </c>
      <c r="AE331" s="15">
        <f t="shared" ref="AE331:AE394" si="21">AD331/Yardstick</f>
        <v>1.4507535788544472</v>
      </c>
      <c r="AF331" s="33">
        <f t="shared" ref="AF331:AF394" si="22">EXP(-(AD331^2)/(2*Yardstick^2))</f>
        <v>0.3491188140616015</v>
      </c>
      <c r="AG331" s="47">
        <f t="shared" ref="AG331:AG394" si="23">AF331/$E$7</f>
        <v>1.5072855246348626E-3</v>
      </c>
      <c r="AH331" s="18">
        <v>-0.13605121202181469</v>
      </c>
      <c r="AI331" s="46">
        <v>1</v>
      </c>
      <c r="AJ331" s="18">
        <v>-0.22629651970958409</v>
      </c>
      <c r="AK331" s="46">
        <v>1</v>
      </c>
      <c r="AL331" s="18">
        <v>-0.48824411547347107</v>
      </c>
      <c r="AM331" s="46">
        <v>1</v>
      </c>
      <c r="AN331" s="48"/>
      <c r="AO331" s="48"/>
      <c r="AP331" s="48"/>
      <c r="AQ331" s="48"/>
    </row>
    <row r="332" spans="1:43" ht="20" customHeight="1" x14ac:dyDescent="0.45">
      <c r="A332" s="26">
        <v>322</v>
      </c>
      <c r="B332" s="16" t="s">
        <v>548</v>
      </c>
      <c r="C332" s="16" t="s">
        <v>246</v>
      </c>
      <c r="D332" s="46">
        <v>26</v>
      </c>
      <c r="E332" s="46">
        <v>1</v>
      </c>
      <c r="F332" s="13">
        <v>-5.6449199928922771E-2</v>
      </c>
      <c r="G332" s="13">
        <v>0.1253955303776598</v>
      </c>
      <c r="H332" s="13">
        <v>-1.972871173458568E-3</v>
      </c>
      <c r="I332" s="13">
        <v>9.414317935841876E-2</v>
      </c>
      <c r="J332" s="13">
        <v>0.72203921916154012</v>
      </c>
      <c r="K332" s="13">
        <v>12.34333333333336</v>
      </c>
      <c r="L332" s="13">
        <v>1.020134332100961</v>
      </c>
      <c r="M332" s="13">
        <v>-0.92281011411768377</v>
      </c>
      <c r="N332" s="19">
        <f>(F332-Settings!$D$18)/Settings!$E$18</f>
        <v>-0.89033823546489155</v>
      </c>
      <c r="O332" s="19">
        <f>(G332-Settings!$D$19)/Settings!$E$19</f>
        <v>0.55008474880423897</v>
      </c>
      <c r="P332" s="19">
        <f>(H332-Settings!$D$20)/Settings!$E$20</f>
        <v>-0.49921720298599809</v>
      </c>
      <c r="Q332" s="19">
        <f>(I332-Settings!$D$21)/Settings!$E$21</f>
        <v>1.1939167542590881</v>
      </c>
      <c r="R332" s="19">
        <f>(J332-Settings!$D$22)/Settings!$E$22</f>
        <v>1.2757982062906241</v>
      </c>
      <c r="S332" s="19">
        <f>(K332-Settings!$D$23)/Settings!$E$23</f>
        <v>-1.0112283469232368</v>
      </c>
      <c r="T332" s="19">
        <f>(L332-Settings!$D$24)/Settings!$E$24</f>
        <v>-0.19920250836423478</v>
      </c>
      <c r="U332" s="19">
        <f>(M332-Settings!$D$25)/Settings!$E$25</f>
        <v>-0.58638316074626418</v>
      </c>
      <c r="V332" s="31">
        <f>Settings!$B$18*(N332-F$6)^2</f>
        <v>0.17562305740053927</v>
      </c>
      <c r="W332" s="31">
        <f>Settings!$B$19*(O332-G$6)^2</f>
        <v>4.2395462605390022E-4</v>
      </c>
      <c r="X332" s="31">
        <f>Settings!$B$20*(P332-H$6)^2</f>
        <v>1.5243494726747249</v>
      </c>
      <c r="Y332" s="31">
        <f>Settings!$B$21*(Q332-I$6)^2</f>
        <v>0.84349580668877222</v>
      </c>
      <c r="Z332" s="31">
        <f>Settings!$B$22*(R332-J$6)^2</f>
        <v>0.25219502787821108</v>
      </c>
      <c r="AA332" s="31">
        <f>Settings!$B$23*(S332-K$6)^2</f>
        <v>7.5025032423727742</v>
      </c>
      <c r="AB332" s="31">
        <f>Settings!$B$24*(T332-L$6)^2</f>
        <v>2.9770684800282718</v>
      </c>
      <c r="AC332" s="31">
        <f>Settings!$B$25*(U332-M$6)^2</f>
        <v>0.16357839902649093</v>
      </c>
      <c r="AD332" s="19">
        <f t="shared" si="20"/>
        <v>3.6659565519378212</v>
      </c>
      <c r="AE332" s="15">
        <f t="shared" si="21"/>
        <v>1.4510520655537293</v>
      </c>
      <c r="AF332" s="33">
        <f t="shared" si="22"/>
        <v>0.34896765209795139</v>
      </c>
      <c r="AG332" s="47">
        <f t="shared" si="23"/>
        <v>1.506632897991702E-3</v>
      </c>
      <c r="AH332" s="18">
        <v>-0.86381562062192718</v>
      </c>
      <c r="AI332" s="46">
        <v>1</v>
      </c>
      <c r="AJ332" s="48"/>
      <c r="AK332" s="48"/>
      <c r="AL332" s="48"/>
      <c r="AM332" s="48"/>
      <c r="AN332" s="48"/>
      <c r="AO332" s="48"/>
      <c r="AP332" s="48"/>
      <c r="AQ332" s="48"/>
    </row>
    <row r="333" spans="1:43" ht="20" customHeight="1" x14ac:dyDescent="0.45">
      <c r="A333" s="26">
        <v>323</v>
      </c>
      <c r="B333" s="16" t="s">
        <v>549</v>
      </c>
      <c r="C333" s="16" t="s">
        <v>220</v>
      </c>
      <c r="D333" s="46">
        <v>26</v>
      </c>
      <c r="E333" s="46">
        <v>1</v>
      </c>
      <c r="F333" s="13">
        <v>0.19512677181464169</v>
      </c>
      <c r="G333" s="13">
        <v>0.66564116629367598</v>
      </c>
      <c r="H333" s="13">
        <v>3.241411435813803E-3</v>
      </c>
      <c r="I333" s="13">
        <v>-7.9235850168493618E-2</v>
      </c>
      <c r="J333" s="13">
        <v>-5.6754800287374778E-2</v>
      </c>
      <c r="K333" s="13">
        <v>12.362083333333331</v>
      </c>
      <c r="L333" s="13">
        <v>0.88706657713278791</v>
      </c>
      <c r="M333" s="13">
        <v>-0.2293675290102537</v>
      </c>
      <c r="N333" s="19">
        <f>(F333-Settings!$D$18)/Settings!$E$18</f>
        <v>1.0036484574870152E-2</v>
      </c>
      <c r="O333" s="19">
        <f>(G333-Settings!$D$19)/Settings!$E$19</f>
        <v>2.800816925735059</v>
      </c>
      <c r="P333" s="19">
        <f>(H333-Settings!$D$20)/Settings!$E$20</f>
        <v>-0.45197479984898586</v>
      </c>
      <c r="Q333" s="19">
        <f>(I333-Settings!$D$21)/Settings!$E$21</f>
        <v>-0.93817849370883866</v>
      </c>
      <c r="R333" s="19">
        <f>(J333-Settings!$D$22)/Settings!$E$22</f>
        <v>-0.8195837691146125</v>
      </c>
      <c r="S333" s="19">
        <f>(K333-Settings!$D$23)/Settings!$E$23</f>
        <v>-1.0047169031963079</v>
      </c>
      <c r="T333" s="19">
        <f>(L333-Settings!$D$24)/Settings!$E$24</f>
        <v>-0.291199525964701</v>
      </c>
      <c r="U333" s="19">
        <f>(M333-Settings!$D$25)/Settings!$E$25</f>
        <v>-0.1187177581311311</v>
      </c>
      <c r="V333" s="31">
        <f>Settings!$B$18*(N333-F$6)^2</f>
        <v>2.6942700518963039E-4</v>
      </c>
      <c r="W333" s="31">
        <f>Settings!$B$19*(O333-G$6)^2</f>
        <v>1.055033399759097</v>
      </c>
      <c r="X333" s="31">
        <f>Settings!$B$20*(P333-H$6)^2</f>
        <v>1.4726260325458285</v>
      </c>
      <c r="Y333" s="31">
        <f>Settings!$B$21*(Q333-I$6)^2</f>
        <v>1.2307259544345835E-3</v>
      </c>
      <c r="Z333" s="31">
        <f>Settings!$B$22*(R333-J$6)^2</f>
        <v>0.18913198790012015</v>
      </c>
      <c r="AA333" s="31">
        <f>Settings!$B$23*(S333-K$6)^2</f>
        <v>7.4668750438401936</v>
      </c>
      <c r="AB333" s="31">
        <f>Settings!$B$24*(T333-L$6)^2</f>
        <v>3.3029986157692055</v>
      </c>
      <c r="AC333" s="31">
        <f>Settings!$B$25*(U333-M$6)^2</f>
        <v>3.9964064937243514E-3</v>
      </c>
      <c r="AD333" s="19">
        <f t="shared" si="20"/>
        <v>3.6731677935084579</v>
      </c>
      <c r="AE333" s="15">
        <f t="shared" si="21"/>
        <v>1.4539064057042552</v>
      </c>
      <c r="AF333" s="33">
        <f t="shared" si="22"/>
        <v>0.34752387257687889</v>
      </c>
      <c r="AG333" s="47">
        <f t="shared" si="23"/>
        <v>1.5003995244660551E-3</v>
      </c>
      <c r="AH333" s="18">
        <v>-0.81424510227685554</v>
      </c>
      <c r="AI333" s="46">
        <v>1</v>
      </c>
      <c r="AJ333" s="18">
        <v>0.153617484526507</v>
      </c>
      <c r="AK333" s="46">
        <v>1</v>
      </c>
      <c r="AL333" s="18">
        <v>0.1001463347554971</v>
      </c>
      <c r="AM333" s="46">
        <v>1</v>
      </c>
      <c r="AN333" s="18">
        <v>-0.61964895343496529</v>
      </c>
      <c r="AO333" s="46">
        <v>1</v>
      </c>
      <c r="AP333" s="48"/>
      <c r="AQ333" s="48"/>
    </row>
    <row r="334" spans="1:43" ht="20" customHeight="1" x14ac:dyDescent="0.45">
      <c r="A334" s="26">
        <v>324</v>
      </c>
      <c r="B334" s="16" t="s">
        <v>550</v>
      </c>
      <c r="C334" s="16" t="s">
        <v>229</v>
      </c>
      <c r="D334" s="46">
        <v>26</v>
      </c>
      <c r="E334" s="46">
        <v>1</v>
      </c>
      <c r="F334" s="13">
        <v>-1.2437920927638171E-3</v>
      </c>
      <c r="G334" s="13">
        <v>0.51923987354134271</v>
      </c>
      <c r="H334" s="13">
        <v>-5.4645683498917921E-4</v>
      </c>
      <c r="I334" s="13">
        <v>0.1149901805673282</v>
      </c>
      <c r="J334" s="13">
        <v>-0.36397969696357602</v>
      </c>
      <c r="K334" s="13">
        <v>13.79509202453988</v>
      </c>
      <c r="L334" s="13">
        <v>0.53867052067192478</v>
      </c>
      <c r="M334" s="13">
        <v>0.6206903201651004</v>
      </c>
      <c r="N334" s="19">
        <f>(F334-Settings!$D$18)/Settings!$E$18</f>
        <v>-0.69276152223319953</v>
      </c>
      <c r="O334" s="19">
        <f>(G334-Settings!$D$19)/Settings!$E$19</f>
        <v>2.1908904803631444</v>
      </c>
      <c r="P334" s="19">
        <f>(H334-Settings!$D$20)/Settings!$E$20</f>
        <v>-0.48629361478259819</v>
      </c>
      <c r="Q334" s="19">
        <f>(I334-Settings!$D$21)/Settings!$E$21</f>
        <v>1.4502787395186612</v>
      </c>
      <c r="R334" s="19">
        <f>(J334-Settings!$D$22)/Settings!$E$22</f>
        <v>-1.646186817949755</v>
      </c>
      <c r="S334" s="19">
        <f>(K334-Settings!$D$23)/Settings!$E$23</f>
        <v>-0.50706594570263475</v>
      </c>
      <c r="T334" s="19">
        <f>(L334-Settings!$D$24)/Settings!$E$24</f>
        <v>-0.53206477649687567</v>
      </c>
      <c r="U334" s="19">
        <f>(M334-Settings!$D$25)/Settings!$E$25</f>
        <v>0.45457072287434047</v>
      </c>
      <c r="V334" s="31">
        <f>Settings!$B$18*(N334-F$6)^2</f>
        <v>0.10937244781717836</v>
      </c>
      <c r="W334" s="31">
        <f>Settings!$B$19*(O334-G$6)^2</f>
        <v>0.56909037511866745</v>
      </c>
      <c r="X334" s="31">
        <f>Settings!$B$20*(P334-H$6)^2</f>
        <v>1.5101113516808891</v>
      </c>
      <c r="Y334" s="31">
        <f>Settings!$B$21*(Q334-I$6)^2</f>
        <v>1.0672312343471069</v>
      </c>
      <c r="Z334" s="31">
        <f>Settings!$B$22*(R334-J$6)^2</f>
        <v>0.64731872119874723</v>
      </c>
      <c r="AA334" s="31">
        <f>Settings!$B$23*(S334-K$6)^2</f>
        <v>4.994810977577135</v>
      </c>
      <c r="AB334" s="31">
        <f>Settings!$B$24*(T334-L$6)^2</f>
        <v>4.2365191000119715</v>
      </c>
      <c r="AC334" s="31">
        <f>Settings!$B$25*(U334-M$6)^2</f>
        <v>0.40513940259071068</v>
      </c>
      <c r="AD334" s="19">
        <f t="shared" si="20"/>
        <v>3.679618677301006</v>
      </c>
      <c r="AE334" s="15">
        <f t="shared" si="21"/>
        <v>1.4564597824612373</v>
      </c>
      <c r="AF334" s="33">
        <f t="shared" si="22"/>
        <v>0.3462349981840338</v>
      </c>
      <c r="AG334" s="47">
        <f t="shared" si="23"/>
        <v>1.4948349383218516E-3</v>
      </c>
      <c r="AH334" s="18">
        <v>0.91930401450754828</v>
      </c>
      <c r="AI334" s="46">
        <v>1</v>
      </c>
      <c r="AJ334" s="18">
        <v>0.43975366623350798</v>
      </c>
      <c r="AK334" s="46">
        <v>1</v>
      </c>
      <c r="AL334" s="48"/>
      <c r="AM334" s="48"/>
      <c r="AN334" s="48"/>
      <c r="AO334" s="48"/>
      <c r="AP334" s="48"/>
      <c r="AQ334" s="48"/>
    </row>
    <row r="335" spans="1:43" ht="20" customHeight="1" x14ac:dyDescent="0.45">
      <c r="A335" s="26">
        <v>325</v>
      </c>
      <c r="B335" s="16" t="s">
        <v>551</v>
      </c>
      <c r="C335" s="16" t="s">
        <v>236</v>
      </c>
      <c r="D335" s="46">
        <v>26</v>
      </c>
      <c r="E335" s="46">
        <v>0</v>
      </c>
      <c r="F335" s="13">
        <v>0.54659234967261383</v>
      </c>
      <c r="G335" s="13">
        <v>6.380874859422421E-2</v>
      </c>
      <c r="H335" s="13">
        <v>-1.4605554360111021E-3</v>
      </c>
      <c r="I335" s="13">
        <v>-0.2505610460354174</v>
      </c>
      <c r="J335" s="13">
        <v>0.13757730026173351</v>
      </c>
      <c r="K335" s="13">
        <v>13.32818428184282</v>
      </c>
      <c r="L335" s="13">
        <v>0.36404651607149779</v>
      </c>
      <c r="M335" s="13">
        <v>0.39518385325140332</v>
      </c>
      <c r="N335" s="19">
        <f>(F335-Settings!$D$18)/Settings!$E$18</f>
        <v>1.267909877945077</v>
      </c>
      <c r="O335" s="19">
        <f>(G335-Settings!$D$19)/Settings!$E$19</f>
        <v>0.29350636627169813</v>
      </c>
      <c r="P335" s="19">
        <f>(H335-Settings!$D$20)/Settings!$E$20</f>
        <v>-0.49457552388734521</v>
      </c>
      <c r="Q335" s="19">
        <f>(I335-Settings!$D$21)/Settings!$E$21</f>
        <v>-3.0450171175133538</v>
      </c>
      <c r="R335" s="19">
        <f>(J335-Settings!$D$22)/Settings!$E$22</f>
        <v>-0.29672410331828325</v>
      </c>
      <c r="S335" s="19">
        <f>(K335-Settings!$D$23)/Settings!$E$23</f>
        <v>-0.6692122652889898</v>
      </c>
      <c r="T335" s="19">
        <f>(L335-Settings!$D$24)/Settings!$E$24</f>
        <v>-0.65279190252775932</v>
      </c>
      <c r="U335" s="19">
        <f>(M335-Settings!$D$25)/Settings!$E$25</f>
        <v>0.30248665000885305</v>
      </c>
      <c r="V335" s="31">
        <f>Settings!$B$18*(N335-F$6)^2</f>
        <v>0.29825126078927167</v>
      </c>
      <c r="W335" s="31">
        <f>Settings!$B$19*(O335-G$6)^2</f>
        <v>8.8651983924094378E-3</v>
      </c>
      <c r="X335" s="31">
        <f>Settings!$B$20*(P335-H$6)^2</f>
        <v>1.5192279731961775</v>
      </c>
      <c r="Y335" s="31">
        <f>Settings!$B$21*(Q335-I$6)^2</f>
        <v>0.95509296874304361</v>
      </c>
      <c r="Z335" s="31">
        <f>Settings!$B$22*(R335-J$6)^2</f>
        <v>4.042638036211936E-2</v>
      </c>
      <c r="AA335" s="31">
        <f>Settings!$B$23*(S335-K$6)^2</f>
        <v>5.7458664176771919</v>
      </c>
      <c r="AB335" s="31">
        <f>Settings!$B$24*(T335-L$6)^2</f>
        <v>4.748074745981981</v>
      </c>
      <c r="AC335" s="31">
        <f>Settings!$B$25*(U335-M$6)^2</f>
        <v>0.23466423403372094</v>
      </c>
      <c r="AD335" s="19">
        <f t="shared" si="20"/>
        <v>3.6810961926002306</v>
      </c>
      <c r="AE335" s="15">
        <f t="shared" si="21"/>
        <v>1.45704460980342</v>
      </c>
      <c r="AF335" s="33">
        <f t="shared" si="22"/>
        <v>0.34594014940728379</v>
      </c>
      <c r="AG335" s="47">
        <f t="shared" si="23"/>
        <v>1.4935619582495912E-3</v>
      </c>
      <c r="AH335" s="18">
        <v>1.221815390147786</v>
      </c>
      <c r="AI335" s="46">
        <v>1</v>
      </c>
      <c r="AJ335" s="18">
        <v>0.64494073959111575</v>
      </c>
      <c r="AK335" s="46">
        <v>1</v>
      </c>
      <c r="AL335" s="18">
        <v>-0.71882887529909478</v>
      </c>
      <c r="AM335" s="46">
        <v>1</v>
      </c>
      <c r="AN335" s="18">
        <v>-0.79918415901774698</v>
      </c>
      <c r="AO335" s="46">
        <v>1</v>
      </c>
      <c r="AP335" s="18">
        <v>-1.3125067119309171</v>
      </c>
      <c r="AQ335" s="46">
        <v>1</v>
      </c>
    </row>
    <row r="336" spans="1:43" ht="20" customHeight="1" x14ac:dyDescent="0.45">
      <c r="A336" s="26">
        <v>326</v>
      </c>
      <c r="B336" s="16" t="s">
        <v>552</v>
      </c>
      <c r="C336" s="16" t="s">
        <v>229</v>
      </c>
      <c r="D336" s="46">
        <v>26</v>
      </c>
      <c r="E336" s="46">
        <v>1</v>
      </c>
      <c r="F336" s="13">
        <v>9.0635351150209778E-2</v>
      </c>
      <c r="G336" s="13">
        <v>-0.27191093650836429</v>
      </c>
      <c r="H336" s="13">
        <v>5.8397037934515762E-2</v>
      </c>
      <c r="I336" s="13">
        <v>-1.667883030716215E-4</v>
      </c>
      <c r="J336" s="13">
        <v>0.57888988610383862</v>
      </c>
      <c r="K336" s="13">
        <v>12.370254629629629</v>
      </c>
      <c r="L336" s="13">
        <v>0.5939341793798566</v>
      </c>
      <c r="M336" s="13">
        <v>0.44986709295210597</v>
      </c>
      <c r="N336" s="19">
        <f>(F336-Settings!$D$18)/Settings!$E$18</f>
        <v>-0.36393179616059534</v>
      </c>
      <c r="O336" s="19">
        <f>(G336-Settings!$D$19)/Settings!$E$19</f>
        <v>-1.1051446314513869</v>
      </c>
      <c r="P336" s="19">
        <f>(H336-Settings!$D$20)/Settings!$E$20</f>
        <v>4.774578255530456E-2</v>
      </c>
      <c r="Q336" s="19">
        <f>(I336-Settings!$D$21)/Settings!$E$21</f>
        <v>3.4158077354851359E-2</v>
      </c>
      <c r="R336" s="19">
        <f>(J336-Settings!$D$22)/Settings!$E$22</f>
        <v>0.89064818614455377</v>
      </c>
      <c r="S336" s="19">
        <f>(K336-Settings!$D$23)/Settings!$E$23</f>
        <v>-1.0018791999424681</v>
      </c>
      <c r="T336" s="19">
        <f>(L336-Settings!$D$24)/Settings!$E$24</f>
        <v>-0.49385798639933653</v>
      </c>
      <c r="U336" s="19">
        <f>(M336-Settings!$D$25)/Settings!$E$25</f>
        <v>0.33936563589773822</v>
      </c>
      <c r="V336" s="31">
        <f>Settings!$B$18*(N336-F$6)^2</f>
        <v>3.3730235699506353E-2</v>
      </c>
      <c r="W336" s="31">
        <f>Settings!$B$19*(O336-G$6)^2</f>
        <v>0.51789745247968411</v>
      </c>
      <c r="X336" s="31">
        <f>Settings!$B$20*(P336-H$6)^2</f>
        <v>0.98017167977258479</v>
      </c>
      <c r="Y336" s="31">
        <f>Settings!$B$21*(Q336-I$6)^2</f>
        <v>0.15980840139162589</v>
      </c>
      <c r="Z336" s="31">
        <f>Settings!$B$22*(R336-J$6)^2</f>
        <v>0.10886430052387451</v>
      </c>
      <c r="AA336" s="31">
        <f>Settings!$B$23*(S336-K$6)^2</f>
        <v>7.4513747170536124</v>
      </c>
      <c r="AB336" s="31">
        <f>Settings!$B$24*(T336-L$6)^2</f>
        <v>4.0806982677989785</v>
      </c>
      <c r="AC336" s="31">
        <f>Settings!$B$25*(U336-M$6)^2</f>
        <v>0.27175424433745654</v>
      </c>
      <c r="AD336" s="19">
        <f t="shared" si="20"/>
        <v>3.688400642427192</v>
      </c>
      <c r="AE336" s="15">
        <f t="shared" si="21"/>
        <v>1.4599358434716267</v>
      </c>
      <c r="AF336" s="33">
        <f t="shared" si="22"/>
        <v>0.34448444789917898</v>
      </c>
      <c r="AG336" s="47">
        <f t="shared" si="23"/>
        <v>1.4872771127386062E-3</v>
      </c>
      <c r="AH336" s="18">
        <v>2.3152586759478511E-2</v>
      </c>
      <c r="AI336" s="46">
        <v>1</v>
      </c>
      <c r="AJ336" s="18">
        <v>0.8657428387735373</v>
      </c>
      <c r="AK336" s="46">
        <v>1</v>
      </c>
      <c r="AL336" s="18">
        <v>5.8004259762830301E-2</v>
      </c>
      <c r="AM336" s="46">
        <v>1</v>
      </c>
      <c r="AN336" s="48"/>
      <c r="AO336" s="48"/>
      <c r="AP336" s="48"/>
      <c r="AQ336" s="48"/>
    </row>
    <row r="337" spans="1:43" ht="20" customHeight="1" x14ac:dyDescent="0.45">
      <c r="A337" s="26">
        <v>327</v>
      </c>
      <c r="B337" s="16" t="s">
        <v>553</v>
      </c>
      <c r="C337" s="16" t="s">
        <v>220</v>
      </c>
      <c r="D337" s="46">
        <v>26</v>
      </c>
      <c r="E337" s="46">
        <v>1</v>
      </c>
      <c r="F337" s="13">
        <v>0.31217882982267958</v>
      </c>
      <c r="G337" s="13">
        <v>-0.38839029598172048</v>
      </c>
      <c r="H337" s="13">
        <v>-7.6114598096756756E-3</v>
      </c>
      <c r="I337" s="13">
        <v>-8.3615651529187024E-6</v>
      </c>
      <c r="J337" s="13">
        <v>0.29181105282077119</v>
      </c>
      <c r="K337" s="13">
        <v>13.62486772486772</v>
      </c>
      <c r="L337" s="13">
        <v>9.7604530066247863E-2</v>
      </c>
      <c r="M337" s="13">
        <v>-0.81435785646949432</v>
      </c>
      <c r="N337" s="19">
        <f>(F337-Settings!$D$18)/Settings!$E$18</f>
        <v>0.4289585033537206</v>
      </c>
      <c r="O337" s="19">
        <f>(G337-Settings!$D$19)/Settings!$E$19</f>
        <v>-1.5904124890444635</v>
      </c>
      <c r="P337" s="19">
        <f>(H337-Settings!$D$20)/Settings!$E$20</f>
        <v>-0.55030390032040222</v>
      </c>
      <c r="Q337" s="19">
        <f>(I337-Settings!$D$21)/Settings!$E$21</f>
        <v>3.6106299674408725E-2</v>
      </c>
      <c r="R337" s="19">
        <f>(J337-Settings!$D$22)/Settings!$E$22</f>
        <v>0.11824906935708525</v>
      </c>
      <c r="S337" s="19">
        <f>(K337-Settings!$D$23)/Settings!$E$23</f>
        <v>-0.5661809296105238</v>
      </c>
      <c r="T337" s="19">
        <f>(L337-Settings!$D$24)/Settings!$E$24</f>
        <v>-0.83699782139887025</v>
      </c>
      <c r="U337" s="19">
        <f>(M337-Settings!$D$25)/Settings!$E$25</f>
        <v>-0.51324175030100994</v>
      </c>
      <c r="V337" s="31">
        <f>Settings!$B$18*(N337-F$6)^2</f>
        <v>2.9218223975589271E-2</v>
      </c>
      <c r="W337" s="31">
        <f>Settings!$B$19*(O337-G$6)^2</f>
        <v>0.8773493914633369</v>
      </c>
      <c r="X337" s="31">
        <f>Settings!$B$20*(P337-H$6)^2</f>
        <v>1.581286507839559</v>
      </c>
      <c r="Y337" s="31">
        <f>Settings!$B$21*(Q337-I$6)^2</f>
        <v>0.16050576025132196</v>
      </c>
      <c r="Z337" s="31">
        <f>Settings!$B$22*(R337-J$6)^2</f>
        <v>2.3967624554767326E-4</v>
      </c>
      <c r="AA337" s="31">
        <f>Settings!$B$23*(S337-K$6)^2</f>
        <v>5.2625385859897396</v>
      </c>
      <c r="AB337" s="31">
        <f>Settings!$B$24*(T337-L$6)^2</f>
        <v>5.5847788137452818</v>
      </c>
      <c r="AC337" s="31">
        <f>Settings!$B$25*(U337-M$6)^2</f>
        <v>0.10976423184627314</v>
      </c>
      <c r="AD337" s="19">
        <f t="shared" si="20"/>
        <v>3.6885879671436128</v>
      </c>
      <c r="AE337" s="15">
        <f t="shared" si="21"/>
        <v>1.4600099899905068</v>
      </c>
      <c r="AF337" s="33">
        <f t="shared" si="22"/>
        <v>0.34444715881826682</v>
      </c>
      <c r="AG337" s="47">
        <f t="shared" si="23"/>
        <v>1.4871161208652895E-3</v>
      </c>
      <c r="AH337" s="18">
        <v>-0.67962623095630459</v>
      </c>
      <c r="AI337" s="46">
        <v>1</v>
      </c>
      <c r="AJ337" s="18">
        <v>-0.1714809748150655</v>
      </c>
      <c r="AK337" s="46">
        <v>1</v>
      </c>
      <c r="AL337" s="18">
        <v>0.16549855074856251</v>
      </c>
      <c r="AM337" s="46">
        <v>1</v>
      </c>
      <c r="AN337" s="18">
        <v>0.11230061230012529</v>
      </c>
      <c r="AO337" s="46">
        <v>1</v>
      </c>
      <c r="AP337" s="48"/>
      <c r="AQ337" s="48"/>
    </row>
    <row r="338" spans="1:43" ht="20" customHeight="1" x14ac:dyDescent="0.45">
      <c r="A338" s="26">
        <v>328</v>
      </c>
      <c r="B338" s="16" t="s">
        <v>554</v>
      </c>
      <c r="C338" s="16" t="s">
        <v>218</v>
      </c>
      <c r="D338" s="46">
        <v>26</v>
      </c>
      <c r="E338" s="46">
        <v>0</v>
      </c>
      <c r="F338" s="13">
        <v>0.1010334740340067</v>
      </c>
      <c r="G338" s="13">
        <v>7.313709936465064E-2</v>
      </c>
      <c r="H338" s="13">
        <v>4.5220233047748061E-2</v>
      </c>
      <c r="I338" s="13">
        <v>-5.4802993664078113E-2</v>
      </c>
      <c r="J338" s="13">
        <v>-0.72580619988951645</v>
      </c>
      <c r="K338" s="13">
        <v>13.846376811594229</v>
      </c>
      <c r="L338" s="13">
        <v>-1.0908459289047989E-2</v>
      </c>
      <c r="M338" s="13">
        <v>-0.88543784229902489</v>
      </c>
      <c r="N338" s="19">
        <f>(F338-Settings!$D$18)/Settings!$E$18</f>
        <v>-0.32671756256128826</v>
      </c>
      <c r="O338" s="19">
        <f>(G338-Settings!$D$19)/Settings!$E$19</f>
        <v>0.33236946453828004</v>
      </c>
      <c r="P338" s="19">
        <f>(H338-Settings!$D$20)/Settings!$E$20</f>
        <v>-7.1638603594279315E-2</v>
      </c>
      <c r="Q338" s="19">
        <f>(I338-Settings!$D$21)/Settings!$E$21</f>
        <v>-0.63772014306810854</v>
      </c>
      <c r="R338" s="19">
        <f>(J338-Settings!$D$22)/Settings!$E$22</f>
        <v>-2.619698059075378</v>
      </c>
      <c r="S338" s="19">
        <f>(K338-Settings!$D$23)/Settings!$E$23</f>
        <v>-0.48925591877183672</v>
      </c>
      <c r="T338" s="19">
        <f>(L338-Settings!$D$24)/Settings!$E$24</f>
        <v>-0.91201878642519107</v>
      </c>
      <c r="U338" s="19">
        <f>(M338-Settings!$D$25)/Settings!$E$25</f>
        <v>-0.56117888439798136</v>
      </c>
      <c r="V338" s="31">
        <f>Settings!$B$18*(N338-F$6)^2</f>
        <v>2.7894083713955443E-2</v>
      </c>
      <c r="W338" s="31">
        <f>Settings!$B$19*(O338-G$6)^2</f>
        <v>5.89441238635054E-3</v>
      </c>
      <c r="X338" s="31">
        <f>Settings!$B$20*(P338-H$6)^2</f>
        <v>1.0887389064373261</v>
      </c>
      <c r="Y338" s="31">
        <f>Settings!$B$21*(Q338-I$6)^2</f>
        <v>9.8579789232298605E-3</v>
      </c>
      <c r="Z338" s="31">
        <f>Settings!$B$22*(R338-J$6)^2</f>
        <v>1.5374230826918565</v>
      </c>
      <c r="AA338" s="31">
        <f>Settings!$B$23*(S338-K$6)^2</f>
        <v>4.9155206535413356</v>
      </c>
      <c r="AB338" s="31">
        <f>Settings!$B$24*(T338-L$6)^2</f>
        <v>5.9449880979590528</v>
      </c>
      <c r="AC338" s="31">
        <f>Settings!$B$25*(U338-M$6)^2</f>
        <v>0.14382600289562683</v>
      </c>
      <c r="AD338" s="19">
        <f t="shared" si="20"/>
        <v>3.6978565708459725</v>
      </c>
      <c r="AE338" s="15">
        <f t="shared" si="21"/>
        <v>1.4636786713719048</v>
      </c>
      <c r="AF338" s="33">
        <f t="shared" si="22"/>
        <v>0.3426048192433826</v>
      </c>
      <c r="AG338" s="47">
        <f t="shared" si="23"/>
        <v>1.4791620042126277E-3</v>
      </c>
      <c r="AH338" s="18">
        <v>-0.30101651536109397</v>
      </c>
      <c r="AI338" s="46">
        <v>0</v>
      </c>
      <c r="AJ338" s="18">
        <v>1.539370087277816</v>
      </c>
      <c r="AK338" s="46">
        <v>0</v>
      </c>
      <c r="AL338" s="18">
        <v>-8.529345173208025E-2</v>
      </c>
      <c r="AM338" s="46">
        <v>0</v>
      </c>
      <c r="AN338" s="18">
        <v>-1.3354893452439429</v>
      </c>
      <c r="AO338" s="46">
        <v>0</v>
      </c>
      <c r="AP338" s="18">
        <v>0.24226051648978891</v>
      </c>
      <c r="AQ338" s="46">
        <v>1</v>
      </c>
    </row>
    <row r="339" spans="1:43" ht="20" customHeight="1" x14ac:dyDescent="0.45">
      <c r="A339" s="26">
        <v>329</v>
      </c>
      <c r="B339" s="16" t="s">
        <v>555</v>
      </c>
      <c r="C339" s="16" t="s">
        <v>246</v>
      </c>
      <c r="D339" s="46">
        <v>26</v>
      </c>
      <c r="E339" s="46">
        <v>1</v>
      </c>
      <c r="F339" s="13">
        <v>0.24393689013299541</v>
      </c>
      <c r="G339" s="13">
        <v>-0.2262395557178008</v>
      </c>
      <c r="H339" s="13">
        <v>1.104187087763686E-3</v>
      </c>
      <c r="I339" s="13">
        <v>0.14761371041277821</v>
      </c>
      <c r="J339" s="13">
        <v>-0.38110565664866192</v>
      </c>
      <c r="K339" s="13">
        <v>14.86656441717791</v>
      </c>
      <c r="L339" s="13">
        <v>-9.3558754661059756E-2</v>
      </c>
      <c r="M339" s="13">
        <v>-0.76110053752424722</v>
      </c>
      <c r="N339" s="19">
        <f>(F339-Settings!$D$18)/Settings!$E$18</f>
        <v>0.18472485529412025</v>
      </c>
      <c r="O339" s="19">
        <f>(G339-Settings!$D$19)/Settings!$E$19</f>
        <v>-0.91487183797312299</v>
      </c>
      <c r="P339" s="19">
        <f>(H339-Settings!$D$20)/Settings!$E$20</f>
        <v>-0.47133846342665131</v>
      </c>
      <c r="Q339" s="19">
        <f>(I339-Settings!$D$21)/Settings!$E$21</f>
        <v>1.8514603192357575</v>
      </c>
      <c r="R339" s="19">
        <f>(J339-Settings!$D$22)/Settings!$E$22</f>
        <v>-1.6922650187826771</v>
      </c>
      <c r="S339" s="19">
        <f>(K339-Settings!$D$23)/Settings!$E$23</f>
        <v>-0.13496822892228591</v>
      </c>
      <c r="T339" s="19">
        <f>(L339-Settings!$D$24)/Settings!$E$24</f>
        <v>-0.96915945645333801</v>
      </c>
      <c r="U339" s="19">
        <f>(M339-Settings!$D$25)/Settings!$E$25</f>
        <v>-0.47732442125080032</v>
      </c>
      <c r="V339" s="31">
        <f>Settings!$B$18*(N339-F$6)^2</f>
        <v>3.8079738466914579E-3</v>
      </c>
      <c r="W339" s="31">
        <f>Settings!$B$19*(O339-G$6)^2</f>
        <v>0.40266429187448938</v>
      </c>
      <c r="X339" s="31">
        <f>Settings!$B$20*(P339-H$6)^2</f>
        <v>1.4937184116678424</v>
      </c>
      <c r="Y339" s="31">
        <f>Settings!$B$21*(Q339-I$6)^2</f>
        <v>1.4701142970693608</v>
      </c>
      <c r="Z339" s="31">
        <f>Settings!$B$22*(R339-J$6)^2</f>
        <v>0.68090222127416344</v>
      </c>
      <c r="AA339" s="31">
        <f>Settings!$B$23*(S339-K$6)^2</f>
        <v>3.4700598250466763</v>
      </c>
      <c r="AB339" s="31">
        <f>Settings!$B$24*(T339-L$6)^2</f>
        <v>6.2268978747143748</v>
      </c>
      <c r="AC339" s="31">
        <f>Settings!$B$25*(U339-M$6)^2</f>
        <v>8.7254971752218607E-2</v>
      </c>
      <c r="AD339" s="19">
        <f t="shared" si="20"/>
        <v>3.7195994229548184</v>
      </c>
      <c r="AE339" s="15">
        <f t="shared" si="21"/>
        <v>1.4722848864256246</v>
      </c>
      <c r="AF339" s="33">
        <f t="shared" si="22"/>
        <v>0.33830365697402881</v>
      </c>
      <c r="AG339" s="47">
        <f t="shared" si="23"/>
        <v>1.4605921667630805E-3</v>
      </c>
      <c r="AH339" s="18">
        <v>-0.27417772423312542</v>
      </c>
      <c r="AI339" s="46">
        <v>1</v>
      </c>
      <c r="AJ339" s="48"/>
      <c r="AK339" s="48"/>
      <c r="AL339" s="48"/>
      <c r="AM339" s="48"/>
      <c r="AN339" s="48"/>
      <c r="AO339" s="48"/>
      <c r="AP339" s="48"/>
      <c r="AQ339" s="48"/>
    </row>
    <row r="340" spans="1:43" ht="20" customHeight="1" x14ac:dyDescent="0.45">
      <c r="A340" s="26">
        <v>330</v>
      </c>
      <c r="B340" s="16" t="s">
        <v>556</v>
      </c>
      <c r="C340" s="16" t="s">
        <v>260</v>
      </c>
      <c r="D340" s="46">
        <v>26</v>
      </c>
      <c r="E340" s="46">
        <v>1</v>
      </c>
      <c r="F340" s="13">
        <v>0.51054177964585623</v>
      </c>
      <c r="G340" s="13">
        <v>7.2150680684336485E-2</v>
      </c>
      <c r="H340" s="13">
        <v>2.4472918060192768E-3</v>
      </c>
      <c r="I340" s="13">
        <v>-6.4658474844074276E-3</v>
      </c>
      <c r="J340" s="13">
        <v>-0.40839440037938052</v>
      </c>
      <c r="K340" s="13">
        <v>12.66010638297872</v>
      </c>
      <c r="L340" s="13">
        <v>0.54201423092696266</v>
      </c>
      <c r="M340" s="13">
        <v>0.2070409465850386</v>
      </c>
      <c r="N340" s="19">
        <f>(F340-Settings!$D$18)/Settings!$E$18</f>
        <v>1.1388871351522889</v>
      </c>
      <c r="O340" s="19">
        <f>(G340-Settings!$D$19)/Settings!$E$19</f>
        <v>0.32825991859082543</v>
      </c>
      <c r="P340" s="19">
        <f>(H340-Settings!$D$20)/Settings!$E$20</f>
        <v>-0.45916967640267597</v>
      </c>
      <c r="Q340" s="19">
        <f>(I340-Settings!$D$21)/Settings!$E$21</f>
        <v>-4.3303390642984781E-2</v>
      </c>
      <c r="R340" s="19">
        <f>(J340-Settings!$D$22)/Settings!$E$22</f>
        <v>-1.7656866685601909</v>
      </c>
      <c r="S340" s="19">
        <f>(K340-Settings!$D$23)/Settings!$E$23</f>
        <v>-0.90122035295114589</v>
      </c>
      <c r="T340" s="19">
        <f>(L340-Settings!$D$24)/Settings!$E$24</f>
        <v>-0.52975308670202526</v>
      </c>
      <c r="U340" s="19">
        <f>(M340-Settings!$D$25)/Settings!$E$25</f>
        <v>0.17560097831092078</v>
      </c>
      <c r="V340" s="31">
        <f>Settings!$B$18*(N340-F$6)^2</f>
        <v>0.23855715044065368</v>
      </c>
      <c r="W340" s="31">
        <f>Settings!$B$19*(O340-G$6)^2</f>
        <v>6.1799914134357901E-3</v>
      </c>
      <c r="X340" s="31">
        <f>Settings!$B$20*(P340-H$6)^2</f>
        <v>1.4804457302151175</v>
      </c>
      <c r="Y340" s="31">
        <f>Settings!$B$21*(Q340-I$6)^2</f>
        <v>0.13331159818628421</v>
      </c>
      <c r="Z340" s="31">
        <f>Settings!$B$22*(R340-J$6)^2</f>
        <v>0.73616941531707214</v>
      </c>
      <c r="AA340" s="31">
        <f>Settings!$B$23*(S340-K$6)^2</f>
        <v>6.9119658581120618</v>
      </c>
      <c r="AB340" s="31">
        <f>Settings!$B$24*(T340-L$6)^2</f>
        <v>4.2270082313252608</v>
      </c>
      <c r="AC340" s="31">
        <f>Settings!$B$25*(U340-M$6)^2</f>
        <v>0.12783190126879257</v>
      </c>
      <c r="AD340" s="19">
        <f t="shared" si="20"/>
        <v>3.7230994985735579</v>
      </c>
      <c r="AE340" s="15">
        <f t="shared" si="21"/>
        <v>1.4736702798104648</v>
      </c>
      <c r="AF340" s="33">
        <f t="shared" si="22"/>
        <v>0.33761400038066608</v>
      </c>
      <c r="AG340" s="47">
        <f t="shared" si="23"/>
        <v>1.4576146434722239E-3</v>
      </c>
      <c r="AH340" s="18">
        <v>0.74806817775265877</v>
      </c>
      <c r="AI340" s="46">
        <v>1</v>
      </c>
      <c r="AJ340" s="18">
        <v>-0.48164281643141371</v>
      </c>
      <c r="AK340" s="46">
        <v>1</v>
      </c>
      <c r="AL340" s="48"/>
      <c r="AM340" s="48"/>
      <c r="AN340" s="48"/>
      <c r="AO340" s="48"/>
      <c r="AP340" s="18">
        <v>-0.93749639531252538</v>
      </c>
      <c r="AQ340" s="46">
        <v>1</v>
      </c>
    </row>
    <row r="341" spans="1:43" ht="20" customHeight="1" x14ac:dyDescent="0.45">
      <c r="A341" s="26">
        <v>331</v>
      </c>
      <c r="B341" s="16" t="s">
        <v>557</v>
      </c>
      <c r="C341" s="16" t="s">
        <v>224</v>
      </c>
      <c r="D341" s="46">
        <v>26</v>
      </c>
      <c r="E341" s="46">
        <v>0</v>
      </c>
      <c r="F341" s="13">
        <v>-1.0366365109086621E-2</v>
      </c>
      <c r="G341" s="13">
        <v>0.23922488848618781</v>
      </c>
      <c r="H341" s="13">
        <v>6.2189316304220539E-2</v>
      </c>
      <c r="I341" s="13">
        <v>0.14138771082186791</v>
      </c>
      <c r="J341" s="13">
        <v>0.54683171927863705</v>
      </c>
      <c r="K341" s="13">
        <v>13.22995780590715</v>
      </c>
      <c r="L341" s="13">
        <v>0.54307137740024891</v>
      </c>
      <c r="M341" s="13">
        <v>1.278415304799928</v>
      </c>
      <c r="N341" s="19">
        <f>(F341-Settings!$D$18)/Settings!$E$18</f>
        <v>-0.7254106423724882</v>
      </c>
      <c r="O341" s="19">
        <f>(G341-Settings!$D$19)/Settings!$E$19</f>
        <v>1.0243123629520978</v>
      </c>
      <c r="P341" s="19">
        <f>(H341-Settings!$D$20)/Settings!$E$20</f>
        <v>8.2104553833021135E-2</v>
      </c>
      <c r="Q341" s="19">
        <f>(I341-Settings!$D$21)/Settings!$E$21</f>
        <v>1.7748972874905047</v>
      </c>
      <c r="R341" s="19">
        <f>(J341-Settings!$D$22)/Settings!$E$22</f>
        <v>0.80439417898410481</v>
      </c>
      <c r="S341" s="19">
        <f>(K341-Settings!$D$23)/Settings!$E$23</f>
        <v>-0.70332406105169232</v>
      </c>
      <c r="T341" s="19">
        <f>(L341-Settings!$D$24)/Settings!$E$24</f>
        <v>-0.52902222352084027</v>
      </c>
      <c r="U341" s="19">
        <f>(M341-Settings!$D$25)/Settings!$E$25</f>
        <v>0.89814777792587785</v>
      </c>
      <c r="V341" s="31">
        <f>Settings!$B$18*(N341-F$6)^2</f>
        <v>0.11924326812727133</v>
      </c>
      <c r="W341" s="31">
        <f>Settings!$B$19*(O341-G$6)^2</f>
        <v>5.4135884928803016E-2</v>
      </c>
      <c r="X341" s="31">
        <f>Settings!$B$20*(P341-H$6)^2</f>
        <v>0.94998256720240115</v>
      </c>
      <c r="Y341" s="31">
        <f>Settings!$B$21*(Q341-I$6)^2</f>
        <v>1.3882557917412299</v>
      </c>
      <c r="Z341" s="31">
        <f>Settings!$B$22*(R341-J$6)^2</f>
        <v>8.4897607875353595E-2</v>
      </c>
      <c r="AA341" s="31">
        <f>Settings!$B$23*(S341-K$6)^2</f>
        <v>5.9105656444532109</v>
      </c>
      <c r="AB341" s="31">
        <f>Settings!$B$24*(T341-L$6)^2</f>
        <v>4.2240035015045407</v>
      </c>
      <c r="AC341" s="31">
        <f>Settings!$B$25*(U341-M$6)^2</f>
        <v>1.1665785820602823</v>
      </c>
      <c r="AD341" s="19">
        <f t="shared" si="20"/>
        <v>3.7279569267754549</v>
      </c>
      <c r="AE341" s="15">
        <f t="shared" si="21"/>
        <v>1.4755929379559671</v>
      </c>
      <c r="AF341" s="33">
        <f t="shared" si="22"/>
        <v>0.33665814861696058</v>
      </c>
      <c r="AG341" s="47">
        <f t="shared" si="23"/>
        <v>1.4534878491858647E-3</v>
      </c>
      <c r="AH341" s="18">
        <v>8.0362984725321107E-2</v>
      </c>
      <c r="AI341" s="46">
        <v>0</v>
      </c>
      <c r="AJ341" s="18">
        <v>0.1249442074381588</v>
      </c>
      <c r="AK341" s="46">
        <v>1</v>
      </c>
      <c r="AL341" s="18">
        <v>9.2348131604303774E-2</v>
      </c>
      <c r="AM341" s="46">
        <v>1</v>
      </c>
      <c r="AN341" s="18">
        <v>-0.41195610643278152</v>
      </c>
      <c r="AO341" s="46">
        <v>1</v>
      </c>
      <c r="AP341" s="18">
        <v>0.28919898073696082</v>
      </c>
      <c r="AQ341" s="46">
        <v>1</v>
      </c>
    </row>
    <row r="342" spans="1:43" ht="20" customHeight="1" x14ac:dyDescent="0.45">
      <c r="A342" s="26">
        <v>332</v>
      </c>
      <c r="B342" s="16" t="s">
        <v>558</v>
      </c>
      <c r="C342" s="16" t="s">
        <v>220</v>
      </c>
      <c r="D342" s="46">
        <v>26</v>
      </c>
      <c r="E342" s="46">
        <v>1</v>
      </c>
      <c r="F342" s="13">
        <v>0.61229575640149747</v>
      </c>
      <c r="G342" s="13">
        <v>0.15322624156823311</v>
      </c>
      <c r="H342" s="13">
        <v>-7.1249993969001559E-4</v>
      </c>
      <c r="I342" s="13">
        <v>0.16057893658656591</v>
      </c>
      <c r="J342" s="13">
        <v>7.3186565504013409E-2</v>
      </c>
      <c r="K342" s="13">
        <v>13.00487804878049</v>
      </c>
      <c r="L342" s="13">
        <v>0.63178713737143921</v>
      </c>
      <c r="M342" s="13">
        <v>-0.57500110508719382</v>
      </c>
      <c r="N342" s="19">
        <f>(F342-Settings!$D$18)/Settings!$E$18</f>
        <v>1.5030582747859234</v>
      </c>
      <c r="O342" s="19">
        <f>(G342-Settings!$D$19)/Settings!$E$19</f>
        <v>0.66603103882337689</v>
      </c>
      <c r="P342" s="19">
        <f>(H342-Settings!$D$20)/Settings!$E$20</f>
        <v>-0.487797997240973</v>
      </c>
      <c r="Q342" s="19">
        <f>(I342-Settings!$D$21)/Settings!$E$21</f>
        <v>2.0108976928869424</v>
      </c>
      <c r="R342" s="19">
        <f>(J342-Settings!$D$22)/Settings!$E$22</f>
        <v>-0.46997040673738188</v>
      </c>
      <c r="S342" s="19">
        <f>(K342-Settings!$D$23)/Settings!$E$23</f>
        <v>-0.78148908359054059</v>
      </c>
      <c r="T342" s="19">
        <f>(L342-Settings!$D$24)/Settings!$E$24</f>
        <v>-0.46768816604417812</v>
      </c>
      <c r="U342" s="19">
        <f>(M342-Settings!$D$25)/Settings!$E$25</f>
        <v>-0.35181689133231536</v>
      </c>
      <c r="V342" s="31">
        <f>Settings!$B$18*(N342-F$6)^2</f>
        <v>0.42417268680559322</v>
      </c>
      <c r="W342" s="31">
        <f>Settings!$B$19*(O342-G$6)^2</f>
        <v>5.2479760380188534E-3</v>
      </c>
      <c r="X342" s="31">
        <f>Settings!$B$20*(P342-H$6)^2</f>
        <v>1.5117653177964154</v>
      </c>
      <c r="Y342" s="31">
        <f>Settings!$B$21*(Q342-I$6)^2</f>
        <v>1.6481045959156484</v>
      </c>
      <c r="Z342" s="31">
        <f>Settings!$B$22*(R342-J$6)^2</f>
        <v>7.7585215459451781E-2</v>
      </c>
      <c r="AA342" s="31">
        <f>Settings!$B$23*(S342-K$6)^2</f>
        <v>6.2967396259954178</v>
      </c>
      <c r="AB342" s="31">
        <f>Settings!$B$24*(T342-L$6)^2</f>
        <v>3.9756531889664704</v>
      </c>
      <c r="AC342" s="31">
        <f>Settings!$B$25*(U342-M$6)^2</f>
        <v>2.8859892409589822E-2</v>
      </c>
      <c r="AD342" s="19">
        <f t="shared" si="20"/>
        <v>3.7373959516468958</v>
      </c>
      <c r="AE342" s="15">
        <f t="shared" si="21"/>
        <v>1.4793290751257537</v>
      </c>
      <c r="AF342" s="33">
        <f t="shared" si="22"/>
        <v>0.33480491627632697</v>
      </c>
      <c r="AG342" s="47">
        <f t="shared" si="23"/>
        <v>1.4454867041077039E-3</v>
      </c>
      <c r="AH342" s="18">
        <v>-0.39886999090033998</v>
      </c>
      <c r="AI342" s="46">
        <v>1</v>
      </c>
      <c r="AJ342" s="18">
        <v>-0.82995882323136594</v>
      </c>
      <c r="AK342" s="46">
        <v>1</v>
      </c>
      <c r="AL342" s="18">
        <v>0.15994334266252741</v>
      </c>
      <c r="AM342" s="46">
        <v>1</v>
      </c>
      <c r="AN342" s="18">
        <v>1.395865720102063</v>
      </c>
      <c r="AO342" s="46">
        <v>1</v>
      </c>
      <c r="AP342" s="48"/>
      <c r="AQ342" s="48"/>
    </row>
    <row r="343" spans="1:43" ht="20" customHeight="1" x14ac:dyDescent="0.45">
      <c r="A343" s="26">
        <v>333</v>
      </c>
      <c r="B343" s="16" t="s">
        <v>559</v>
      </c>
      <c r="C343" s="16" t="s">
        <v>216</v>
      </c>
      <c r="D343" s="46">
        <v>26</v>
      </c>
      <c r="E343" s="46">
        <v>1</v>
      </c>
      <c r="F343" s="13">
        <v>-2.296020373128832E-2</v>
      </c>
      <c r="G343" s="13">
        <v>6.5914700904515955E-2</v>
      </c>
      <c r="H343" s="13">
        <v>-5.9563261946152982E-2</v>
      </c>
      <c r="I343" s="13">
        <v>0.1040578102986139</v>
      </c>
      <c r="J343" s="13">
        <v>-0.74750402311942898</v>
      </c>
      <c r="K343" s="13">
        <v>15.186979166666699</v>
      </c>
      <c r="L343" s="13">
        <v>-6.8206630528508339E-2</v>
      </c>
      <c r="M343" s="13">
        <v>-3.5640542956280288E-2</v>
      </c>
      <c r="N343" s="19">
        <f>(F343-Settings!$D$18)/Settings!$E$18</f>
        <v>-0.77048320572225437</v>
      </c>
      <c r="O343" s="19">
        <f>(G343-Settings!$D$19)/Settings!$E$19</f>
        <v>0.30228003201324294</v>
      </c>
      <c r="P343" s="19">
        <f>(H343-Settings!$D$20)/Settings!$E$20</f>
        <v>-1.0209972179133748</v>
      </c>
      <c r="Q343" s="19">
        <f>(I343-Settings!$D$21)/Settings!$E$21</f>
        <v>1.3158400201270894</v>
      </c>
      <c r="R343" s="19">
        <f>(J343-Settings!$D$22)/Settings!$E$22</f>
        <v>-2.6780770740216657</v>
      </c>
      <c r="S343" s="19">
        <f>(K343-Settings!$D$23)/Settings!$E$23</f>
        <v>-2.3695556358147286E-2</v>
      </c>
      <c r="T343" s="19">
        <f>(L343-Settings!$D$24)/Settings!$E$24</f>
        <v>-0.95163214632032067</v>
      </c>
      <c r="U343" s="19">
        <f>(M343-Settings!$D$25)/Settings!$E$25</f>
        <v>1.1933878898503917E-2</v>
      </c>
      <c r="V343" s="31">
        <f>Settings!$B$18*(N343-F$6)^2</f>
        <v>0.13357069562078838</v>
      </c>
      <c r="W343" s="31">
        <f>Settings!$B$19*(O343-G$6)^2</f>
        <v>8.1417199653525379E-3</v>
      </c>
      <c r="X343" s="31">
        <f>Settings!$B$20*(P343-H$6)^2</f>
        <v>2.1550022770266604</v>
      </c>
      <c r="Y343" s="31">
        <f>Settings!$B$21*(Q343-I$6)^2</f>
        <v>0.94662395766229734</v>
      </c>
      <c r="Z343" s="31">
        <f>Settings!$B$22*(R343-J$6)^2</f>
        <v>1.6028485446685155</v>
      </c>
      <c r="AA343" s="31">
        <f>Settings!$B$23*(S343-K$6)^2</f>
        <v>3.0678818142726554</v>
      </c>
      <c r="AB343" s="31">
        <f>Settings!$B$24*(T343-L$6)^2</f>
        <v>6.139730647844396</v>
      </c>
      <c r="AC343" s="31">
        <f>Settings!$B$25*(U343-M$6)^2</f>
        <v>3.7585101799050072E-2</v>
      </c>
      <c r="AD343" s="19">
        <f t="shared" si="20"/>
        <v>3.7538493255403469</v>
      </c>
      <c r="AE343" s="15">
        <f t="shared" si="21"/>
        <v>1.4858416188057382</v>
      </c>
      <c r="AF343" s="33">
        <f t="shared" si="22"/>
        <v>0.33158779655978421</v>
      </c>
      <c r="AG343" s="47">
        <f t="shared" si="23"/>
        <v>1.4315971118415401E-3</v>
      </c>
      <c r="AH343" s="18">
        <v>0.25116303276347229</v>
      </c>
      <c r="AI343" s="46">
        <v>1</v>
      </c>
      <c r="AJ343" s="18">
        <v>0.19610824800058449</v>
      </c>
      <c r="AK343" s="46">
        <v>1</v>
      </c>
      <c r="AL343" s="48"/>
      <c r="AM343" s="48"/>
      <c r="AN343" s="48"/>
      <c r="AO343" s="48"/>
      <c r="AP343" s="48"/>
      <c r="AQ343" s="48"/>
    </row>
    <row r="344" spans="1:43" ht="20" customHeight="1" x14ac:dyDescent="0.45">
      <c r="A344" s="26">
        <v>334</v>
      </c>
      <c r="B344" s="16" t="s">
        <v>560</v>
      </c>
      <c r="C344" s="16" t="s">
        <v>260</v>
      </c>
      <c r="D344" s="46">
        <v>26</v>
      </c>
      <c r="E344" s="46">
        <v>1</v>
      </c>
      <c r="F344" s="13">
        <v>0.62516959068949174</v>
      </c>
      <c r="G344" s="13">
        <v>0.22964818748922591</v>
      </c>
      <c r="H344" s="13">
        <v>-5.061346191083653E-2</v>
      </c>
      <c r="I344" s="13">
        <v>9.1398462723382312E-2</v>
      </c>
      <c r="J344" s="13">
        <v>3.1702971870633538E-3</v>
      </c>
      <c r="K344" s="13">
        <v>13.21361111111111</v>
      </c>
      <c r="L344" s="13">
        <v>0.38161906267149082</v>
      </c>
      <c r="M344" s="13">
        <v>-0.4326735351272939</v>
      </c>
      <c r="N344" s="19">
        <f>(F344-Settings!$D$18)/Settings!$E$18</f>
        <v>1.549132925169094</v>
      </c>
      <c r="O344" s="19">
        <f>(G344-Settings!$D$19)/Settings!$E$19</f>
        <v>0.98441460598797048</v>
      </c>
      <c r="P344" s="19">
        <f>(H344-Settings!$D$20)/Settings!$E$20</f>
        <v>-0.93991030856323754</v>
      </c>
      <c r="Q344" s="19">
        <f>(I344-Settings!$D$21)/Settings!$E$21</f>
        <v>1.1601641296738214</v>
      </c>
      <c r="R344" s="19">
        <f>(J344-Settings!$D$22)/Settings!$E$22</f>
        <v>-0.65835247305099909</v>
      </c>
      <c r="S344" s="19">
        <f>(K344-Settings!$D$23)/Settings!$E$23</f>
        <v>-0.70900089216027173</v>
      </c>
      <c r="T344" s="19">
        <f>(L344-Settings!$D$24)/Settings!$E$24</f>
        <v>-0.64064303987330762</v>
      </c>
      <c r="U344" s="19">
        <f>(M344-Settings!$D$25)/Settings!$E$25</f>
        <v>-0.25582959297766039</v>
      </c>
      <c r="V344" s="31">
        <f>Settings!$B$18*(N344-F$6)^2</f>
        <v>0.45143700689864591</v>
      </c>
      <c r="W344" s="31">
        <f>Settings!$B$19*(O344-G$6)^2</f>
        <v>4.6151230937072213E-2</v>
      </c>
      <c r="X344" s="31">
        <f>Settings!$B$20*(P344-H$6)^2</f>
        <v>2.0498491689463068</v>
      </c>
      <c r="Y344" s="31">
        <f>Settings!$B$21*(Q344-I$6)^2</f>
        <v>0.81599722129330388</v>
      </c>
      <c r="Z344" s="31">
        <f>Settings!$B$22*(R344-J$6)^2</f>
        <v>0.13161531345261024</v>
      </c>
      <c r="AA344" s="31">
        <f>Settings!$B$23*(S344-K$6)^2</f>
        <v>5.9382005026430607</v>
      </c>
      <c r="AB344" s="31">
        <f>Settings!$B$24*(T344-L$6)^2</f>
        <v>4.6952774092496403</v>
      </c>
      <c r="AC344" s="31">
        <f>Settings!$B$25*(U344-M$6)^2</f>
        <v>5.4604262725215175E-3</v>
      </c>
      <c r="AD344" s="19">
        <f t="shared" si="20"/>
        <v>3.7595196873660814</v>
      </c>
      <c r="AE344" s="15">
        <f t="shared" si="21"/>
        <v>1.4880860508177105</v>
      </c>
      <c r="AF344" s="33">
        <f t="shared" si="22"/>
        <v>0.330483003605751</v>
      </c>
      <c r="AG344" s="47">
        <f t="shared" si="23"/>
        <v>1.4268272788784877E-3</v>
      </c>
      <c r="AH344" s="18">
        <v>0.78002214076837117</v>
      </c>
      <c r="AI344" s="46">
        <v>1</v>
      </c>
      <c r="AJ344" s="18">
        <v>0.50948553386904405</v>
      </c>
      <c r="AK344" s="46">
        <v>1</v>
      </c>
      <c r="AL344" s="18">
        <v>-0.58407622668757142</v>
      </c>
      <c r="AM344" s="46">
        <v>1</v>
      </c>
      <c r="AN344" s="18">
        <v>-0.56595254912159865</v>
      </c>
      <c r="AO344" s="46">
        <v>1</v>
      </c>
      <c r="AP344" s="18">
        <v>0.5638536591639689</v>
      </c>
      <c r="AQ344" s="46">
        <v>1</v>
      </c>
    </row>
    <row r="345" spans="1:43" ht="20" customHeight="1" x14ac:dyDescent="0.45">
      <c r="A345" s="26">
        <v>335</v>
      </c>
      <c r="B345" s="16" t="s">
        <v>561</v>
      </c>
      <c r="C345" s="16" t="s">
        <v>220</v>
      </c>
      <c r="D345" s="46">
        <v>26</v>
      </c>
      <c r="E345" s="46">
        <v>1</v>
      </c>
      <c r="F345" s="13">
        <v>0.29434893646344668</v>
      </c>
      <c r="G345" s="13">
        <v>-0.1281043240348364</v>
      </c>
      <c r="H345" s="13">
        <v>-0.1066534366684823</v>
      </c>
      <c r="I345" s="13">
        <v>-7.1555724553865985E-4</v>
      </c>
      <c r="J345" s="13">
        <v>0.47017774558769582</v>
      </c>
      <c r="K345" s="13">
        <v>13.36075268817204</v>
      </c>
      <c r="L345" s="13">
        <v>0.52965310312270308</v>
      </c>
      <c r="M345" s="13">
        <v>-1.8541613419965299</v>
      </c>
      <c r="N345" s="19">
        <f>(F345-Settings!$D$18)/Settings!$E$18</f>
        <v>0.3651464265071217</v>
      </c>
      <c r="O345" s="19">
        <f>(G345-Settings!$D$19)/Settings!$E$19</f>
        <v>-0.50602795482929852</v>
      </c>
      <c r="P345" s="19">
        <f>(H345-Settings!$D$20)/Settings!$E$20</f>
        <v>-1.4476432562521109</v>
      </c>
      <c r="Q345" s="19">
        <f>(I345-Settings!$D$21)/Settings!$E$21</f>
        <v>2.7409696898120624E-2</v>
      </c>
      <c r="R345" s="19">
        <f>(J345-Settings!$D$22)/Settings!$E$22</f>
        <v>0.59815305385471329</v>
      </c>
      <c r="S345" s="19">
        <f>(K345-Settings!$D$23)/Settings!$E$23</f>
        <v>-0.65790200688425315</v>
      </c>
      <c r="T345" s="19">
        <f>(L345-Settings!$D$24)/Settings!$E$24</f>
        <v>-0.53829901048680751</v>
      </c>
      <c r="U345" s="19">
        <f>(M345-Settings!$D$25)/Settings!$E$25</f>
        <v>-1.2144968017545976</v>
      </c>
      <c r="V345" s="31">
        <f>Settings!$B$18*(N345-F$6)^2</f>
        <v>2.0276553075807533E-2</v>
      </c>
      <c r="W345" s="31">
        <f>Settings!$B$19*(O345-G$6)^2</f>
        <v>0.20404897171267461</v>
      </c>
      <c r="X345" s="31">
        <f>Settings!$B$20*(P345-H$6)^2</f>
        <v>2.751599226272615</v>
      </c>
      <c r="Y345" s="31">
        <f>Settings!$B$21*(Q345-I$6)^2</f>
        <v>0.15740458155805714</v>
      </c>
      <c r="Z345" s="31">
        <f>Settings!$B$22*(R345-J$6)^2</f>
        <v>3.9655985131196558E-2</v>
      </c>
      <c r="AA345" s="31">
        <f>Settings!$B$23*(S345-K$6)^2</f>
        <v>5.691771746216868</v>
      </c>
      <c r="AB345" s="31">
        <f>Settings!$B$24*(T345-L$6)^2</f>
        <v>4.2622215716571832</v>
      </c>
      <c r="AC345" s="31">
        <f>Settings!$B$25*(U345-M$6)^2</f>
        <v>1.0661840896501578</v>
      </c>
      <c r="AD345" s="19">
        <f t="shared" si="20"/>
        <v>3.767381414892121</v>
      </c>
      <c r="AE345" s="15">
        <f t="shared" si="21"/>
        <v>1.4911978651024298</v>
      </c>
      <c r="AF345" s="33">
        <f t="shared" si="22"/>
        <v>0.32895459842652874</v>
      </c>
      <c r="AG345" s="47">
        <f t="shared" si="23"/>
        <v>1.4202285425468154E-3</v>
      </c>
      <c r="AH345" s="18">
        <v>-1.064327562876743</v>
      </c>
      <c r="AI345" s="46">
        <v>1</v>
      </c>
      <c r="AJ345" s="18">
        <v>-0.1191919341860526</v>
      </c>
      <c r="AK345" s="46">
        <v>1</v>
      </c>
      <c r="AL345" s="48"/>
      <c r="AM345" s="48"/>
      <c r="AN345" s="48"/>
      <c r="AO345" s="48"/>
      <c r="AP345" s="48"/>
      <c r="AQ345" s="48"/>
    </row>
    <row r="346" spans="1:43" ht="20" customHeight="1" x14ac:dyDescent="0.45">
      <c r="A346" s="26">
        <v>336</v>
      </c>
      <c r="B346" s="16" t="s">
        <v>562</v>
      </c>
      <c r="C346" s="16" t="s">
        <v>229</v>
      </c>
      <c r="D346" s="46">
        <v>26</v>
      </c>
      <c r="E346" s="46">
        <v>1</v>
      </c>
      <c r="F346" s="13">
        <v>0.36559748886191729</v>
      </c>
      <c r="G346" s="13">
        <v>-0.14855671888859959</v>
      </c>
      <c r="H346" s="13">
        <v>-0.1041482668401954</v>
      </c>
      <c r="I346" s="13">
        <v>-2.4632610070955441E-5</v>
      </c>
      <c r="J346" s="13">
        <v>0.38167289279921668</v>
      </c>
      <c r="K346" s="13">
        <v>12.438229166666661</v>
      </c>
      <c r="L346" s="13">
        <v>1.247815323355113</v>
      </c>
      <c r="M346" s="13">
        <v>-1.9847972958889191</v>
      </c>
      <c r="N346" s="19">
        <f>(F346-Settings!$D$18)/Settings!$E$18</f>
        <v>0.62014055402419965</v>
      </c>
      <c r="O346" s="19">
        <f>(G346-Settings!$D$19)/Settings!$E$19</f>
        <v>-0.59123523857645521</v>
      </c>
      <c r="P346" s="19">
        <f>(H346-Settings!$D$20)/Settings!$E$20</f>
        <v>-1.4249459358682577</v>
      </c>
      <c r="Q346" s="19">
        <f>(I346-Settings!$D$21)/Settings!$E$21</f>
        <v>3.5906209630971068E-2</v>
      </c>
      <c r="R346" s="19">
        <f>(J346-Settings!$D$22)/Settings!$E$22</f>
        <v>0.36002658056707676</v>
      </c>
      <c r="S346" s="19">
        <f>(K346-Settings!$D$23)/Settings!$E$23</f>
        <v>-0.9782732067274611</v>
      </c>
      <c r="T346" s="19">
        <f>(L346-Settings!$D$24)/Settings!$E$24</f>
        <v>-4.179418532827741E-2</v>
      </c>
      <c r="U346" s="19">
        <f>(M346-Settings!$D$25)/Settings!$E$25</f>
        <v>-1.3025991440179177</v>
      </c>
      <c r="V346" s="31">
        <f>Settings!$B$18*(N346-F$6)^2</f>
        <v>6.575767974780948E-2</v>
      </c>
      <c r="W346" s="31">
        <f>Settings!$B$19*(O346-G$6)^2</f>
        <v>0.23992721465982464</v>
      </c>
      <c r="X346" s="31">
        <f>Settings!$B$20*(P346-H$6)^2</f>
        <v>2.7180269058641149</v>
      </c>
      <c r="Y346" s="31">
        <f>Settings!$B$21*(Q346-I$6)^2</f>
        <v>0.16043406881525124</v>
      </c>
      <c r="Z346" s="31">
        <f>Settings!$B$22*(R346-J$6)^2</f>
        <v>8.5830421743865199E-3</v>
      </c>
      <c r="AA346" s="31">
        <f>Settings!$B$23*(S346-K$6)^2</f>
        <v>7.3230564266348557</v>
      </c>
      <c r="AB346" s="31">
        <f>Settings!$B$24*(T346-L$6)^2</f>
        <v>2.4586554423983462</v>
      </c>
      <c r="AC346" s="31">
        <f>Settings!$B$25*(U346-M$6)^2</f>
        <v>1.2558883572572372</v>
      </c>
      <c r="AD346" s="19">
        <f t="shared" si="20"/>
        <v>3.7723108484789303</v>
      </c>
      <c r="AE346" s="15">
        <f t="shared" si="21"/>
        <v>1.493149024284709</v>
      </c>
      <c r="AF346" s="33">
        <f t="shared" si="22"/>
        <v>0.32799825053033743</v>
      </c>
      <c r="AG346" s="47">
        <f t="shared" si="23"/>
        <v>1.416099606258123E-3</v>
      </c>
      <c r="AH346" s="18">
        <v>-0.94510620332940332</v>
      </c>
      <c r="AI346" s="46">
        <v>1</v>
      </c>
      <c r="AJ346" s="18">
        <v>0.37539613960218449</v>
      </c>
      <c r="AK346" s="46">
        <v>1</v>
      </c>
      <c r="AL346" s="18">
        <v>-0.22966185092686339</v>
      </c>
      <c r="AM346" s="46">
        <v>1</v>
      </c>
      <c r="AN346" s="48"/>
      <c r="AO346" s="48"/>
      <c r="AP346" s="48"/>
      <c r="AQ346" s="48"/>
    </row>
    <row r="347" spans="1:43" ht="20" customHeight="1" x14ac:dyDescent="0.45">
      <c r="A347" s="26">
        <v>337</v>
      </c>
      <c r="B347" s="16" t="s">
        <v>563</v>
      </c>
      <c r="C347" s="16" t="s">
        <v>220</v>
      </c>
      <c r="D347" s="46">
        <v>26</v>
      </c>
      <c r="E347" s="46">
        <v>1</v>
      </c>
      <c r="F347" s="13">
        <v>-0.37643458481155079</v>
      </c>
      <c r="G347" s="13">
        <v>0.43462735645302092</v>
      </c>
      <c r="H347" s="13">
        <v>-2.5568728836103988E-3</v>
      </c>
      <c r="I347" s="13">
        <v>-0.141662967253711</v>
      </c>
      <c r="J347" s="13">
        <v>-4.4718218598106853E-2</v>
      </c>
      <c r="K347" s="13">
        <v>14.2929203539823</v>
      </c>
      <c r="L347" s="13">
        <v>0.21759608889547699</v>
      </c>
      <c r="M347" s="13">
        <v>-2.2688318948818029</v>
      </c>
      <c r="N347" s="19">
        <f>(F347-Settings!$D$18)/Settings!$E$18</f>
        <v>-2.0355459805995642</v>
      </c>
      <c r="O347" s="19">
        <f>(G347-Settings!$D$19)/Settings!$E$19</f>
        <v>1.8383839497756402</v>
      </c>
      <c r="P347" s="19">
        <f>(H347-Settings!$D$20)/Settings!$E$20</f>
        <v>-0.50450837078243393</v>
      </c>
      <c r="Q347" s="19">
        <f>(I347-Settings!$D$21)/Settings!$E$21</f>
        <v>-1.7058639516613479</v>
      </c>
      <c r="R347" s="19">
        <f>(J347-Settings!$D$22)/Settings!$E$22</f>
        <v>-0.78719877939033134</v>
      </c>
      <c r="S347" s="19">
        <f>(K347-Settings!$D$23)/Settings!$E$23</f>
        <v>-0.33418161755114056</v>
      </c>
      <c r="T347" s="19">
        <f>(L347-Settings!$D$24)/Settings!$E$24</f>
        <v>-0.75404109343603487</v>
      </c>
      <c r="U347" s="19">
        <f>(M347-Settings!$D$25)/Settings!$E$25</f>
        <v>-1.4941552410148393</v>
      </c>
      <c r="V347" s="31">
        <f>Settings!$B$18*(N347-F$6)^2</f>
        <v>0.86718283328396761</v>
      </c>
      <c r="W347" s="31">
        <f>Settings!$B$19*(O347-G$6)^2</f>
        <v>0.35609275119347339</v>
      </c>
      <c r="X347" s="31">
        <f>Settings!$B$20*(P347-H$6)^2</f>
        <v>1.5301981111705274</v>
      </c>
      <c r="Y347" s="31">
        <f>Settings!$B$21*(Q347-I$6)^2</f>
        <v>0.14318737571665455</v>
      </c>
      <c r="Z347" s="31">
        <f>Settings!$B$22*(R347-J$6)^2</f>
        <v>0.17674462586817175</v>
      </c>
      <c r="AA347" s="31">
        <f>Settings!$B$23*(S347-K$6)^2</f>
        <v>4.2519390482695831</v>
      </c>
      <c r="AB347" s="31">
        <f>Settings!$B$24*(T347-L$6)^2</f>
        <v>5.1995716866543837</v>
      </c>
      <c r="AC347" s="31">
        <f>Settings!$B$25*(U347-M$6)^2</f>
        <v>1.7219222344231597</v>
      </c>
      <c r="AD347" s="19">
        <f t="shared" si="20"/>
        <v>3.7744984655686271</v>
      </c>
      <c r="AE347" s="15">
        <f t="shared" si="21"/>
        <v>1.4940149227894162</v>
      </c>
      <c r="AF347" s="33">
        <f t="shared" si="22"/>
        <v>0.32757432772924716</v>
      </c>
      <c r="AG347" s="47">
        <f t="shared" si="23"/>
        <v>1.4142693620091456E-3</v>
      </c>
      <c r="AH347" s="18">
        <v>-0.79879088619649563</v>
      </c>
      <c r="AI347" s="46">
        <v>1</v>
      </c>
      <c r="AJ347" s="18">
        <v>1.7916411357365969</v>
      </c>
      <c r="AK347" s="46">
        <v>1</v>
      </c>
      <c r="AL347" s="18">
        <v>0.18578162954054009</v>
      </c>
      <c r="AM347" s="46">
        <v>1</v>
      </c>
      <c r="AN347" s="18">
        <v>-0.84557559886594291</v>
      </c>
      <c r="AO347" s="46">
        <v>1</v>
      </c>
      <c r="AP347" s="48"/>
      <c r="AQ347" s="48"/>
    </row>
    <row r="348" spans="1:43" ht="20" customHeight="1" x14ac:dyDescent="0.45">
      <c r="A348" s="26">
        <v>338</v>
      </c>
      <c r="B348" s="16" t="s">
        <v>564</v>
      </c>
      <c r="C348" s="16" t="s">
        <v>236</v>
      </c>
      <c r="D348" s="46">
        <v>26</v>
      </c>
      <c r="E348" s="46">
        <v>0</v>
      </c>
      <c r="F348" s="13">
        <v>0.15546840436147619</v>
      </c>
      <c r="G348" s="13">
        <v>0.21459016176967899</v>
      </c>
      <c r="H348" s="13">
        <v>1.0954425513299E-3</v>
      </c>
      <c r="I348" s="13">
        <v>0.1312746361981286</v>
      </c>
      <c r="J348" s="13">
        <v>0.49757135511938622</v>
      </c>
      <c r="K348" s="13">
        <v>12.26621621621622</v>
      </c>
      <c r="L348" s="13">
        <v>1.59870186918401</v>
      </c>
      <c r="M348" s="13">
        <v>-2.4182149297497109</v>
      </c>
      <c r="N348" s="19">
        <f>(F348-Settings!$D$18)/Settings!$E$18</f>
        <v>-0.13189834030290085</v>
      </c>
      <c r="O348" s="19">
        <f>(G348-Settings!$D$19)/Settings!$E$19</f>
        <v>0.921680951600238</v>
      </c>
      <c r="P348" s="19">
        <f>(H348-Settings!$D$20)/Settings!$E$20</f>
        <v>-0.47141769060829974</v>
      </c>
      <c r="Q348" s="19">
        <f>(I348-Settings!$D$21)/Settings!$E$21</f>
        <v>1.650533698615573</v>
      </c>
      <c r="R348" s="19">
        <f>(J348-Settings!$D$22)/Settings!$E$22</f>
        <v>0.67185685000688478</v>
      </c>
      <c r="S348" s="19">
        <f>(K348-Settings!$D$23)/Settings!$E$23</f>
        <v>-1.0380093479094794</v>
      </c>
      <c r="T348" s="19">
        <f>(L348-Settings!$D$24)/Settings!$E$24</f>
        <v>0.20079287672975932</v>
      </c>
      <c r="U348" s="19">
        <f>(M348-Settings!$D$25)/Settings!$E$25</f>
        <v>-1.5949008234837145</v>
      </c>
      <c r="V348" s="31">
        <f>Settings!$B$18*(N348-F$6)^2</f>
        <v>6.3823186527258912E-3</v>
      </c>
      <c r="W348" s="31">
        <f>Settings!$B$19*(O348-G$6)^2</f>
        <v>3.4884165632719649E-2</v>
      </c>
      <c r="X348" s="31">
        <f>Settings!$B$20*(P348-H$6)^2</f>
        <v>1.4938050200373747</v>
      </c>
      <c r="Y348" s="31">
        <f>Settings!$B$21*(Q348-I$6)^2</f>
        <v>1.2602882001893729</v>
      </c>
      <c r="Z348" s="31">
        <f>Settings!$B$22*(R348-J$6)^2</f>
        <v>5.3870152532995923E-2</v>
      </c>
      <c r="AA348" s="31">
        <f>Settings!$B$23*(S348-K$6)^2</f>
        <v>7.6499305251762291</v>
      </c>
      <c r="AB348" s="31">
        <f>Settings!$B$24*(T348-L$6)^2</f>
        <v>1.756746033988662</v>
      </c>
      <c r="AC348" s="31">
        <f>Settings!$B$25*(U348-M$6)^2</f>
        <v>1.9964727128246118</v>
      </c>
      <c r="AD348" s="19">
        <f t="shared" si="20"/>
        <v>3.7752323278223145</v>
      </c>
      <c r="AE348" s="15">
        <f t="shared" si="21"/>
        <v>1.4943053987740491</v>
      </c>
      <c r="AF348" s="33">
        <f t="shared" si="22"/>
        <v>0.32743218553966369</v>
      </c>
      <c r="AG348" s="47">
        <f t="shared" si="23"/>
        <v>1.4136556773374244E-3</v>
      </c>
      <c r="AH348" s="18">
        <v>-1.2151111781382</v>
      </c>
      <c r="AI348" s="46">
        <v>1</v>
      </c>
      <c r="AJ348" s="48"/>
      <c r="AK348" s="48"/>
      <c r="AL348" s="48"/>
      <c r="AM348" s="48"/>
      <c r="AN348" s="48"/>
      <c r="AO348" s="48"/>
      <c r="AP348" s="48"/>
      <c r="AQ348" s="48"/>
    </row>
    <row r="349" spans="1:43" ht="20" customHeight="1" x14ac:dyDescent="0.45">
      <c r="A349" s="26">
        <v>339</v>
      </c>
      <c r="B349" s="16" t="s">
        <v>565</v>
      </c>
      <c r="C349" s="16" t="s">
        <v>232</v>
      </c>
      <c r="D349" s="46">
        <v>26</v>
      </c>
      <c r="E349" s="46">
        <v>0</v>
      </c>
      <c r="F349" s="13">
        <v>-0.27274475538278509</v>
      </c>
      <c r="G349" s="13">
        <v>0.23730158016780389</v>
      </c>
      <c r="H349" s="13">
        <v>-6.7069484418956051E-3</v>
      </c>
      <c r="I349" s="13">
        <v>-0.26552837230655851</v>
      </c>
      <c r="J349" s="13">
        <v>-0.2177183437009568</v>
      </c>
      <c r="K349" s="13">
        <v>14.327402862985711</v>
      </c>
      <c r="L349" s="13">
        <v>-0.17422907576783481</v>
      </c>
      <c r="M349" s="13">
        <v>-0.26511396062530901</v>
      </c>
      <c r="N349" s="19">
        <f>(F349-Settings!$D$18)/Settings!$E$18</f>
        <v>-1.6644465449266748</v>
      </c>
      <c r="O349" s="19">
        <f>(G349-Settings!$D$19)/Settings!$E$19</f>
        <v>1.0162996153599666</v>
      </c>
      <c r="P349" s="19">
        <f>(H349-Settings!$D$20)/Settings!$E$20</f>
        <v>-0.54210885339243386</v>
      </c>
      <c r="Q349" s="19">
        <f>(I349-Settings!$D$21)/Settings!$E$21</f>
        <v>-3.22907493179782</v>
      </c>
      <c r="R349" s="19">
        <f>(J349-Settings!$D$22)/Settings!$E$22</f>
        <v>-1.252663760926622</v>
      </c>
      <c r="S349" s="19">
        <f>(K349-Settings!$D$23)/Settings!$E$23</f>
        <v>-0.32220663531437332</v>
      </c>
      <c r="T349" s="19">
        <f>(L349-Settings!$D$24)/Settings!$E$24</f>
        <v>-1.0249312619705371</v>
      </c>
      <c r="U349" s="19">
        <f>(M349-Settings!$D$25)/Settings!$E$25</f>
        <v>-0.14282554973830397</v>
      </c>
      <c r="V349" s="31">
        <f>Settings!$B$18*(N349-F$6)^2</f>
        <v>0.58563175691689817</v>
      </c>
      <c r="W349" s="31">
        <f>Settings!$B$19*(O349-G$6)^2</f>
        <v>5.2481213338657455E-2</v>
      </c>
      <c r="X349" s="31">
        <f>Settings!$B$20*(P349-H$6)^2</f>
        <v>1.5720826820854539</v>
      </c>
      <c r="Y349" s="31">
        <f>Settings!$B$21*(Q349-I$6)^2</f>
        <v>1.1227558410110623</v>
      </c>
      <c r="Z349" s="31">
        <f>Settings!$B$22*(R349-J$6)^2</f>
        <v>0.3951031824352379</v>
      </c>
      <c r="AA349" s="31">
        <f>Settings!$B$23*(S349-K$6)^2</f>
        <v>4.2026970697388002</v>
      </c>
      <c r="AB349" s="31">
        <f>Settings!$B$24*(T349-L$6)^2</f>
        <v>6.5083515405594818</v>
      </c>
      <c r="AC349" s="31">
        <f>Settings!$B$25*(U349-M$6)^2</f>
        <v>1.5295409485566493E-3</v>
      </c>
      <c r="AD349" s="19">
        <f t="shared" si="20"/>
        <v>3.800083265802757</v>
      </c>
      <c r="AE349" s="15">
        <f t="shared" si="21"/>
        <v>1.5041418505640756</v>
      </c>
      <c r="AF349" s="33">
        <f t="shared" si="22"/>
        <v>0.32263895952247873</v>
      </c>
      <c r="AG349" s="47">
        <f t="shared" si="23"/>
        <v>1.3929614039238716E-3</v>
      </c>
      <c r="AH349" s="18">
        <v>-0.46949693785043672</v>
      </c>
      <c r="AI349" s="46">
        <v>0</v>
      </c>
      <c r="AJ349" s="18">
        <v>0.78590893555763008</v>
      </c>
      <c r="AK349" s="46">
        <v>0</v>
      </c>
      <c r="AL349" s="18">
        <v>0.36462641762378689</v>
      </c>
      <c r="AM349" s="46">
        <v>1</v>
      </c>
      <c r="AN349" s="18">
        <v>-1.301312199339876</v>
      </c>
      <c r="AO349" s="46">
        <v>1</v>
      </c>
      <c r="AP349" s="18">
        <v>-0.2911902491487246</v>
      </c>
      <c r="AQ349" s="46">
        <v>1</v>
      </c>
    </row>
    <row r="350" spans="1:43" ht="20" customHeight="1" x14ac:dyDescent="0.45">
      <c r="A350" s="26">
        <v>340</v>
      </c>
      <c r="B350" s="16" t="s">
        <v>566</v>
      </c>
      <c r="C350" s="16" t="s">
        <v>236</v>
      </c>
      <c r="D350" s="46">
        <v>26</v>
      </c>
      <c r="E350" s="46">
        <v>0</v>
      </c>
      <c r="F350" s="13">
        <v>-0.19412858373324959</v>
      </c>
      <c r="G350" s="13">
        <v>0.22966309288220851</v>
      </c>
      <c r="H350" s="13">
        <v>-7.9310426440931583E-4</v>
      </c>
      <c r="I350" s="13">
        <v>-4.4109219143023307E-2</v>
      </c>
      <c r="J350" s="13">
        <v>0.53130599997710937</v>
      </c>
      <c r="K350" s="13">
        <v>11.93857677902621</v>
      </c>
      <c r="L350" s="13">
        <v>0.71247580648776387</v>
      </c>
      <c r="M350" s="13">
        <v>0.55542760866378005</v>
      </c>
      <c r="N350" s="19">
        <f>(F350-Settings!$D$18)/Settings!$E$18</f>
        <v>-1.3830841673952479</v>
      </c>
      <c r="O350" s="19">
        <f>(G350-Settings!$D$19)/Settings!$E$19</f>
        <v>0.98447670375492213</v>
      </c>
      <c r="P350" s="19">
        <f>(H350-Settings!$D$20)/Settings!$E$20</f>
        <v>-0.48852828792299402</v>
      </c>
      <c r="Q350" s="19">
        <f>(I350-Settings!$D$21)/Settings!$E$21</f>
        <v>-0.50621550896446477</v>
      </c>
      <c r="R350" s="19">
        <f>(J350-Settings!$D$22)/Settings!$E$22</f>
        <v>0.76262150024339925</v>
      </c>
      <c r="S350" s="19">
        <f>(K350-Settings!$D$23)/Settings!$E$23</f>
        <v>-1.1517909883355493</v>
      </c>
      <c r="T350" s="19">
        <f>(L350-Settings!$D$24)/Settings!$E$24</f>
        <v>-0.41190367554437096</v>
      </c>
      <c r="U350" s="19">
        <f>(M350-Settings!$D$25)/Settings!$E$25</f>
        <v>0.41055682337422278</v>
      </c>
      <c r="V350" s="31">
        <f>Settings!$B$18*(N350-F$6)^2</f>
        <v>0.40887932850249059</v>
      </c>
      <c r="W350" s="31">
        <f>Settings!$B$19*(O350-G$6)^2</f>
        <v>4.616316369116609E-2</v>
      </c>
      <c r="X350" s="31">
        <f>Settings!$B$20*(P350-H$6)^2</f>
        <v>1.5125685490854481</v>
      </c>
      <c r="Y350" s="31">
        <f>Settings!$B$21*(Q350-I$6)^2</f>
        <v>2.4994982519656414E-2</v>
      </c>
      <c r="Z350" s="31">
        <f>Settings!$B$22*(R350-J$6)^2</f>
        <v>7.4360180196560932E-2</v>
      </c>
      <c r="AA350" s="31">
        <f>Settings!$B$23*(S350-K$6)^2</f>
        <v>8.2922828642227966</v>
      </c>
      <c r="AB350" s="31">
        <f>Settings!$B$24*(T350-L$6)^2</f>
        <v>3.7563072600793497</v>
      </c>
      <c r="AC350" s="31">
        <f>Settings!$B$25*(U350-M$6)^2</f>
        <v>0.35104643727765111</v>
      </c>
      <c r="AD350" s="19">
        <f t="shared" si="20"/>
        <v>3.8034987531975242</v>
      </c>
      <c r="AE350" s="15">
        <f t="shared" si="21"/>
        <v>1.5054937623963176</v>
      </c>
      <c r="AF350" s="33">
        <f t="shared" si="22"/>
        <v>0.32198325615541018</v>
      </c>
      <c r="AG350" s="47">
        <f t="shared" si="23"/>
        <v>1.3901304702880167E-3</v>
      </c>
      <c r="AH350" s="18">
        <v>-1.99337200432993E-2</v>
      </c>
      <c r="AI350" s="46">
        <v>1</v>
      </c>
      <c r="AJ350" s="18">
        <v>0.9388582346462454</v>
      </c>
      <c r="AK350" s="46">
        <v>1</v>
      </c>
      <c r="AL350" s="18">
        <v>-0.22083493272961549</v>
      </c>
      <c r="AM350" s="46">
        <v>1</v>
      </c>
      <c r="AN350" s="18">
        <v>-1.488142866068572</v>
      </c>
      <c r="AO350" s="46">
        <v>1</v>
      </c>
      <c r="AP350" s="18">
        <v>0.76961228748346266</v>
      </c>
      <c r="AQ350" s="46">
        <v>1</v>
      </c>
    </row>
    <row r="351" spans="1:43" ht="20" customHeight="1" x14ac:dyDescent="0.45">
      <c r="A351" s="26">
        <v>341</v>
      </c>
      <c r="B351" s="16" t="s">
        <v>567</v>
      </c>
      <c r="C351" s="16" t="s">
        <v>234</v>
      </c>
      <c r="D351" s="46">
        <v>26</v>
      </c>
      <c r="E351" s="46">
        <v>1</v>
      </c>
      <c r="F351" s="13">
        <v>0.12634950231803621</v>
      </c>
      <c r="G351" s="13">
        <v>0.35852118723378379</v>
      </c>
      <c r="H351" s="13">
        <v>1.3817032865340009E-3</v>
      </c>
      <c r="I351" s="13">
        <v>4.5065352785221773E-2</v>
      </c>
      <c r="J351" s="13">
        <v>0.46868225437642419</v>
      </c>
      <c r="K351" s="13">
        <v>11.933888888888889</v>
      </c>
      <c r="L351" s="13">
        <v>0.72848304477803349</v>
      </c>
      <c r="M351" s="13">
        <v>-1.1610556114740169</v>
      </c>
      <c r="N351" s="19">
        <f>(F351-Settings!$D$18)/Settings!$E$18</f>
        <v>-0.23611307549212582</v>
      </c>
      <c r="O351" s="19">
        <f>(G351-Settings!$D$19)/Settings!$E$19</f>
        <v>1.5213159485982877</v>
      </c>
      <c r="P351" s="19">
        <f>(H351-Settings!$D$20)/Settings!$E$20</f>
        <v>-0.46882411329993501</v>
      </c>
      <c r="Q351" s="19">
        <f>(I351-Settings!$D$21)/Settings!$E$21</f>
        <v>0.59039162724212635</v>
      </c>
      <c r="R351" s="19">
        <f>(J351-Settings!$D$22)/Settings!$E$22</f>
        <v>0.59412936434218599</v>
      </c>
      <c r="S351" s="19">
        <f>(K351-Settings!$D$23)/Settings!$E$23</f>
        <v>-1.1534189847530019</v>
      </c>
      <c r="T351" s="19">
        <f>(L351-Settings!$D$24)/Settings!$E$24</f>
        <v>-0.40083699614426382</v>
      </c>
      <c r="U351" s="19">
        <f>(M351-Settings!$D$25)/Settings!$E$25</f>
        <v>-0.74705857762325156</v>
      </c>
      <c r="V351" s="31">
        <f>Settings!$B$18*(N351-F$6)^2</f>
        <v>1.6001152397620025E-2</v>
      </c>
      <c r="W351" s="31">
        <f>Settings!$B$19*(O351-G$6)^2</f>
        <v>0.20696854326109526</v>
      </c>
      <c r="X351" s="31">
        <f>Settings!$B$20*(P351-H$6)^2</f>
        <v>1.4909711167403816</v>
      </c>
      <c r="Y351" s="31">
        <f>Settings!$B$21*(Q351-I$6)^2</f>
        <v>0.42057252985125837</v>
      </c>
      <c r="Z351" s="31">
        <f>Settings!$B$22*(R351-J$6)^2</f>
        <v>3.8942545554197926E-2</v>
      </c>
      <c r="AA351" s="31">
        <f>Settings!$B$23*(S351-K$6)^2</f>
        <v>8.3016615771161071</v>
      </c>
      <c r="AB351" s="31">
        <f>Settings!$B$24*(T351-L$6)^2</f>
        <v>3.7135326368168093</v>
      </c>
      <c r="AC351" s="31">
        <f>Settings!$B$25*(U351-M$6)^2</f>
        <v>0.31936477576927097</v>
      </c>
      <c r="AD351" s="19">
        <f t="shared" si="20"/>
        <v>3.8089388125180932</v>
      </c>
      <c r="AE351" s="15">
        <f t="shared" si="21"/>
        <v>1.5076470365014549</v>
      </c>
      <c r="AF351" s="33">
        <f t="shared" si="22"/>
        <v>0.32094041589842837</v>
      </c>
      <c r="AG351" s="47">
        <f t="shared" si="23"/>
        <v>1.3856281118915488E-3</v>
      </c>
      <c r="AH351" s="18">
        <v>-0.30466720469637559</v>
      </c>
      <c r="AI351" s="46">
        <v>1</v>
      </c>
      <c r="AJ351" s="18">
        <v>-0.1280989986042079</v>
      </c>
      <c r="AK351" s="46">
        <v>1</v>
      </c>
      <c r="AL351" s="48"/>
      <c r="AM351" s="48"/>
      <c r="AN351" s="48"/>
      <c r="AO351" s="48"/>
      <c r="AP351" s="18">
        <v>-0.19355872279888839</v>
      </c>
      <c r="AQ351" s="46">
        <v>1</v>
      </c>
    </row>
    <row r="352" spans="1:43" ht="20" customHeight="1" x14ac:dyDescent="0.45">
      <c r="A352" s="26">
        <v>342</v>
      </c>
      <c r="B352" s="16" t="s">
        <v>568</v>
      </c>
      <c r="C352" s="16" t="s">
        <v>271</v>
      </c>
      <c r="D352" s="46">
        <v>26</v>
      </c>
      <c r="E352" s="46">
        <v>1</v>
      </c>
      <c r="F352" s="13">
        <v>-0.47233333887384349</v>
      </c>
      <c r="G352" s="13">
        <v>2.1230111382634441E-2</v>
      </c>
      <c r="H352" s="13">
        <v>-3.253885173865025E-3</v>
      </c>
      <c r="I352" s="13">
        <v>2.1252193377881449E-3</v>
      </c>
      <c r="J352" s="13">
        <v>0.5010574452318689</v>
      </c>
      <c r="K352" s="13">
        <v>12.648939393939401</v>
      </c>
      <c r="L352" s="13">
        <v>0.38678927196608659</v>
      </c>
      <c r="M352" s="13">
        <v>-0.27127921571204833</v>
      </c>
      <c r="N352" s="19">
        <f>(F352-Settings!$D$18)/Settings!$E$18</f>
        <v>-2.3787616432186138</v>
      </c>
      <c r="O352" s="19">
        <f>(G352-Settings!$D$19)/Settings!$E$19</f>
        <v>0.11611833673306288</v>
      </c>
      <c r="P352" s="19">
        <f>(H352-Settings!$D$20)/Settings!$E$20</f>
        <v>-0.51082343616632886</v>
      </c>
      <c r="Q352" s="19">
        <f>(I352-Settings!$D$21)/Settings!$E$21</f>
        <v>6.2343600210282644E-2</v>
      </c>
      <c r="R352" s="19">
        <f>(J352-Settings!$D$22)/Settings!$E$22</f>
        <v>0.68123633958168084</v>
      </c>
      <c r="S352" s="19">
        <f>(K352-Settings!$D$23)/Settings!$E$23</f>
        <v>-0.90509839139001924</v>
      </c>
      <c r="T352" s="19">
        <f>(L352-Settings!$D$24)/Settings!$E$24</f>
        <v>-0.63706859138586758</v>
      </c>
      <c r="U352" s="19">
        <f>(M352-Settings!$D$25)/Settings!$E$25</f>
        <v>-0.14698346643434632</v>
      </c>
      <c r="V352" s="31">
        <f>Settings!$B$18*(N352-F$6)^2</f>
        <v>1.17661147218736</v>
      </c>
      <c r="W352" s="31">
        <f>Settings!$B$19*(O352-G$6)^2</f>
        <v>3.0097225994171053E-2</v>
      </c>
      <c r="X352" s="31">
        <f>Settings!$B$20*(P352-H$6)^2</f>
        <v>1.5371931826236847</v>
      </c>
      <c r="Y352" s="31">
        <f>Settings!$B$21*(Q352-I$6)^2</f>
        <v>0.17004520580979143</v>
      </c>
      <c r="Z352" s="31">
        <f>Settings!$B$22*(R352-J$6)^2</f>
        <v>5.5834892531005431E-2</v>
      </c>
      <c r="AA352" s="31">
        <f>Settings!$B$23*(S352-K$6)^2</f>
        <v>6.9323721025984284</v>
      </c>
      <c r="AB352" s="31">
        <f>Settings!$B$24*(T352-L$6)^2</f>
        <v>4.6797995350337729</v>
      </c>
      <c r="AC352" s="31">
        <f>Settings!$B$25*(U352-M$6)^2</f>
        <v>1.2216024139722727E-3</v>
      </c>
      <c r="AD352" s="19">
        <f t="shared" si="20"/>
        <v>3.8187923770731746</v>
      </c>
      <c r="AE352" s="15">
        <f t="shared" si="21"/>
        <v>1.5115472559934617</v>
      </c>
      <c r="AF352" s="33">
        <f t="shared" si="22"/>
        <v>0.31905634760025342</v>
      </c>
      <c r="AG352" s="47">
        <f t="shared" si="23"/>
        <v>1.3774938356541145E-3</v>
      </c>
      <c r="AH352" s="18">
        <v>-1.8448100369464648E-2</v>
      </c>
      <c r="AI352" s="46">
        <v>1</v>
      </c>
      <c r="AJ352" s="18">
        <v>-0.63070176556451318</v>
      </c>
      <c r="AK352" s="46">
        <v>1</v>
      </c>
      <c r="AL352" s="48"/>
      <c r="AM352" s="48"/>
      <c r="AN352" s="48"/>
      <c r="AO352" s="48"/>
      <c r="AP352" s="48"/>
      <c r="AQ352" s="48"/>
    </row>
    <row r="353" spans="1:43" ht="20" customHeight="1" x14ac:dyDescent="0.45">
      <c r="A353" s="26">
        <v>343</v>
      </c>
      <c r="B353" s="16" t="s">
        <v>569</v>
      </c>
      <c r="C353" s="16" t="s">
        <v>214</v>
      </c>
      <c r="D353" s="46">
        <v>26</v>
      </c>
      <c r="E353" s="46">
        <v>1</v>
      </c>
      <c r="F353" s="13">
        <v>0.58917990749249638</v>
      </c>
      <c r="G353" s="13">
        <v>-9.3356045397942788E-2</v>
      </c>
      <c r="H353" s="13">
        <v>-1.2135472757928459E-2</v>
      </c>
      <c r="I353" s="13">
        <v>-8.0623316702008185E-4</v>
      </c>
      <c r="J353" s="13">
        <v>0.30452234118461241</v>
      </c>
      <c r="K353" s="13">
        <v>11.85996732026144</v>
      </c>
      <c r="L353" s="13">
        <v>1.0592067642371019</v>
      </c>
      <c r="M353" s="13">
        <v>1.136411367006513</v>
      </c>
      <c r="N353" s="19">
        <f>(F353-Settings!$D$18)/Settings!$E$18</f>
        <v>1.4203280925444401</v>
      </c>
      <c r="O353" s="19">
        <f>(G353-Settings!$D$19)/Settings!$E$19</f>
        <v>-0.36126219714130442</v>
      </c>
      <c r="P353" s="19">
        <f>(H353-Settings!$D$20)/Settings!$E$20</f>
        <v>-0.59129232759098427</v>
      </c>
      <c r="Q353" s="19">
        <f>(I353-Settings!$D$21)/Settings!$E$21</f>
        <v>2.6294627204725876E-2</v>
      </c>
      <c r="R353" s="19">
        <f>(J353-Settings!$D$22)/Settings!$E$22</f>
        <v>0.1524493891548907</v>
      </c>
      <c r="S353" s="19">
        <f>(K353-Settings!$D$23)/Settings!$E$23</f>
        <v>-1.1790902452503202</v>
      </c>
      <c r="T353" s="19">
        <f>(L353-Settings!$D$24)/Settings!$E$24</f>
        <v>-0.17218959882967994</v>
      </c>
      <c r="U353" s="19">
        <f>(M353-Settings!$D$25)/Settings!$E$25</f>
        <v>0.80237874070875437</v>
      </c>
      <c r="V353" s="31">
        <f>Settings!$B$18*(N353-F$6)^2</f>
        <v>0.37734894703764016</v>
      </c>
      <c r="W353" s="31">
        <f>Settings!$B$19*(O353-G$6)^2</f>
        <v>0.14975087808785556</v>
      </c>
      <c r="X353" s="31">
        <f>Settings!$B$20*(P353-H$6)^2</f>
        <v>1.6277236438540588</v>
      </c>
      <c r="Y353" s="31">
        <f>Settings!$B$21*(Q353-I$6)^2</f>
        <v>0.15700913967331881</v>
      </c>
      <c r="Z353" s="31">
        <f>Settings!$B$22*(R353-J$6)^2</f>
        <v>3.4831781319399141E-8</v>
      </c>
      <c r="AA353" s="31">
        <f>Settings!$B$23*(S353-K$6)^2</f>
        <v>8.4502517640625854</v>
      </c>
      <c r="AB353" s="31">
        <f>Settings!$B$24*(T353-L$6)^2</f>
        <v>2.8845810377531311</v>
      </c>
      <c r="AC353" s="31">
        <f>Settings!$B$25*(U353-M$6)^2</f>
        <v>0.96887333499652939</v>
      </c>
      <c r="AD353" s="19">
        <f t="shared" si="20"/>
        <v>3.8230274365085193</v>
      </c>
      <c r="AE353" s="15">
        <f t="shared" si="21"/>
        <v>1.5132235692978711</v>
      </c>
      <c r="AF353" s="33">
        <f t="shared" si="22"/>
        <v>0.31824849029092611</v>
      </c>
      <c r="AG353" s="47">
        <f t="shared" si="23"/>
        <v>1.3740059926067767E-3</v>
      </c>
      <c r="AH353" s="48"/>
      <c r="AI353" s="48"/>
      <c r="AJ353" s="48"/>
      <c r="AK353" s="48"/>
      <c r="AL353" s="48"/>
      <c r="AM353" s="48"/>
      <c r="AN353" s="48"/>
      <c r="AO353" s="48"/>
      <c r="AP353" s="48"/>
      <c r="AQ353" s="48"/>
    </row>
    <row r="354" spans="1:43" ht="20" customHeight="1" x14ac:dyDescent="0.45">
      <c r="A354" s="26">
        <v>344</v>
      </c>
      <c r="B354" s="16" t="s">
        <v>570</v>
      </c>
      <c r="C354" s="16" t="s">
        <v>216</v>
      </c>
      <c r="D354" s="46">
        <v>26</v>
      </c>
      <c r="E354" s="46">
        <v>1</v>
      </c>
      <c r="F354" s="13">
        <v>0.50218471810762411</v>
      </c>
      <c r="G354" s="13">
        <v>0.33369384027141608</v>
      </c>
      <c r="H354" s="13">
        <v>1.013493302256746E-3</v>
      </c>
      <c r="I354" s="13">
        <v>8.8534550233481821E-2</v>
      </c>
      <c r="J354" s="13">
        <v>7.4573398085221287E-2</v>
      </c>
      <c r="K354" s="13">
        <v>12.31421911421911</v>
      </c>
      <c r="L354" s="13">
        <v>0.63611692023936428</v>
      </c>
      <c r="M354" s="13">
        <v>-1.202934527569298</v>
      </c>
      <c r="N354" s="19">
        <f>(F354-Settings!$D$18)/Settings!$E$18</f>
        <v>1.1089777328723658</v>
      </c>
      <c r="O354" s="19">
        <f>(G354-Settings!$D$19)/Settings!$E$19</f>
        <v>1.4178820567515178</v>
      </c>
      <c r="P354" s="19">
        <f>(H354-Settings!$D$20)/Settings!$E$20</f>
        <v>-0.47216016656359316</v>
      </c>
      <c r="Q354" s="19">
        <f>(I354-Settings!$D$21)/Settings!$E$21</f>
        <v>1.1249457170031874</v>
      </c>
      <c r="R354" s="19">
        <f>(J354-Settings!$D$22)/Settings!$E$22</f>
        <v>-0.4662390683847531</v>
      </c>
      <c r="S354" s="19">
        <f>(K354-Settings!$D$23)/Settings!$E$23</f>
        <v>-1.0213390455587685</v>
      </c>
      <c r="T354" s="19">
        <f>(L354-Settings!$D$24)/Settings!$E$24</f>
        <v>-0.46469475031546176</v>
      </c>
      <c r="U354" s="19">
        <f>(M354-Settings!$D$25)/Settings!$E$25</f>
        <v>-0.77530218506445125</v>
      </c>
      <c r="V354" s="31">
        <f>Settings!$B$18*(N354-F$6)^2</f>
        <v>0.22566987558218982</v>
      </c>
      <c r="W354" s="31">
        <f>Settings!$B$19*(O354-G$6)^2</f>
        <v>0.16702008842816962</v>
      </c>
      <c r="X354" s="31">
        <f>Settings!$B$20*(P354-H$6)^2</f>
        <v>1.4946167906669157</v>
      </c>
      <c r="Y354" s="31">
        <f>Settings!$B$21*(Q354-I$6)^2</f>
        <v>0.78779025444521622</v>
      </c>
      <c r="Z354" s="31">
        <f>Settings!$B$22*(R354-J$6)^2</f>
        <v>7.6658393624215199E-2</v>
      </c>
      <c r="AA354" s="31">
        <f>Settings!$B$23*(S354-K$6)^2</f>
        <v>7.5579932867102224</v>
      </c>
      <c r="AB354" s="31">
        <f>Settings!$B$24*(T354-L$6)^2</f>
        <v>3.9637249822722329</v>
      </c>
      <c r="AC354" s="31">
        <f>Settings!$B$25*(U354-M$6)^2</f>
        <v>0.3520847399814363</v>
      </c>
      <c r="AD354" s="19">
        <f t="shared" si="20"/>
        <v>3.8243376435286929</v>
      </c>
      <c r="AE354" s="15">
        <f t="shared" si="21"/>
        <v>1.5137421729899745</v>
      </c>
      <c r="AF354" s="33">
        <f t="shared" si="22"/>
        <v>0.31799879575464635</v>
      </c>
      <c r="AG354" s="47">
        <f t="shared" si="23"/>
        <v>1.3729279614467359E-3</v>
      </c>
      <c r="AH354" s="18">
        <v>-0.25311025545897342</v>
      </c>
      <c r="AI354" s="46">
        <v>1</v>
      </c>
      <c r="AJ354" s="18">
        <v>0.44638744918627188</v>
      </c>
      <c r="AK354" s="46">
        <v>1</v>
      </c>
      <c r="AL354" s="48"/>
      <c r="AM354" s="48"/>
      <c r="AN354" s="48"/>
      <c r="AO354" s="48"/>
      <c r="AP354" s="48"/>
      <c r="AQ354" s="48"/>
    </row>
    <row r="355" spans="1:43" ht="20" customHeight="1" x14ac:dyDescent="0.45">
      <c r="A355" s="26">
        <v>345</v>
      </c>
      <c r="B355" s="16" t="s">
        <v>571</v>
      </c>
      <c r="C355" s="16" t="s">
        <v>216</v>
      </c>
      <c r="D355" s="46">
        <v>26</v>
      </c>
      <c r="E355" s="46">
        <v>1</v>
      </c>
      <c r="F355" s="13">
        <v>-0.17022605714551259</v>
      </c>
      <c r="G355" s="13">
        <v>0.40962205651380001</v>
      </c>
      <c r="H355" s="13">
        <v>2.9016145018116259E-2</v>
      </c>
      <c r="I355" s="13">
        <v>6.5768518372958884E-2</v>
      </c>
      <c r="J355" s="13">
        <v>-0.32536722294961229</v>
      </c>
      <c r="K355" s="13">
        <v>14.9640826873385</v>
      </c>
      <c r="L355" s="13">
        <v>-0.32191643580629398</v>
      </c>
      <c r="M355" s="13">
        <v>1.2974066546339269</v>
      </c>
      <c r="N355" s="19">
        <f>(F355-Settings!$D$18)/Settings!$E$18</f>
        <v>-1.2975385147817557</v>
      </c>
      <c r="O355" s="19">
        <f>(G355-Settings!$D$19)/Settings!$E$19</f>
        <v>1.7342086831460737</v>
      </c>
      <c r="P355" s="19">
        <f>(H355-Settings!$D$20)/Settings!$E$20</f>
        <v>-0.21845075715922094</v>
      </c>
      <c r="Q355" s="19">
        <f>(I355-Settings!$D$21)/Settings!$E$21</f>
        <v>0.84498482163219935</v>
      </c>
      <c r="R355" s="19">
        <f>(J355-Settings!$D$22)/Settings!$E$22</f>
        <v>-1.5422981387173256</v>
      </c>
      <c r="S355" s="19">
        <f>(K355-Settings!$D$23)/Settings!$E$23</f>
        <v>-0.10110237673566487</v>
      </c>
      <c r="T355" s="19">
        <f>(L355-Settings!$D$24)/Settings!$E$24</f>
        <v>-1.1270356122248433</v>
      </c>
      <c r="U355" s="19">
        <f>(M355-Settings!$D$25)/Settings!$E$25</f>
        <v>0.91095575577013721</v>
      </c>
      <c r="V355" s="31">
        <f>Settings!$B$18*(N355-F$6)^2</f>
        <v>0.36141684969832272</v>
      </c>
      <c r="W355" s="31">
        <f>Settings!$B$19*(O355-G$6)^2</f>
        <v>0.30266115019386713</v>
      </c>
      <c r="X355" s="31">
        <f>Settings!$B$20*(P355-H$6)^2</f>
        <v>1.2300649076398176</v>
      </c>
      <c r="Y355" s="31">
        <f>Settings!$B$21*(Q355-I$6)^2</f>
        <v>0.58121285587540072</v>
      </c>
      <c r="Z355" s="31">
        <f>Settings!$B$22*(R355-J$6)^2</f>
        <v>0.57471677466795001</v>
      </c>
      <c r="AA355" s="31">
        <f>Settings!$B$23*(S355-K$6)^2</f>
        <v>3.3450354478752118</v>
      </c>
      <c r="AB355" s="31">
        <f>Settings!$B$24*(T355-L$6)^2</f>
        <v>7.0397432735868319</v>
      </c>
      <c r="AC355" s="31">
        <f>Settings!$B$25*(U355-M$6)^2</f>
        <v>1.1944099762665727</v>
      </c>
      <c r="AD355" s="19">
        <f t="shared" si="20"/>
        <v>3.8248217260159949</v>
      </c>
      <c r="AE355" s="15">
        <f t="shared" si="21"/>
        <v>1.5139337816146667</v>
      </c>
      <c r="AF355" s="33">
        <f t="shared" si="22"/>
        <v>0.31790656899716946</v>
      </c>
      <c r="AG355" s="47">
        <f t="shared" si="23"/>
        <v>1.3725297816554159E-3</v>
      </c>
      <c r="AH355" s="18">
        <v>0.48875292088004152</v>
      </c>
      <c r="AI355" s="46">
        <v>1</v>
      </c>
      <c r="AJ355" s="18">
        <v>-0.53856881533152567</v>
      </c>
      <c r="AK355" s="46">
        <v>1</v>
      </c>
      <c r="AL355" s="48"/>
      <c r="AM355" s="48"/>
      <c r="AN355" s="48"/>
      <c r="AO355" s="48"/>
      <c r="AP355" s="48"/>
      <c r="AQ355" s="48"/>
    </row>
    <row r="356" spans="1:43" ht="20" customHeight="1" x14ac:dyDescent="0.45">
      <c r="A356" s="26">
        <v>346</v>
      </c>
      <c r="B356" s="16" t="s">
        <v>572</v>
      </c>
      <c r="C356" s="16" t="s">
        <v>220</v>
      </c>
      <c r="D356" s="46">
        <v>26</v>
      </c>
      <c r="E356" s="46">
        <v>1</v>
      </c>
      <c r="F356" s="13">
        <v>0.36736521239298958</v>
      </c>
      <c r="G356" s="13">
        <v>0.15388147937751151</v>
      </c>
      <c r="H356" s="13">
        <v>8.5731754024392579E-4</v>
      </c>
      <c r="I356" s="13">
        <v>4.7191052993342718E-2</v>
      </c>
      <c r="J356" s="13">
        <v>0.43070493769591212</v>
      </c>
      <c r="K356" s="13">
        <v>11.26263440860215</v>
      </c>
      <c r="L356" s="13">
        <v>1.4711514932834771</v>
      </c>
      <c r="M356" s="13">
        <v>-1.7444462867782671</v>
      </c>
      <c r="N356" s="19">
        <f>(F356-Settings!$D$18)/Settings!$E$18</f>
        <v>0.62646712634494284</v>
      </c>
      <c r="O356" s="19">
        <f>(G356-Settings!$D$19)/Settings!$E$19</f>
        <v>0.66876084305101124</v>
      </c>
      <c r="P356" s="19">
        <f>(H356-Settings!$D$20)/Settings!$E$20</f>
        <v>-0.47357514899974257</v>
      </c>
      <c r="Q356" s="19">
        <f>(I356-Settings!$D$21)/Settings!$E$21</f>
        <v>0.61653201645012801</v>
      </c>
      <c r="R356" s="19">
        <f>(J356-Settings!$D$22)/Settings!$E$22</f>
        <v>0.49194960581898706</v>
      </c>
      <c r="S356" s="19">
        <f>(K356-Settings!$D$23)/Settings!$E$23</f>
        <v>-1.3865302260779613</v>
      </c>
      <c r="T356" s="19">
        <f>(L356-Settings!$D$24)/Settings!$E$24</f>
        <v>0.1126103250704637</v>
      </c>
      <c r="U356" s="19">
        <f>(M356-Settings!$D$25)/Settings!$E$25</f>
        <v>-1.1405037465636747</v>
      </c>
      <c r="V356" s="31">
        <f>Settings!$B$18*(N356-F$6)^2</f>
        <v>6.7216749329594622E-2</v>
      </c>
      <c r="W356" s="31">
        <f>Settings!$B$19*(O356-G$6)^2</f>
        <v>5.4263438333593634E-3</v>
      </c>
      <c r="X356" s="31">
        <f>Settings!$B$20*(P356-H$6)^2</f>
        <v>1.4961644428108274</v>
      </c>
      <c r="Y356" s="31">
        <f>Settings!$B$21*(Q356-I$6)^2</f>
        <v>0.43587192708272449</v>
      </c>
      <c r="Z356" s="31">
        <f>Settings!$B$22*(R356-J$6)^2</f>
        <v>2.2995441686828266E-2</v>
      </c>
      <c r="AA356" s="31">
        <f>Settings!$B$23*(S356-K$6)^2</f>
        <v>9.6993108116342679</v>
      </c>
      <c r="AB356" s="31">
        <f>Settings!$B$24*(T356-L$6)^2</f>
        <v>1.9982805544251079</v>
      </c>
      <c r="AC356" s="31">
        <f>Settings!$B$25*(U356-M$6)^2</f>
        <v>0.9188542416744131</v>
      </c>
      <c r="AD356" s="19">
        <f t="shared" si="20"/>
        <v>3.826763712652915</v>
      </c>
      <c r="AE356" s="15">
        <f t="shared" si="21"/>
        <v>1.5147024551329851</v>
      </c>
      <c r="AF356" s="33">
        <f t="shared" si="22"/>
        <v>0.31753673587699277</v>
      </c>
      <c r="AG356" s="47">
        <f t="shared" si="23"/>
        <v>1.3709330641881227E-3</v>
      </c>
      <c r="AH356" s="18">
        <v>-0.5330467773426466</v>
      </c>
      <c r="AI356" s="46">
        <v>1</v>
      </c>
      <c r="AJ356" s="18">
        <v>-0.53455661720389425</v>
      </c>
      <c r="AK356" s="46">
        <v>1</v>
      </c>
      <c r="AL356" s="18">
        <v>-0.30914338932920638</v>
      </c>
      <c r="AM356" s="46">
        <v>1</v>
      </c>
      <c r="AN356" s="18">
        <v>1.261938142880667E-2</v>
      </c>
      <c r="AO356" s="46">
        <v>1</v>
      </c>
      <c r="AP356" s="48"/>
      <c r="AQ356" s="48"/>
    </row>
    <row r="357" spans="1:43" ht="20" customHeight="1" x14ac:dyDescent="0.45">
      <c r="A357" s="26">
        <v>347</v>
      </c>
      <c r="B357" s="16" t="s">
        <v>573</v>
      </c>
      <c r="C357" s="16" t="s">
        <v>246</v>
      </c>
      <c r="D357" s="46">
        <v>26</v>
      </c>
      <c r="E357" s="46">
        <v>1</v>
      </c>
      <c r="F357" s="13">
        <v>-4.365302963990475E-2</v>
      </c>
      <c r="G357" s="13">
        <v>-0.29481523718031249</v>
      </c>
      <c r="H357" s="13">
        <v>3.2707805700478072E-3</v>
      </c>
      <c r="I357" s="13">
        <v>-4.8271193568478601E-2</v>
      </c>
      <c r="J357" s="13">
        <v>0.6099897590412563</v>
      </c>
      <c r="K357" s="13">
        <v>13.836951754385939</v>
      </c>
      <c r="L357" s="13">
        <v>0.15857018049432431</v>
      </c>
      <c r="M357" s="13">
        <v>1.7577440201082459</v>
      </c>
      <c r="N357" s="19">
        <f>(F357-Settings!$D$18)/Settings!$E$18</f>
        <v>-0.84454153969261159</v>
      </c>
      <c r="O357" s="19">
        <f>(G357-Settings!$D$19)/Settings!$E$19</f>
        <v>-1.2005668673479224</v>
      </c>
      <c r="P357" s="19">
        <f>(H357-Settings!$D$20)/Settings!$E$20</f>
        <v>-0.45170870984519496</v>
      </c>
      <c r="Q357" s="19">
        <f>(I357-Settings!$D$21)/Settings!$E$21</f>
        <v>-0.55739658846923779</v>
      </c>
      <c r="R357" s="19">
        <f>(J357-Settings!$D$22)/Settings!$E$22</f>
        <v>0.97432385848288339</v>
      </c>
      <c r="S357" s="19">
        <f>(K357-Settings!$D$23)/Settings!$E$23</f>
        <v>-0.49252902435236806</v>
      </c>
      <c r="T357" s="19">
        <f>(L357-Settings!$D$24)/Settings!$E$24</f>
        <v>-0.79484893253547062</v>
      </c>
      <c r="U357" s="19">
        <f>(M357-Settings!$D$25)/Settings!$E$25</f>
        <v>1.221412402054681</v>
      </c>
      <c r="V357" s="31">
        <f>Settings!$B$18*(N357-F$6)^2</f>
        <v>0.1588764933723017</v>
      </c>
      <c r="W357" s="31">
        <f>Settings!$B$19*(O357-G$6)^2</f>
        <v>0.58113947461775239</v>
      </c>
      <c r="X357" s="31">
        <f>Settings!$B$20*(P357-H$6)^2</f>
        <v>1.4723372316768142</v>
      </c>
      <c r="Y357" s="31">
        <f>Settings!$B$21*(Q357-I$6)^2</f>
        <v>1.8281511798960672E-2</v>
      </c>
      <c r="Z357" s="31">
        <f>Settings!$B$22*(R357-J$6)^2</f>
        <v>0.13495836848521514</v>
      </c>
      <c r="AA357" s="31">
        <f>Settings!$B$23*(S357-K$6)^2</f>
        <v>4.9300449541705929</v>
      </c>
      <c r="AB357" s="31">
        <f>Settings!$B$24*(T357-L$6)^2</f>
        <v>5.3873416825510594</v>
      </c>
      <c r="AC357" s="31">
        <f>Settings!$B$25*(U357-M$6)^2</f>
        <v>1.969383638366724</v>
      </c>
      <c r="AD357" s="19">
        <f t="shared" si="20"/>
        <v>3.8278405602949843</v>
      </c>
      <c r="AE357" s="15">
        <f t="shared" si="21"/>
        <v>1.5151286909525246</v>
      </c>
      <c r="AF357" s="33">
        <f t="shared" si="22"/>
        <v>0.31733176500768878</v>
      </c>
      <c r="AG357" s="47">
        <f t="shared" si="23"/>
        <v>1.3700481229823498E-3</v>
      </c>
      <c r="AH357" s="18">
        <v>1.101420054333685</v>
      </c>
      <c r="AI357" s="46">
        <v>1</v>
      </c>
      <c r="AJ357" s="48"/>
      <c r="AK357" s="48"/>
      <c r="AL357" s="48"/>
      <c r="AM357" s="48"/>
      <c r="AN357" s="48"/>
      <c r="AO357" s="48"/>
      <c r="AP357" s="48"/>
      <c r="AQ357" s="48"/>
    </row>
    <row r="358" spans="1:43" ht="20" customHeight="1" x14ac:dyDescent="0.45">
      <c r="A358" s="26">
        <v>348</v>
      </c>
      <c r="B358" s="16" t="s">
        <v>574</v>
      </c>
      <c r="C358" s="16" t="s">
        <v>227</v>
      </c>
      <c r="D358" s="46">
        <v>26</v>
      </c>
      <c r="E358" s="46">
        <v>0</v>
      </c>
      <c r="F358" s="13">
        <v>-0.28209472772274552</v>
      </c>
      <c r="G358" s="13">
        <v>-0.2459612247942162</v>
      </c>
      <c r="H358" s="13">
        <v>-2.00557041882428E-2</v>
      </c>
      <c r="I358" s="13">
        <v>0.1003110998999544</v>
      </c>
      <c r="J358" s="13">
        <v>0.35157724339484098</v>
      </c>
      <c r="K358" s="13">
        <v>14.283473389355709</v>
      </c>
      <c r="L358" s="13">
        <v>-0.2493229287493777</v>
      </c>
      <c r="M358" s="13">
        <v>-0.55399784477568004</v>
      </c>
      <c r="N358" s="19">
        <f>(F358-Settings!$D$18)/Settings!$E$18</f>
        <v>-1.6979095130695645</v>
      </c>
      <c r="O358" s="19">
        <f>(G358-Settings!$D$19)/Settings!$E$19</f>
        <v>-0.99703482499625184</v>
      </c>
      <c r="P358" s="19">
        <f>(H358-Settings!$D$20)/Settings!$E$20</f>
        <v>-0.66305114739564364</v>
      </c>
      <c r="Q358" s="19">
        <f>(I358-Settings!$D$21)/Settings!$E$21</f>
        <v>1.2697655700722519</v>
      </c>
      <c r="R358" s="19">
        <f>(J358-Settings!$D$22)/Settings!$E$22</f>
        <v>0.27905281892382783</v>
      </c>
      <c r="S358" s="19">
        <f>(K358-Settings!$D$23)/Settings!$E$23</f>
        <v>-0.33746233107415025</v>
      </c>
      <c r="T358" s="19">
        <f>(L358-Settings!$D$24)/Settings!$E$24</f>
        <v>-1.0768477500489764</v>
      </c>
      <c r="U358" s="19">
        <f>(M358-Settings!$D$25)/Settings!$E$25</f>
        <v>-0.33765205865436149</v>
      </c>
      <c r="V358" s="31">
        <f>Settings!$B$18*(N358-F$6)^2</f>
        <v>0.6087602609262075</v>
      </c>
      <c r="W358" s="31">
        <f>Settings!$B$19*(O358-G$6)^2</f>
        <v>0.45064738053568587</v>
      </c>
      <c r="X358" s="31">
        <f>Settings!$B$20*(P358-H$6)^2</f>
        <v>1.71063969047265</v>
      </c>
      <c r="Y358" s="31">
        <f>Settings!$B$21*(Q358-I$6)^2</f>
        <v>0.90695318875025743</v>
      </c>
      <c r="Z358" s="31">
        <f>Settings!$B$22*(R358-J$6)^2</f>
        <v>3.1845866828850186E-3</v>
      </c>
      <c r="AA358" s="31">
        <f>Settings!$B$23*(S358-K$6)^2</f>
        <v>4.2654796251439446</v>
      </c>
      <c r="AB358" s="31">
        <f>Settings!$B$24*(T358-L$6)^2</f>
        <v>6.7759400586004483</v>
      </c>
      <c r="AC358" s="31">
        <f>Settings!$B$25*(U358-M$6)^2</f>
        <v>2.4247834810664091E-2</v>
      </c>
      <c r="AD358" s="19">
        <f t="shared" si="20"/>
        <v>3.8400328938594708</v>
      </c>
      <c r="AE358" s="15">
        <f t="shared" si="21"/>
        <v>1.519954637619382</v>
      </c>
      <c r="AF358" s="33">
        <f t="shared" si="22"/>
        <v>0.3150162512522407</v>
      </c>
      <c r="AG358" s="47">
        <f t="shared" si="23"/>
        <v>1.3600511241810649E-3</v>
      </c>
      <c r="AH358" s="18">
        <v>1.426151124849103</v>
      </c>
      <c r="AI358" s="46">
        <v>0</v>
      </c>
      <c r="AJ358" s="18">
        <v>0.64381453910269881</v>
      </c>
      <c r="AK358" s="46">
        <v>0</v>
      </c>
      <c r="AL358" s="18">
        <v>-1.919765262388281</v>
      </c>
      <c r="AM358" s="46">
        <v>0</v>
      </c>
      <c r="AN358" s="18">
        <v>-0.6277992426172827</v>
      </c>
      <c r="AO358" s="46">
        <v>1</v>
      </c>
      <c r="AP358" s="18">
        <v>0.2405677129146637</v>
      </c>
      <c r="AQ358" s="46">
        <v>1</v>
      </c>
    </row>
    <row r="359" spans="1:43" ht="20" customHeight="1" x14ac:dyDescent="0.45">
      <c r="A359" s="26">
        <v>349</v>
      </c>
      <c r="B359" s="16" t="s">
        <v>575</v>
      </c>
      <c r="C359" s="16" t="s">
        <v>232</v>
      </c>
      <c r="D359" s="46">
        <v>26</v>
      </c>
      <c r="E359" s="46">
        <v>0</v>
      </c>
      <c r="F359" s="13">
        <v>0.1829686258749943</v>
      </c>
      <c r="G359" s="13">
        <v>-0.15052488351873919</v>
      </c>
      <c r="H359" s="13">
        <v>-3.3206481475323957E-2</v>
      </c>
      <c r="I359" s="13">
        <v>-1.5715546859017621E-4</v>
      </c>
      <c r="J359" s="13">
        <v>0.63314285366235223</v>
      </c>
      <c r="K359" s="13">
        <v>11.664400000000001</v>
      </c>
      <c r="L359" s="13">
        <v>0.86370564331077637</v>
      </c>
      <c r="M359" s="13">
        <v>-0.97631463865201029</v>
      </c>
      <c r="N359" s="19">
        <f>(F359-Settings!$D$18)/Settings!$E$18</f>
        <v>-3.3476761824396205E-2</v>
      </c>
      <c r="O359" s="19">
        <f>(G359-Settings!$D$19)/Settings!$E$19</f>
        <v>-0.5994348632805796</v>
      </c>
      <c r="P359" s="19">
        <f>(H359-Settings!$D$20)/Settings!$E$20</f>
        <v>-0.78219971848700753</v>
      </c>
      <c r="Q359" s="19">
        <f>(I359-Settings!$D$21)/Settings!$E$21</f>
        <v>3.4276535283000988E-2</v>
      </c>
      <c r="R359" s="19">
        <f>(J359-Settings!$D$22)/Settings!$E$22</f>
        <v>1.0366183496221784</v>
      </c>
      <c r="S359" s="19">
        <f>(K359-Settings!$D$23)/Settings!$E$23</f>
        <v>-1.2470062772882231</v>
      </c>
      <c r="T359" s="19">
        <f>(L359-Settings!$D$24)/Settings!$E$24</f>
        <v>-0.30735021732115286</v>
      </c>
      <c r="U359" s="19">
        <f>(M359-Settings!$D$25)/Settings!$E$25</f>
        <v>-0.62246720799900179</v>
      </c>
      <c r="V359" s="31">
        <f>Settings!$B$18*(N359-F$6)^2</f>
        <v>1.2869400849873109E-3</v>
      </c>
      <c r="W359" s="31">
        <f>Settings!$B$19*(O359-G$6)^2</f>
        <v>0.24353301210563269</v>
      </c>
      <c r="X359" s="31">
        <f>Settings!$B$20*(P359-H$6)^2</f>
        <v>1.8528630247790028</v>
      </c>
      <c r="Y359" s="31">
        <f>Settings!$B$21*(Q359-I$6)^2</f>
        <v>0.15985075961193365</v>
      </c>
      <c r="Z359" s="31">
        <f>Settings!$B$22*(R359-J$6)^2</f>
        <v>0.15620339116722493</v>
      </c>
      <c r="AA359" s="31">
        <f>Settings!$B$23*(S359-K$6)^2</f>
        <v>8.8497188810350114</v>
      </c>
      <c r="AB359" s="31">
        <f>Settings!$B$24*(T359-L$6)^2</f>
        <v>3.3619644899143797</v>
      </c>
      <c r="AC359" s="31">
        <f>Settings!$B$25*(U359-M$6)^2</f>
        <v>0.19406871810059986</v>
      </c>
      <c r="AD359" s="19">
        <f t="shared" si="20"/>
        <v>3.849608969336856</v>
      </c>
      <c r="AE359" s="15">
        <f t="shared" si="21"/>
        <v>1.5237450219036728</v>
      </c>
      <c r="AF359" s="33">
        <f t="shared" si="22"/>
        <v>0.31320434379383627</v>
      </c>
      <c r="AG359" s="47">
        <f t="shared" si="23"/>
        <v>1.3522283951443277E-3</v>
      </c>
      <c r="AH359" s="48"/>
      <c r="AI359" s="48"/>
      <c r="AJ359" s="48"/>
      <c r="AK359" s="48"/>
      <c r="AL359" s="48"/>
      <c r="AM359" s="48"/>
      <c r="AN359" s="48"/>
      <c r="AO359" s="48"/>
      <c r="AP359" s="48"/>
      <c r="AQ359" s="48"/>
    </row>
    <row r="360" spans="1:43" ht="20" customHeight="1" x14ac:dyDescent="0.45">
      <c r="A360" s="26">
        <v>350</v>
      </c>
      <c r="B360" s="16" t="s">
        <v>576</v>
      </c>
      <c r="C360" s="16" t="s">
        <v>229</v>
      </c>
      <c r="D360" s="46">
        <v>26</v>
      </c>
      <c r="E360" s="46">
        <v>1</v>
      </c>
      <c r="F360" s="13">
        <v>0.74401911885656424</v>
      </c>
      <c r="G360" s="13">
        <v>4.7760854286653838E-2</v>
      </c>
      <c r="H360" s="13">
        <v>2.4125470360186071E-2</v>
      </c>
      <c r="I360" s="13">
        <v>2.2096501437182149E-2</v>
      </c>
      <c r="J360" s="13">
        <v>-0.16199805505941389</v>
      </c>
      <c r="K360" s="13">
        <v>12.49485458612973</v>
      </c>
      <c r="L360" s="13">
        <v>0.88202944150224472</v>
      </c>
      <c r="M360" s="13">
        <v>1.625549641185037</v>
      </c>
      <c r="N360" s="19">
        <f>(F360-Settings!$D$18)/Settings!$E$18</f>
        <v>1.9744879775958091</v>
      </c>
      <c r="O360" s="19">
        <f>(G360-Settings!$D$19)/Settings!$E$19</f>
        <v>0.22664879318128164</v>
      </c>
      <c r="P360" s="19">
        <f>(H360-Settings!$D$20)/Settings!$E$20</f>
        <v>-0.26276121002785607</v>
      </c>
      <c r="Q360" s="19">
        <f>(I360-Settings!$D$21)/Settings!$E$21</f>
        <v>0.30793659825700076</v>
      </c>
      <c r="R360" s="19">
        <f>(J360-Settings!$D$22)/Settings!$E$22</f>
        <v>-1.1027457009927724</v>
      </c>
      <c r="S360" s="19">
        <f>(K360-Settings!$D$23)/Settings!$E$23</f>
        <v>-0.95860850100222872</v>
      </c>
      <c r="T360" s="19">
        <f>(L360-Settings!$D$24)/Settings!$E$24</f>
        <v>-0.29468197334926727</v>
      </c>
      <c r="U360" s="19">
        <f>(M360-Settings!$D$25)/Settings!$E$25</f>
        <v>1.1322590405936133</v>
      </c>
      <c r="V360" s="31">
        <f>Settings!$B$18*(N360-F$6)^2</f>
        <v>0.74324258977843982</v>
      </c>
      <c r="W360" s="31">
        <f>Settings!$B$19*(O360-G$6)^2</f>
        <v>1.5389592944637848E-2</v>
      </c>
      <c r="X360" s="31">
        <f>Settings!$B$20*(P360-H$6)^2</f>
        <v>1.2744132904743797</v>
      </c>
      <c r="Y360" s="31">
        <f>Settings!$B$21*(Q360-I$6)^2</f>
        <v>0.27269065376249924</v>
      </c>
      <c r="Z360" s="31">
        <f>Settings!$B$22*(R360-J$6)^2</f>
        <v>0.31531250666299404</v>
      </c>
      <c r="AA360" s="31">
        <f>Settings!$B$23*(S360-K$6)^2</f>
        <v>7.2170132313095952</v>
      </c>
      <c r="AB360" s="31">
        <f>Settings!$B$24*(T360-L$6)^2</f>
        <v>3.3156688499911109</v>
      </c>
      <c r="AC360" s="31">
        <f>Settings!$B$25*(U360-M$6)^2</f>
        <v>1.7271057024262917</v>
      </c>
      <c r="AD360" s="19">
        <f t="shared" si="20"/>
        <v>3.8575687184222587</v>
      </c>
      <c r="AE360" s="15">
        <f t="shared" si="21"/>
        <v>1.5268956348986789</v>
      </c>
      <c r="AF360" s="33">
        <f t="shared" si="22"/>
        <v>0.31170279043583665</v>
      </c>
      <c r="AG360" s="47">
        <f t="shared" si="23"/>
        <v>1.3457455888622797E-3</v>
      </c>
      <c r="AH360" s="18">
        <v>0.84524317894044687</v>
      </c>
      <c r="AI360" s="46">
        <v>1</v>
      </c>
      <c r="AJ360" s="18">
        <v>0.75631090166343329</v>
      </c>
      <c r="AK360" s="46">
        <v>1</v>
      </c>
      <c r="AL360" s="18">
        <v>-0.54326050909205303</v>
      </c>
      <c r="AM360" s="46">
        <v>1</v>
      </c>
      <c r="AN360" s="48"/>
      <c r="AO360" s="48"/>
      <c r="AP360" s="48"/>
      <c r="AQ360" s="48"/>
    </row>
    <row r="361" spans="1:43" ht="20" customHeight="1" x14ac:dyDescent="0.45">
      <c r="A361" s="26">
        <v>351</v>
      </c>
      <c r="B361" s="16" t="s">
        <v>577</v>
      </c>
      <c r="C361" s="16" t="s">
        <v>220</v>
      </c>
      <c r="D361" s="46">
        <v>26</v>
      </c>
      <c r="E361" s="46">
        <v>1</v>
      </c>
      <c r="F361" s="13">
        <v>0.29179097565265699</v>
      </c>
      <c r="G361" s="13">
        <v>-0.39891056623909998</v>
      </c>
      <c r="H361" s="13">
        <v>2.2636485701468381E-2</v>
      </c>
      <c r="I361" s="13">
        <v>-1.278016658901994E-3</v>
      </c>
      <c r="J361" s="13">
        <v>-0.28538395574787262</v>
      </c>
      <c r="K361" s="13">
        <v>16.2025641025641</v>
      </c>
      <c r="L361" s="13">
        <v>-0.96176240439028748</v>
      </c>
      <c r="M361" s="13">
        <v>0.75774679707454096</v>
      </c>
      <c r="N361" s="19">
        <f>(F361-Settings!$D$18)/Settings!$E$18</f>
        <v>0.35599164422435642</v>
      </c>
      <c r="O361" s="19">
        <f>(G361-Settings!$D$19)/Settings!$E$19</f>
        <v>-1.6342412758113283</v>
      </c>
      <c r="P361" s="19">
        <f>(H361-Settings!$D$20)/Settings!$E$20</f>
        <v>-0.27625169736486366</v>
      </c>
      <c r="Q361" s="19">
        <f>(I361-Settings!$D$21)/Settings!$E$21</f>
        <v>2.0492960510340535E-2</v>
      </c>
      <c r="R361" s="19">
        <f>(J361-Settings!$D$22)/Settings!$E$22</f>
        <v>-1.4347212758754402</v>
      </c>
      <c r="S361" s="19">
        <f>(K361-Settings!$D$23)/Settings!$E$23</f>
        <v>0.32899373217642214</v>
      </c>
      <c r="T361" s="19">
        <f>(L361-Settings!$D$24)/Settings!$E$24</f>
        <v>-1.5693961288465295</v>
      </c>
      <c r="U361" s="19">
        <f>(M361-Settings!$D$25)/Settings!$E$25</f>
        <v>0.54700313736895245</v>
      </c>
      <c r="V361" s="31">
        <f>Settings!$B$18*(N361-F$6)^2</f>
        <v>1.9127337829258378E-2</v>
      </c>
      <c r="W361" s="31">
        <f>Settings!$B$19*(O361-G$6)^2</f>
        <v>0.91445257441456196</v>
      </c>
      <c r="X361" s="31">
        <f>Settings!$B$20*(P361-H$6)^2</f>
        <v>1.2880712783053836</v>
      </c>
      <c r="Y361" s="31">
        <f>Settings!$B$21*(Q361-I$6)^2</f>
        <v>0.15495969577860849</v>
      </c>
      <c r="Z361" s="31">
        <f>Settings!$B$22*(R361-J$6)^2</f>
        <v>0.50408712426739688</v>
      </c>
      <c r="AA361" s="31">
        <f>Settings!$B$23*(S361-K$6)^2</f>
        <v>1.956774881460402</v>
      </c>
      <c r="AB361" s="31">
        <f>Settings!$B$24*(T361-L$6)^2</f>
        <v>9.5828134673286911</v>
      </c>
      <c r="AC361" s="31">
        <f>Settings!$B$25*(U361-M$6)^2</f>
        <v>0.53135065618499611</v>
      </c>
      <c r="AD361" s="19">
        <f t="shared" si="20"/>
        <v>3.8667346709554948</v>
      </c>
      <c r="AE361" s="15">
        <f t="shared" si="21"/>
        <v>1.530523685086314</v>
      </c>
      <c r="AF361" s="33">
        <f t="shared" si="22"/>
        <v>0.30997879864636241</v>
      </c>
      <c r="AG361" s="47">
        <f t="shared" si="23"/>
        <v>1.3383024269237043E-3</v>
      </c>
      <c r="AH361" s="18">
        <v>-0.27188398343535902</v>
      </c>
      <c r="AI361" s="46">
        <v>1</v>
      </c>
      <c r="AJ361" s="18">
        <v>1.5116952811516879</v>
      </c>
      <c r="AK361" s="46">
        <v>1</v>
      </c>
      <c r="AL361" s="18">
        <v>1.528789328701307</v>
      </c>
      <c r="AM361" s="46">
        <v>1</v>
      </c>
      <c r="AN361" s="18">
        <v>-1.8205177188241799</v>
      </c>
      <c r="AO361" s="46">
        <v>1</v>
      </c>
      <c r="AP361" s="48"/>
      <c r="AQ361" s="48"/>
    </row>
    <row r="362" spans="1:43" ht="20" customHeight="1" x14ac:dyDescent="0.45">
      <c r="A362" s="26">
        <v>352</v>
      </c>
      <c r="B362" s="16" t="s">
        <v>578</v>
      </c>
      <c r="C362" s="16" t="s">
        <v>260</v>
      </c>
      <c r="D362" s="46">
        <v>26</v>
      </c>
      <c r="E362" s="46">
        <v>1</v>
      </c>
      <c r="F362" s="13">
        <v>-0.15570016290529171</v>
      </c>
      <c r="G362" s="13">
        <v>0.1021085460206706</v>
      </c>
      <c r="H362" s="13">
        <v>-9.2595261128287953E-4</v>
      </c>
      <c r="I362" s="13">
        <v>-7.2886947915362502E-2</v>
      </c>
      <c r="J362" s="13">
        <v>0.66837839054739234</v>
      </c>
      <c r="K362" s="13">
        <v>13.51809523809524</v>
      </c>
      <c r="L362" s="13">
        <v>1.125380608200043</v>
      </c>
      <c r="M362" s="13">
        <v>2.9275094686468099</v>
      </c>
      <c r="N362" s="19">
        <f>(F362-Settings!$D$18)/Settings!$E$18</f>
        <v>-1.2455512448162542</v>
      </c>
      <c r="O362" s="19">
        <f>(G362-Settings!$D$19)/Settings!$E$19</f>
        <v>0.45306820390037955</v>
      </c>
      <c r="P362" s="19">
        <f>(H362-Settings!$D$20)/Settings!$E$20</f>
        <v>-0.48973191949216249</v>
      </c>
      <c r="Q362" s="19">
        <f>(I362-Settings!$D$21)/Settings!$E$21</f>
        <v>-0.86010409012814171</v>
      </c>
      <c r="R362" s="19">
        <f>(J362-Settings!$D$22)/Settings!$E$22</f>
        <v>1.1314212205210636</v>
      </c>
      <c r="S362" s="19">
        <f>(K362-Settings!$D$23)/Settings!$E$23</f>
        <v>-0.60326055836809023</v>
      </c>
      <c r="T362" s="19">
        <f>(L362-Settings!$D$24)/Settings!$E$24</f>
        <v>-0.12644000089586593</v>
      </c>
      <c r="U362" s="19">
        <f>(M362-Settings!$D$25)/Settings!$E$25</f>
        <v>2.0103152488149609</v>
      </c>
      <c r="V362" s="31">
        <f>Settings!$B$18*(N362-F$6)^2</f>
        <v>0.33400324061125408</v>
      </c>
      <c r="W362" s="31">
        <f>Settings!$B$19*(O362-G$6)^2</f>
        <v>5.1970135760034161E-4</v>
      </c>
      <c r="X362" s="31">
        <f>Settings!$B$20*(P362-H$6)^2</f>
        <v>1.5138928635598363</v>
      </c>
      <c r="Y362" s="31">
        <f>Settings!$B$21*(Q362-I$6)^2</f>
        <v>2.747944171105077E-8</v>
      </c>
      <c r="Z362" s="31">
        <f>Settings!$B$22*(R362-J$6)^2</f>
        <v>0.19151378497166061</v>
      </c>
      <c r="AA362" s="31">
        <f>Settings!$B$23*(S362-K$6)^2</f>
        <v>5.434036479763849</v>
      </c>
      <c r="AB362" s="31">
        <f>Settings!$B$24*(T362-L$6)^2</f>
        <v>2.7312713314704249</v>
      </c>
      <c r="AC362" s="31">
        <f>Settings!$B$25*(U362-M$6)^2</f>
        <v>4.8059606965185289</v>
      </c>
      <c r="AD362" s="19">
        <f t="shared" si="20"/>
        <v>3.8744287483102067</v>
      </c>
      <c r="AE362" s="15">
        <f t="shared" si="21"/>
        <v>1.5335691403937926</v>
      </c>
      <c r="AF362" s="33">
        <f t="shared" si="22"/>
        <v>0.3085358749138854</v>
      </c>
      <c r="AG362" s="47">
        <f t="shared" si="23"/>
        <v>1.3320727481796338E-3</v>
      </c>
      <c r="AH362" s="18">
        <v>0.36783408579584398</v>
      </c>
      <c r="AI362" s="46">
        <v>1</v>
      </c>
      <c r="AJ362" s="18">
        <v>-0.63186302229046121</v>
      </c>
      <c r="AK362" s="46">
        <v>1</v>
      </c>
      <c r="AL362" s="18">
        <v>-0.28588070951867323</v>
      </c>
      <c r="AM362" s="46">
        <v>1</v>
      </c>
      <c r="AN362" s="18">
        <v>7.516486522482646E-2</v>
      </c>
      <c r="AO362" s="46">
        <v>1</v>
      </c>
      <c r="AP362" s="48"/>
      <c r="AQ362" s="48"/>
    </row>
    <row r="363" spans="1:43" ht="20" customHeight="1" x14ac:dyDescent="0.45">
      <c r="A363" s="26">
        <v>353</v>
      </c>
      <c r="B363" s="16" t="s">
        <v>579</v>
      </c>
      <c r="C363" s="16" t="s">
        <v>227</v>
      </c>
      <c r="D363" s="46">
        <v>26</v>
      </c>
      <c r="E363" s="46">
        <v>0</v>
      </c>
      <c r="F363" s="13">
        <v>0.73896776682832233</v>
      </c>
      <c r="G363" s="13">
        <v>-3.6919135088352963E-2</v>
      </c>
      <c r="H363" s="13">
        <v>2.278687945885554E-2</v>
      </c>
      <c r="I363" s="13">
        <v>-5.8033863939520528E-5</v>
      </c>
      <c r="J363" s="13">
        <v>-0.20126818476052971</v>
      </c>
      <c r="K363" s="13">
        <v>13.14348370927318</v>
      </c>
      <c r="L363" s="13">
        <v>0.406411303437755</v>
      </c>
      <c r="M363" s="13">
        <v>-2.3526539399035991</v>
      </c>
      <c r="N363" s="19">
        <f>(F363-Settings!$D$18)/Settings!$E$18</f>
        <v>1.9564095035796714</v>
      </c>
      <c r="O363" s="19">
        <f>(G363-Settings!$D$19)/Settings!$E$19</f>
        <v>-0.1261388355523195</v>
      </c>
      <c r="P363" s="19">
        <f>(H363-Settings!$D$20)/Settings!$E$20</f>
        <v>-0.27488910100249164</v>
      </c>
      <c r="Q363" s="19">
        <f>(I363-Settings!$D$21)/Settings!$E$21</f>
        <v>3.5495464139756489E-2</v>
      </c>
      <c r="R363" s="19">
        <f>(J363-Settings!$D$22)/Settings!$E$22</f>
        <v>-1.2084038338142988</v>
      </c>
      <c r="S363" s="19">
        <f>(K363-Settings!$D$23)/Settings!$E$23</f>
        <v>-0.73335452580209237</v>
      </c>
      <c r="T363" s="19">
        <f>(L363-Settings!$D$24)/Settings!$E$24</f>
        <v>-0.6235028077361191</v>
      </c>
      <c r="U363" s="19">
        <f>(M363-Settings!$D$25)/Settings!$E$25</f>
        <v>-1.5506857617457934</v>
      </c>
      <c r="V363" s="31">
        <f>Settings!$B$18*(N363-F$6)^2</f>
        <v>0.72936765805146109</v>
      </c>
      <c r="W363" s="31">
        <f>Settings!$B$19*(O363-G$6)^2</f>
        <v>7.9426019432878414E-2</v>
      </c>
      <c r="X363" s="31">
        <f>Settings!$B$20*(P363-H$6)^2</f>
        <v>1.286688458599615</v>
      </c>
      <c r="Y363" s="31">
        <f>Settings!$B$21*(Q363-I$6)^2</f>
        <v>0.16028695058196499</v>
      </c>
      <c r="Z363" s="31">
        <f>Settings!$B$22*(R363-J$6)^2</f>
        <v>0.37061150013882632</v>
      </c>
      <c r="AA363" s="31">
        <f>Settings!$B$23*(S363-K$6)^2</f>
        <v>6.0574855324238897</v>
      </c>
      <c r="AB363" s="31">
        <f>Settings!$B$24*(T363-L$6)^2</f>
        <v>4.6212902683568888</v>
      </c>
      <c r="AC363" s="31">
        <f>Settings!$B$25*(U363-M$6)^2</f>
        <v>1.8734789330559476</v>
      </c>
      <c r="AD363" s="19">
        <f t="shared" si="20"/>
        <v>3.8959768121283105</v>
      </c>
      <c r="AE363" s="15">
        <f t="shared" si="21"/>
        <v>1.5420982547106044</v>
      </c>
      <c r="AF363" s="33">
        <f t="shared" si="22"/>
        <v>0.30451543191554614</v>
      </c>
      <c r="AG363" s="47">
        <f t="shared" si="23"/>
        <v>1.3147148880760329E-3</v>
      </c>
      <c r="AH363" s="18">
        <v>-0.35810096240614819</v>
      </c>
      <c r="AI363" s="46">
        <v>0</v>
      </c>
      <c r="AJ363" s="18">
        <v>1.3506423752849199</v>
      </c>
      <c r="AK363" s="46">
        <v>0</v>
      </c>
      <c r="AL363" s="18">
        <v>-0.50065126161064699</v>
      </c>
      <c r="AM363" s="46">
        <v>0</v>
      </c>
      <c r="AN363" s="18">
        <v>-0.91549368807579623</v>
      </c>
      <c r="AO363" s="46">
        <v>1</v>
      </c>
      <c r="AP363" s="18">
        <v>0.5165209273384086</v>
      </c>
      <c r="AQ363" s="46">
        <v>1</v>
      </c>
    </row>
    <row r="364" spans="1:43" ht="20" customHeight="1" x14ac:dyDescent="0.45">
      <c r="A364" s="26">
        <v>354</v>
      </c>
      <c r="B364" s="16" t="s">
        <v>580</v>
      </c>
      <c r="C364" s="16" t="s">
        <v>224</v>
      </c>
      <c r="D364" s="46">
        <v>26</v>
      </c>
      <c r="E364" s="46">
        <v>0</v>
      </c>
      <c r="F364" s="13">
        <v>0.30194704980699699</v>
      </c>
      <c r="G364" s="13">
        <v>0.42784515961669373</v>
      </c>
      <c r="H364" s="13">
        <v>-1.0080914214171601E-3</v>
      </c>
      <c r="I364" s="13">
        <v>-0.15074315844185149</v>
      </c>
      <c r="J364" s="13">
        <v>-0.11845654071304069</v>
      </c>
      <c r="K364" s="13">
        <v>12.122271386430681</v>
      </c>
      <c r="L364" s="13">
        <v>0.34789673404214899</v>
      </c>
      <c r="M364" s="13">
        <v>0.24638454162822029</v>
      </c>
      <c r="N364" s="19">
        <f>(F364-Settings!$D$18)/Settings!$E$18</f>
        <v>0.39233960050985511</v>
      </c>
      <c r="O364" s="19">
        <f>(G364-Settings!$D$19)/Settings!$E$19</f>
        <v>1.8101284533218511</v>
      </c>
      <c r="P364" s="19">
        <f>(H364-Settings!$D$20)/Settings!$E$20</f>
        <v>-0.49047611290712201</v>
      </c>
      <c r="Q364" s="19">
        <f>(I364-Settings!$D$21)/Settings!$E$21</f>
        <v>-1.8175258552704545</v>
      </c>
      <c r="R364" s="19">
        <f>(J364-Settings!$D$22)/Settings!$E$22</f>
        <v>-0.98559520668389344</v>
      </c>
      <c r="S364" s="19">
        <f>(K364-Settings!$D$23)/Settings!$E$23</f>
        <v>-1.0879980763858736</v>
      </c>
      <c r="T364" s="19">
        <f>(L364-Settings!$D$24)/Settings!$E$24</f>
        <v>-0.66395713021160385</v>
      </c>
      <c r="U364" s="19">
        <f>(M364-Settings!$D$25)/Settings!$E$25</f>
        <v>0.20213473699743958</v>
      </c>
      <c r="V364" s="31">
        <f>Settings!$B$18*(N364-F$6)^2</f>
        <v>2.38878412911851E-2</v>
      </c>
      <c r="W364" s="31">
        <f>Settings!$B$19*(O364-G$6)^2</f>
        <v>0.34117144795036225</v>
      </c>
      <c r="X364" s="31">
        <f>Settings!$B$20*(P364-H$6)^2</f>
        <v>1.5147119639251896</v>
      </c>
      <c r="Y364" s="31">
        <f>Settings!$B$21*(Q364-I$6)^2</f>
        <v>0.18347327025910753</v>
      </c>
      <c r="Z364" s="31">
        <f>Settings!$B$22*(R364-J$6)^2</f>
        <v>0.2592191083585163</v>
      </c>
      <c r="AA364" s="31">
        <f>Settings!$B$23*(S364-K$6)^2</f>
        <v>7.928952125228407</v>
      </c>
      <c r="AB364" s="31">
        <f>Settings!$B$24*(T364-L$6)^2</f>
        <v>4.7968576434520012</v>
      </c>
      <c r="AC364" s="31">
        <f>Settings!$B$25*(U364-M$6)^2</f>
        <v>0.14750948282913831</v>
      </c>
      <c r="AD364" s="19">
        <f t="shared" si="20"/>
        <v>3.8981768665998091</v>
      </c>
      <c r="AE364" s="15">
        <f t="shared" si="21"/>
        <v>1.5429690761565136</v>
      </c>
      <c r="AF364" s="33">
        <f t="shared" si="22"/>
        <v>0.30410665965344913</v>
      </c>
      <c r="AG364" s="47">
        <f t="shared" si="23"/>
        <v>1.3129500547622304E-3</v>
      </c>
      <c r="AH364" s="18">
        <v>-4.1557311240282557E-2</v>
      </c>
      <c r="AI364" s="46">
        <v>0</v>
      </c>
      <c r="AJ364" s="48"/>
      <c r="AK364" s="48"/>
      <c r="AL364" s="48"/>
      <c r="AM364" s="48"/>
      <c r="AN364" s="48"/>
      <c r="AO364" s="48"/>
      <c r="AP364" s="48"/>
      <c r="AQ364" s="48"/>
    </row>
    <row r="365" spans="1:43" ht="20" customHeight="1" x14ac:dyDescent="0.45">
      <c r="A365" s="26">
        <v>355</v>
      </c>
      <c r="B365" s="16" t="s">
        <v>581</v>
      </c>
      <c r="C365" s="16" t="s">
        <v>212</v>
      </c>
      <c r="D365" s="46">
        <v>26</v>
      </c>
      <c r="E365" s="46">
        <v>0</v>
      </c>
      <c r="F365" s="13">
        <v>0.49419527020561149</v>
      </c>
      <c r="G365" s="13">
        <v>2.1287625502240351E-2</v>
      </c>
      <c r="H365" s="13">
        <v>-7.5886893101179036E-3</v>
      </c>
      <c r="I365" s="13">
        <v>8.2152980229686173E-2</v>
      </c>
      <c r="J365" s="13">
        <v>-0.39477543475234389</v>
      </c>
      <c r="K365" s="13">
        <v>12.19212598425197</v>
      </c>
      <c r="L365" s="13">
        <v>0.5235174866388187</v>
      </c>
      <c r="M365" s="13">
        <v>-0.29334408960630709</v>
      </c>
      <c r="N365" s="19">
        <f>(F365-Settings!$D$18)/Settings!$E$18</f>
        <v>1.0803839968800457</v>
      </c>
      <c r="O365" s="19">
        <f>(G365-Settings!$D$19)/Settings!$E$19</f>
        <v>0.11635794788587743</v>
      </c>
      <c r="P365" s="19">
        <f>(H365-Settings!$D$20)/Settings!$E$20</f>
        <v>-0.55009759521568335</v>
      </c>
      <c r="Q365" s="19">
        <f>(I365-Settings!$D$21)/Settings!$E$21</f>
        <v>1.0464695880457613</v>
      </c>
      <c r="R365" s="19">
        <f>(J365-Settings!$D$22)/Settings!$E$22</f>
        <v>-1.7290442003517816</v>
      </c>
      <c r="S365" s="19">
        <f>(K365-Settings!$D$23)/Settings!$E$23</f>
        <v>-1.0637391813042045</v>
      </c>
      <c r="T365" s="19">
        <f>(L365-Settings!$D$24)/Settings!$E$24</f>
        <v>-0.54254089777041448</v>
      </c>
      <c r="U365" s="19">
        <f>(M365-Settings!$D$25)/Settings!$E$25</f>
        <v>-0.16186426313622757</v>
      </c>
      <c r="V365" s="31">
        <f>Settings!$B$18*(N365-F$6)^2</f>
        <v>0.2136840557834308</v>
      </c>
      <c r="W365" s="31">
        <f>Settings!$B$19*(O365-G$6)^2</f>
        <v>3.0060056974221757E-2</v>
      </c>
      <c r="X365" s="31">
        <f>Settings!$B$20*(P365-H$6)^2</f>
        <v>1.581054477744557</v>
      </c>
      <c r="Y365" s="31">
        <f>Settings!$B$21*(Q365-I$6)^2</f>
        <v>0.72672198068722693</v>
      </c>
      <c r="Z365" s="31">
        <f>Settings!$B$22*(R365-J$6)^2</f>
        <v>0.70831773690137734</v>
      </c>
      <c r="AA365" s="31">
        <f>Settings!$B$23*(S365-K$6)^2</f>
        <v>7.7929223089187882</v>
      </c>
      <c r="AB365" s="31">
        <f>Settings!$B$24*(T365-L$6)^2</f>
        <v>4.2797544438548654</v>
      </c>
      <c r="AC365" s="31">
        <f>Settings!$B$25*(U365-M$6)^2</f>
        <v>4.028302951048877E-4</v>
      </c>
      <c r="AD365" s="19">
        <f t="shared" si="20"/>
        <v>3.9157269939513877</v>
      </c>
      <c r="AE365" s="15">
        <f t="shared" si="21"/>
        <v>1.5499157347389176</v>
      </c>
      <c r="AF365" s="33">
        <f t="shared" si="22"/>
        <v>0.30085724603548292</v>
      </c>
      <c r="AG365" s="47">
        <f t="shared" si="23"/>
        <v>1.2989210368100565E-3</v>
      </c>
      <c r="AH365" s="48"/>
      <c r="AI365" s="48"/>
      <c r="AJ365" s="48"/>
      <c r="AK365" s="48"/>
      <c r="AL365" s="18">
        <v>-0.44712917332011443</v>
      </c>
      <c r="AM365" s="46">
        <v>0</v>
      </c>
      <c r="AN365" s="18">
        <v>-0.31562283168101118</v>
      </c>
      <c r="AO365" s="46">
        <v>0</v>
      </c>
      <c r="AP365" s="48"/>
      <c r="AQ365" s="48"/>
    </row>
    <row r="366" spans="1:43" ht="20" customHeight="1" x14ac:dyDescent="0.45">
      <c r="A366" s="26">
        <v>356</v>
      </c>
      <c r="B366" s="16" t="s">
        <v>582</v>
      </c>
      <c r="C366" s="16" t="s">
        <v>216</v>
      </c>
      <c r="D366" s="46">
        <v>26</v>
      </c>
      <c r="E366" s="46">
        <v>1</v>
      </c>
      <c r="F366" s="13">
        <v>0.19836586686424651</v>
      </c>
      <c r="G366" s="13">
        <v>4.0764170238718589E-2</v>
      </c>
      <c r="H366" s="13">
        <v>1.9926001343019981E-3</v>
      </c>
      <c r="I366" s="13">
        <v>-4.7059073623971631E-2</v>
      </c>
      <c r="J366" s="13">
        <v>0.71181828913876133</v>
      </c>
      <c r="K366" s="13">
        <v>10.773364485981309</v>
      </c>
      <c r="L366" s="13">
        <v>1.1061087861405401</v>
      </c>
      <c r="M366" s="13">
        <v>-0.74677686105935781</v>
      </c>
      <c r="N366" s="19">
        <f>(F366-Settings!$D$18)/Settings!$E$18</f>
        <v>2.1629003837571638E-2</v>
      </c>
      <c r="O366" s="19">
        <f>(G366-Settings!$D$19)/Settings!$E$19</f>
        <v>0.19749971566618907</v>
      </c>
      <c r="P366" s="19">
        <f>(H366-Settings!$D$20)/Settings!$E$20</f>
        <v>-0.46328927038481099</v>
      </c>
      <c r="Q366" s="19">
        <f>(I366-Settings!$D$21)/Settings!$E$21</f>
        <v>-0.54249077673005441</v>
      </c>
      <c r="R366" s="19">
        <f>(J366-Settings!$D$22)/Settings!$E$22</f>
        <v>1.2482983128569745</v>
      </c>
      <c r="S366" s="19">
        <f>(K366-Settings!$D$23)/Settings!$E$23</f>
        <v>-1.5564424163942037</v>
      </c>
      <c r="T366" s="19">
        <f>(L366-Settings!$D$24)/Settings!$E$24</f>
        <v>-0.13976366562309603</v>
      </c>
      <c r="U366" s="19">
        <f>(M366-Settings!$D$25)/Settings!$E$25</f>
        <v>-0.46766437431289326</v>
      </c>
      <c r="V366" s="31">
        <f>Settings!$B$18*(N366-F$6)^2</f>
        <v>1.2611064429855583E-4</v>
      </c>
      <c r="W366" s="31">
        <f>Settings!$B$19*(O366-G$6)^2</f>
        <v>1.8793849583868465E-2</v>
      </c>
      <c r="X366" s="31">
        <f>Settings!$B$20*(P366-H$6)^2</f>
        <v>1.4849324022703538</v>
      </c>
      <c r="Y366" s="31">
        <f>Settings!$B$21*(Q366-I$6)^2</f>
        <v>2.0128578793774849E-2</v>
      </c>
      <c r="Z366" s="31">
        <f>Settings!$B$22*(R366-J$6)^2</f>
        <v>0.23999407814271365</v>
      </c>
      <c r="AA366" s="31">
        <f>Settings!$B$23*(S366-K$6)^2</f>
        <v>10.786520383108519</v>
      </c>
      <c r="AB366" s="31">
        <f>Settings!$B$24*(T366-L$6)^2</f>
        <v>2.7754877162037519</v>
      </c>
      <c r="AC366" s="31">
        <f>Settings!$B$25*(U366-M$6)^2</f>
        <v>8.1641334897217768E-2</v>
      </c>
      <c r="AD366" s="19">
        <f t="shared" si="20"/>
        <v>3.9252546992067279</v>
      </c>
      <c r="AE366" s="15">
        <f t="shared" si="21"/>
        <v>1.5536869732123906</v>
      </c>
      <c r="AF366" s="33">
        <f t="shared" si="22"/>
        <v>0.29910170726207774</v>
      </c>
      <c r="AG366" s="47">
        <f t="shared" si="23"/>
        <v>1.291341673926961E-3</v>
      </c>
      <c r="AH366" s="18">
        <v>-0.85173053851335356</v>
      </c>
      <c r="AI366" s="46">
        <v>1</v>
      </c>
      <c r="AJ366" s="18">
        <v>-5.9404805678375423E-2</v>
      </c>
      <c r="AK366" s="46">
        <v>1</v>
      </c>
      <c r="AL366" s="48"/>
      <c r="AM366" s="48"/>
      <c r="AN366" s="48"/>
      <c r="AO366" s="48"/>
      <c r="AP366" s="48"/>
      <c r="AQ366" s="48"/>
    </row>
    <row r="367" spans="1:43" ht="20" customHeight="1" x14ac:dyDescent="0.45">
      <c r="A367" s="26">
        <v>357</v>
      </c>
      <c r="B367" s="16" t="s">
        <v>583</v>
      </c>
      <c r="C367" s="16" t="s">
        <v>227</v>
      </c>
      <c r="D367" s="46">
        <v>26</v>
      </c>
      <c r="E367" s="46">
        <v>0</v>
      </c>
      <c r="F367" s="13">
        <v>-0.18224525812534401</v>
      </c>
      <c r="G367" s="13">
        <v>-0.32247635989572759</v>
      </c>
      <c r="H367" s="13">
        <v>-4.5921540578770428E-3</v>
      </c>
      <c r="I367" s="13">
        <v>2.142453956630952E-2</v>
      </c>
      <c r="J367" s="13">
        <v>-0.4692616883547418</v>
      </c>
      <c r="K367" s="13">
        <v>14.45199530516429</v>
      </c>
      <c r="L367" s="13">
        <v>-0.32319643560876482</v>
      </c>
      <c r="M367" s="13">
        <v>0.85997940922831151</v>
      </c>
      <c r="N367" s="19">
        <f>(F367-Settings!$D$18)/Settings!$E$18</f>
        <v>-1.34055448583144</v>
      </c>
      <c r="O367" s="19">
        <f>(G367-Settings!$D$19)/Settings!$E$19</f>
        <v>-1.3158066301644333</v>
      </c>
      <c r="P367" s="19">
        <f>(H367-Settings!$D$20)/Settings!$E$20</f>
        <v>-0.52294840960213529</v>
      </c>
      <c r="Q367" s="19">
        <f>(I367-Settings!$D$21)/Settings!$E$21</f>
        <v>0.29967327647228176</v>
      </c>
      <c r="R367" s="19">
        <f>(J367-Settings!$D$22)/Settings!$E$22</f>
        <v>-1.9294529725254177</v>
      </c>
      <c r="S367" s="19">
        <f>(K367-Settings!$D$23)/Settings!$E$23</f>
        <v>-0.27893854592515943</v>
      </c>
      <c r="T367" s="19">
        <f>(L367-Settings!$D$24)/Settings!$E$24</f>
        <v>-1.1279205461022102</v>
      </c>
      <c r="U367" s="19">
        <f>(M367-Settings!$D$25)/Settings!$E$25</f>
        <v>0.61594994962145189</v>
      </c>
      <c r="V367" s="31">
        <f>Settings!$B$18*(N367-F$6)^2</f>
        <v>0.38491709966968629</v>
      </c>
      <c r="W367" s="31">
        <f>Settings!$B$19*(O367-G$6)^2</f>
        <v>0.66237108472020001</v>
      </c>
      <c r="X367" s="31">
        <f>Settings!$B$20*(P367-H$6)^2</f>
        <v>1.5506684898663774</v>
      </c>
      <c r="Y367" s="31">
        <f>Settings!$B$21*(Q367-I$6)^2</f>
        <v>0.26884477702404735</v>
      </c>
      <c r="Z367" s="31">
        <f>Settings!$B$22*(R367-J$6)^2</f>
        <v>0.86721105426082234</v>
      </c>
      <c r="AA367" s="31">
        <f>Settings!$B$23*(S367-K$6)^2</f>
        <v>4.0271658714213858</v>
      </c>
      <c r="AB367" s="31">
        <f>Settings!$B$24*(T367-L$6)^2</f>
        <v>7.0444399608869119</v>
      </c>
      <c r="AC367" s="31">
        <f>Settings!$B$25*(U367-M$6)^2</f>
        <v>0.63662022653654937</v>
      </c>
      <c r="AD367" s="19">
        <f t="shared" si="20"/>
        <v>3.9296613803718485</v>
      </c>
      <c r="AE367" s="15">
        <f t="shared" si="21"/>
        <v>1.5554312175088771</v>
      </c>
      <c r="AF367" s="33">
        <f t="shared" si="22"/>
        <v>0.29829178232430842</v>
      </c>
      <c r="AG367" s="47">
        <f t="shared" si="23"/>
        <v>1.2878449041008435E-3</v>
      </c>
      <c r="AH367" s="18">
        <v>0.20269681253221031</v>
      </c>
      <c r="AI367" s="46">
        <v>0</v>
      </c>
      <c r="AJ367" s="18">
        <v>0.51126320109990009</v>
      </c>
      <c r="AK367" s="46">
        <v>0</v>
      </c>
      <c r="AL367" s="48"/>
      <c r="AM367" s="48"/>
      <c r="AN367" s="48"/>
      <c r="AO367" s="48"/>
      <c r="AP367" s="48"/>
      <c r="AQ367" s="48"/>
    </row>
    <row r="368" spans="1:43" ht="20" customHeight="1" x14ac:dyDescent="0.45">
      <c r="A368" s="26">
        <v>358</v>
      </c>
      <c r="B368" s="16" t="s">
        <v>584</v>
      </c>
      <c r="C368" s="16" t="s">
        <v>234</v>
      </c>
      <c r="D368" s="46">
        <v>26</v>
      </c>
      <c r="E368" s="46">
        <v>1</v>
      </c>
      <c r="F368" s="13">
        <v>-3.6440471608446608E-2</v>
      </c>
      <c r="G368" s="13">
        <v>0.69160935872607354</v>
      </c>
      <c r="H368" s="13">
        <v>1.2104274533714611E-3</v>
      </c>
      <c r="I368" s="13">
        <v>-0.14294939561867059</v>
      </c>
      <c r="J368" s="13">
        <v>-0.12779034659343769</v>
      </c>
      <c r="K368" s="13">
        <v>12.87138157894735</v>
      </c>
      <c r="L368" s="13">
        <v>8.6251919731872323E-2</v>
      </c>
      <c r="M368" s="13">
        <v>-0.89790774791462136</v>
      </c>
      <c r="N368" s="19">
        <f>(F368-Settings!$D$18)/Settings!$E$18</f>
        <v>-0.81872824411697487</v>
      </c>
      <c r="O368" s="19">
        <f>(G368-Settings!$D$19)/Settings!$E$19</f>
        <v>2.9090037252179051</v>
      </c>
      <c r="P368" s="19">
        <f>(H368-Settings!$D$20)/Settings!$E$20</f>
        <v>-0.47037590528441697</v>
      </c>
      <c r="Q368" s="19">
        <f>(I368-Settings!$D$21)/Settings!$E$21</f>
        <v>-1.7216835569000295</v>
      </c>
      <c r="R368" s="19">
        <f>(J368-Settings!$D$22)/Settings!$E$22</f>
        <v>-1.0107082508461416</v>
      </c>
      <c r="S368" s="19">
        <f>(K368-Settings!$D$23)/Settings!$E$23</f>
        <v>-0.82784933698059615</v>
      </c>
      <c r="T368" s="19">
        <f>(L368-Settings!$D$24)/Settings!$E$24</f>
        <v>-0.84484650189244714</v>
      </c>
      <c r="U368" s="19">
        <f>(M368-Settings!$D$25)/Settings!$E$25</f>
        <v>-0.56958872762874735</v>
      </c>
      <c r="V368" s="31">
        <f>Settings!$B$18*(N368-F$6)^2</f>
        <v>0.14980699491910154</v>
      </c>
      <c r="W368" s="31">
        <f>Settings!$B$19*(O368-G$6)^2</f>
        <v>1.1567664918768223</v>
      </c>
      <c r="X368" s="31">
        <f>Settings!$B$20*(P368-H$6)^2</f>
        <v>1.492666377503876</v>
      </c>
      <c r="Y368" s="31">
        <f>Settings!$B$21*(Q368-I$6)^2</f>
        <v>0.14859160810252786</v>
      </c>
      <c r="Z368" s="31">
        <f>Settings!$B$22*(R368-J$6)^2</f>
        <v>0.27078133913892788</v>
      </c>
      <c r="AA368" s="31">
        <f>Settings!$B$23*(S368-K$6)^2</f>
        <v>6.5315552959805689</v>
      </c>
      <c r="AB368" s="31">
        <f>Settings!$B$24*(T368-L$6)^2</f>
        <v>5.6219366334778806</v>
      </c>
      <c r="AC368" s="31">
        <f>Settings!$B$25*(U368-M$6)^2</f>
        <v>0.15027549333960738</v>
      </c>
      <c r="AD368" s="19">
        <f t="shared" si="20"/>
        <v>3.9398452043626428</v>
      </c>
      <c r="AE368" s="15">
        <f t="shared" si="21"/>
        <v>1.5594621596730078</v>
      </c>
      <c r="AF368" s="33">
        <f t="shared" si="22"/>
        <v>0.29642497922416583</v>
      </c>
      <c r="AG368" s="47">
        <f t="shared" si="23"/>
        <v>1.2797851686272581E-3</v>
      </c>
      <c r="AH368" s="18">
        <v>-0.7023294665432338</v>
      </c>
      <c r="AI368" s="46">
        <v>1</v>
      </c>
      <c r="AJ368" s="18">
        <v>-9.9369148022597775E-2</v>
      </c>
      <c r="AK368" s="46">
        <v>1</v>
      </c>
      <c r="AL368" s="18">
        <v>0.42889098538323528</v>
      </c>
      <c r="AM368" s="46">
        <v>1</v>
      </c>
      <c r="AN368" s="18">
        <v>-0.38217234091796187</v>
      </c>
      <c r="AO368" s="46">
        <v>1</v>
      </c>
      <c r="AP368" s="18">
        <v>-1.046738280150568</v>
      </c>
      <c r="AQ368" s="46">
        <v>1</v>
      </c>
    </row>
    <row r="369" spans="1:43" ht="20" customHeight="1" x14ac:dyDescent="0.45">
      <c r="A369" s="26">
        <v>359</v>
      </c>
      <c r="B369" s="16" t="s">
        <v>585</v>
      </c>
      <c r="C369" s="16" t="s">
        <v>214</v>
      </c>
      <c r="D369" s="46">
        <v>26</v>
      </c>
      <c r="E369" s="46">
        <v>1</v>
      </c>
      <c r="F369" s="13">
        <v>0.21125930272830351</v>
      </c>
      <c r="G369" s="13">
        <v>0.15038844299875881</v>
      </c>
      <c r="H369" s="13">
        <v>1.9507815895400929E-3</v>
      </c>
      <c r="I369" s="13">
        <v>-8.0817998866312329E-2</v>
      </c>
      <c r="J369" s="13">
        <v>-0.55558347381708539</v>
      </c>
      <c r="K369" s="13">
        <v>12.74799054373525</v>
      </c>
      <c r="L369" s="13">
        <v>-0.1056494722852908</v>
      </c>
      <c r="M369" s="13">
        <v>-0.35510328691842602</v>
      </c>
      <c r="N369" s="19">
        <f>(F369-Settings!$D$18)/Settings!$E$18</f>
        <v>6.7773807039540834E-2</v>
      </c>
      <c r="O369" s="19">
        <f>(G369-Settings!$D$19)/Settings!$E$19</f>
        <v>0.65420840828766813</v>
      </c>
      <c r="P369" s="19">
        <f>(H369-Settings!$D$20)/Settings!$E$20</f>
        <v>-0.46366815444198345</v>
      </c>
      <c r="Q369" s="19">
        <f>(I369-Settings!$D$21)/Settings!$E$21</f>
        <v>-0.957634662828036</v>
      </c>
      <c r="R369" s="19">
        <f>(J369-Settings!$D$22)/Settings!$E$22</f>
        <v>-2.1617058003919998</v>
      </c>
      <c r="S369" s="19">
        <f>(K369-Settings!$D$23)/Settings!$E$23</f>
        <v>-0.87070020536418935</v>
      </c>
      <c r="T369" s="19">
        <f>(L369-Settings!$D$24)/Settings!$E$24</f>
        <v>-0.97751843088966706</v>
      </c>
      <c r="U369" s="19">
        <f>(M369-Settings!$D$25)/Settings!$E$25</f>
        <v>-0.20351535364674903</v>
      </c>
      <c r="V369" s="31">
        <f>Settings!$B$18*(N369-F$6)^2</f>
        <v>8.8485699849473692E-5</v>
      </c>
      <c r="W369" s="31">
        <f>Settings!$B$19*(O369-G$6)^2</f>
        <v>4.5098846323086894E-3</v>
      </c>
      <c r="X369" s="31">
        <f>Settings!$B$20*(P369-H$6)^2</f>
        <v>1.4853453878236369</v>
      </c>
      <c r="Y369" s="31">
        <f>Settings!$B$21*(Q369-I$6)^2</f>
        <v>1.9169307151294013E-3</v>
      </c>
      <c r="Z369" s="31">
        <f>Settings!$B$22*(R369-J$6)^2</f>
        <v>1.0714491836337061</v>
      </c>
      <c r="AA369" s="31">
        <f>Settings!$B$23*(S369-K$6)^2</f>
        <v>6.7524186302643647</v>
      </c>
      <c r="AB369" s="31">
        <f>Settings!$B$24*(T369-L$6)^2</f>
        <v>6.2686853038074934</v>
      </c>
      <c r="AC369" s="31">
        <f>Settings!$B$25*(U369-M$6)^2</f>
        <v>4.6571616132604749E-4</v>
      </c>
      <c r="AD369" s="19">
        <f t="shared" si="20"/>
        <v>3.9477689297548579</v>
      </c>
      <c r="AE369" s="15">
        <f t="shared" si="21"/>
        <v>1.5625985138371554</v>
      </c>
      <c r="AF369" s="33">
        <f t="shared" si="22"/>
        <v>0.29497724602876174</v>
      </c>
      <c r="AG369" s="47">
        <f t="shared" si="23"/>
        <v>1.273534725508541E-3</v>
      </c>
      <c r="AH369" s="48"/>
      <c r="AI369" s="48"/>
      <c r="AJ369" s="48"/>
      <c r="AK369" s="48"/>
      <c r="AL369" s="48"/>
      <c r="AM369" s="48"/>
      <c r="AN369" s="48"/>
      <c r="AO369" s="48"/>
      <c r="AP369" s="48"/>
      <c r="AQ369" s="48"/>
    </row>
    <row r="370" spans="1:43" ht="20" customHeight="1" x14ac:dyDescent="0.45">
      <c r="A370" s="26">
        <v>360</v>
      </c>
      <c r="B370" s="16" t="s">
        <v>586</v>
      </c>
      <c r="C370" s="16" t="s">
        <v>271</v>
      </c>
      <c r="D370" s="46">
        <v>26</v>
      </c>
      <c r="E370" s="46">
        <v>1</v>
      </c>
      <c r="F370" s="13">
        <v>0.44098641791231957</v>
      </c>
      <c r="G370" s="13">
        <v>1.8144292134295251E-2</v>
      </c>
      <c r="H370" s="13">
        <v>-9.7070579181983971E-4</v>
      </c>
      <c r="I370" s="13">
        <v>3.33621570038808E-3</v>
      </c>
      <c r="J370" s="13">
        <v>-0.53656236846117711</v>
      </c>
      <c r="K370" s="13">
        <v>12.856849315068491</v>
      </c>
      <c r="L370" s="13">
        <v>-2.5160810464369628E-2</v>
      </c>
      <c r="M370" s="13">
        <v>0.378325878055289</v>
      </c>
      <c r="N370" s="19">
        <f>(F370-Settings!$D$18)/Settings!$E$18</f>
        <v>0.88995283147430071</v>
      </c>
      <c r="O370" s="19">
        <f>(G370-Settings!$D$19)/Settings!$E$19</f>
        <v>0.10326242043740735</v>
      </c>
      <c r="P370" s="19">
        <f>(H370-Settings!$D$20)/Settings!$E$20</f>
        <v>-0.49013739191378208</v>
      </c>
      <c r="Q370" s="19">
        <f>(I370-Settings!$D$21)/Settings!$E$21</f>
        <v>7.7235594917202999E-2</v>
      </c>
      <c r="R370" s="19">
        <f>(J370-Settings!$D$22)/Settings!$E$22</f>
        <v>-2.1105286209071634</v>
      </c>
      <c r="S370" s="19">
        <f>(K370-Settings!$D$23)/Settings!$E$23</f>
        <v>-0.83289605796578148</v>
      </c>
      <c r="T370" s="19">
        <f>(L370-Settings!$D$24)/Settings!$E$24</f>
        <v>-0.92187221637324801</v>
      </c>
      <c r="U370" s="19">
        <f>(M370-Settings!$D$25)/Settings!$E$25</f>
        <v>0.29111744378084886</v>
      </c>
      <c r="V370" s="31">
        <f>Settings!$B$18*(N370-F$6)^2</f>
        <v>0.14220163564968849</v>
      </c>
      <c r="W370" s="31">
        <f>Settings!$B$19*(O370-G$6)^2</f>
        <v>3.2125135592304947E-2</v>
      </c>
      <c r="X370" s="31">
        <f>Settings!$B$20*(P370-H$6)^2</f>
        <v>1.5143391214280302</v>
      </c>
      <c r="Y370" s="31">
        <f>Settings!$B$21*(Q370-I$6)^2</f>
        <v>0.17558218654585173</v>
      </c>
      <c r="Z370" s="31">
        <f>Settings!$B$22*(R370-J$6)^2</f>
        <v>1.0245916872012908</v>
      </c>
      <c r="AA370" s="31">
        <f>Settings!$B$23*(S370-K$6)^2</f>
        <v>6.5573764818231153</v>
      </c>
      <c r="AB370" s="31">
        <f>Settings!$B$24*(T370-L$6)^2</f>
        <v>5.9931351362356358</v>
      </c>
      <c r="AC370" s="31">
        <f>Settings!$B$25*(U370-M$6)^2</f>
        <v>0.22377851597303444</v>
      </c>
      <c r="AD370" s="19">
        <f t="shared" si="20"/>
        <v>3.9576672296251676</v>
      </c>
      <c r="AE370" s="15">
        <f t="shared" si="21"/>
        <v>1.5665164403779626</v>
      </c>
      <c r="AF370" s="33">
        <f t="shared" si="22"/>
        <v>0.29317461876948792</v>
      </c>
      <c r="AG370" s="47">
        <f t="shared" si="23"/>
        <v>1.2657520628023822E-3</v>
      </c>
      <c r="AH370" s="18">
        <v>0.1034589167589737</v>
      </c>
      <c r="AI370" s="46">
        <v>1</v>
      </c>
      <c r="AJ370" s="18">
        <v>-0.38754983802492921</v>
      </c>
      <c r="AK370" s="46">
        <v>1</v>
      </c>
      <c r="AL370" s="18">
        <v>-7.1460248248011837E-2</v>
      </c>
      <c r="AM370" s="46">
        <v>1</v>
      </c>
      <c r="AN370" s="18">
        <v>0.18002605713611439</v>
      </c>
      <c r="AO370" s="46">
        <v>1</v>
      </c>
      <c r="AP370" s="18">
        <v>4.0876930907389947E-2</v>
      </c>
      <c r="AQ370" s="46">
        <v>1</v>
      </c>
    </row>
    <row r="371" spans="1:43" ht="20" customHeight="1" x14ac:dyDescent="0.45">
      <c r="A371" s="26">
        <v>361</v>
      </c>
      <c r="B371" s="16" t="s">
        <v>587</v>
      </c>
      <c r="C371" s="16" t="s">
        <v>246</v>
      </c>
      <c r="D371" s="46">
        <v>26</v>
      </c>
      <c r="E371" s="46">
        <v>1</v>
      </c>
      <c r="F371" s="13">
        <v>9.1157856061624604E-2</v>
      </c>
      <c r="G371" s="13">
        <v>0.50689274651512939</v>
      </c>
      <c r="H371" s="13">
        <v>-4.319927274886743E-3</v>
      </c>
      <c r="I371" s="13">
        <v>0.24948863355666751</v>
      </c>
      <c r="J371" s="13">
        <v>-0.148140836591692</v>
      </c>
      <c r="K371" s="13">
        <v>13.444764957265001</v>
      </c>
      <c r="L371" s="13">
        <v>0.4205610391764214</v>
      </c>
      <c r="M371" s="13">
        <v>0.23614445756163149</v>
      </c>
      <c r="N371" s="19">
        <f>(F371-Settings!$D$18)/Settings!$E$18</f>
        <v>-0.36206178365473468</v>
      </c>
      <c r="O371" s="19">
        <f>(G371-Settings!$D$19)/Settings!$E$19</f>
        <v>2.1394507754529308</v>
      </c>
      <c r="P371" s="19">
        <f>(H371-Settings!$D$20)/Settings!$E$20</f>
        <v>-0.52048198259953093</v>
      </c>
      <c r="Q371" s="19">
        <f>(I371-Settings!$D$21)/Settings!$E$21</f>
        <v>3.1042475802722409</v>
      </c>
      <c r="R371" s="19">
        <f>(J371-Settings!$D$22)/Settings!$E$22</f>
        <v>-1.0654622022994162</v>
      </c>
      <c r="S371" s="19">
        <f>(K371-Settings!$D$23)/Settings!$E$23</f>
        <v>-0.62872647821378413</v>
      </c>
      <c r="T371" s="19">
        <f>(L371-Settings!$D$24)/Settings!$E$24</f>
        <v>-0.61372032145232047</v>
      </c>
      <c r="U371" s="19">
        <f>(M371-Settings!$D$25)/Settings!$E$25</f>
        <v>0.1952287102539679</v>
      </c>
      <c r="V371" s="31">
        <f>Settings!$B$18*(N371-F$6)^2</f>
        <v>3.3423750663668698E-2</v>
      </c>
      <c r="W371" s="31">
        <f>Settings!$B$19*(O371-G$6)^2</f>
        <v>0.5349112246499198</v>
      </c>
      <c r="X371" s="31">
        <f>Settings!$B$20*(P371-H$6)^2</f>
        <v>1.5479226174491458</v>
      </c>
      <c r="Y371" s="31">
        <f>Settings!$B$21*(Q371-I$6)^2</f>
        <v>3.1426290722545178</v>
      </c>
      <c r="Z371" s="31">
        <f>Settings!$B$22*(R371-J$6)^2</f>
        <v>0.29686506900446719</v>
      </c>
      <c r="AA371" s="31">
        <f>Settings!$B$23*(S371-K$6)^2</f>
        <v>5.5534123056087985</v>
      </c>
      <c r="AB371" s="31">
        <f>Settings!$B$24*(T371-L$6)^2</f>
        <v>4.5793267790058776</v>
      </c>
      <c r="AC371" s="31">
        <f>Settings!$B$25*(U371-M$6)^2</f>
        <v>0.14225238572375512</v>
      </c>
      <c r="AD371" s="19">
        <f t="shared" si="20"/>
        <v>3.9787866497665028</v>
      </c>
      <c r="AE371" s="15">
        <f t="shared" si="21"/>
        <v>1.5748758897563744</v>
      </c>
      <c r="AF371" s="33">
        <f t="shared" si="22"/>
        <v>0.28935035210858662</v>
      </c>
      <c r="AG371" s="47">
        <f t="shared" si="23"/>
        <v>1.2492411743937639E-3</v>
      </c>
      <c r="AH371" s="18">
        <v>0.4977089177694054</v>
      </c>
      <c r="AI371" s="46">
        <v>1</v>
      </c>
      <c r="AJ371" s="48"/>
      <c r="AK371" s="48"/>
      <c r="AL371" s="48"/>
      <c r="AM371" s="48"/>
      <c r="AN371" s="48"/>
      <c r="AO371" s="48"/>
      <c r="AP371" s="48"/>
      <c r="AQ371" s="48"/>
    </row>
    <row r="372" spans="1:43" ht="20" customHeight="1" x14ac:dyDescent="0.45">
      <c r="A372" s="26">
        <v>362</v>
      </c>
      <c r="B372" s="16" t="s">
        <v>588</v>
      </c>
      <c r="C372" s="16" t="s">
        <v>236</v>
      </c>
      <c r="D372" s="46">
        <v>26</v>
      </c>
      <c r="E372" s="46">
        <v>0</v>
      </c>
      <c r="F372" s="13">
        <v>1.979798498918525E-3</v>
      </c>
      <c r="G372" s="13">
        <v>0.31117618320713453</v>
      </c>
      <c r="H372" s="13">
        <v>-2.1021794672572269E-3</v>
      </c>
      <c r="I372" s="13">
        <v>-9.6270811502775205E-3</v>
      </c>
      <c r="J372" s="13">
        <v>0.67511475767641216</v>
      </c>
      <c r="K372" s="13">
        <v>11.182812500000001</v>
      </c>
      <c r="L372" s="13">
        <v>0.80955583008430843</v>
      </c>
      <c r="M372" s="13">
        <v>0.72496195968076238</v>
      </c>
      <c r="N372" s="19">
        <f>(F372-Settings!$D$18)/Settings!$E$18</f>
        <v>-0.68122449245888028</v>
      </c>
      <c r="O372" s="19">
        <f>(G372-Settings!$D$19)/Settings!$E$19</f>
        <v>1.3240706274046814</v>
      </c>
      <c r="P372" s="19">
        <f>(H372-Settings!$D$20)/Settings!$E$20</f>
        <v>-0.50038876099356222</v>
      </c>
      <c r="Q372" s="19">
        <f>(I372-Settings!$D$21)/Settings!$E$21</f>
        <v>-8.2178053254195457E-2</v>
      </c>
      <c r="R372" s="19">
        <f>(J372-Settings!$D$22)/Settings!$E$22</f>
        <v>1.1495457334337957</v>
      </c>
      <c r="S372" s="19">
        <f>(K372-Settings!$D$23)/Settings!$E$23</f>
        <v>-1.4142505389334163</v>
      </c>
      <c r="T372" s="19">
        <f>(L372-Settings!$D$24)/Settings!$E$24</f>
        <v>-0.34478694511180974</v>
      </c>
      <c r="U372" s="19">
        <f>(M372-Settings!$D$25)/Settings!$E$25</f>
        <v>0.52489267788937233</v>
      </c>
      <c r="V372" s="31">
        <f>Settings!$B$18*(N372-F$6)^2</f>
        <v>0.10598640881474873</v>
      </c>
      <c r="W372" s="31">
        <f>Settings!$B$19*(O372-G$6)^2</f>
        <v>0.13448881436364707</v>
      </c>
      <c r="X372" s="31">
        <f>Settings!$B$20*(P372-H$6)^2</f>
        <v>1.525643499269318</v>
      </c>
      <c r="Y372" s="31">
        <f>Settings!$B$21*(Q372-I$6)^2</f>
        <v>0.1209184693082819</v>
      </c>
      <c r="Z372" s="31">
        <f>Settings!$B$22*(R372-J$6)^2</f>
        <v>0.19867381409075283</v>
      </c>
      <c r="AA372" s="31">
        <f>Settings!$B$23*(S372-K$6)^2</f>
        <v>9.8727419406834827</v>
      </c>
      <c r="AB372" s="31">
        <f>Settings!$B$24*(T372-L$6)^2</f>
        <v>3.5006514253187744</v>
      </c>
      <c r="AC372" s="31">
        <f>Settings!$B$25*(U372-M$6)^2</f>
        <v>0.49960521891284199</v>
      </c>
      <c r="AD372" s="19">
        <f t="shared" si="20"/>
        <v>3.9948353646629604</v>
      </c>
      <c r="AE372" s="15">
        <f t="shared" si="21"/>
        <v>1.5812282620690463</v>
      </c>
      <c r="AF372" s="33">
        <f t="shared" si="22"/>
        <v>0.2864642855445465</v>
      </c>
      <c r="AG372" s="47">
        <f t="shared" si="23"/>
        <v>1.2367808709672556E-3</v>
      </c>
      <c r="AH372" s="18">
        <v>5.3902406546429971E-2</v>
      </c>
      <c r="AI372" s="46">
        <v>1</v>
      </c>
      <c r="AJ372" s="48"/>
      <c r="AK372" s="48"/>
      <c r="AL372" s="48"/>
      <c r="AM372" s="48"/>
      <c r="AN372" s="48"/>
      <c r="AO372" s="48"/>
      <c r="AP372" s="48"/>
      <c r="AQ372" s="48"/>
    </row>
    <row r="373" spans="1:43" ht="20" customHeight="1" x14ac:dyDescent="0.45">
      <c r="A373" s="26">
        <v>363</v>
      </c>
      <c r="B373" s="16" t="s">
        <v>589</v>
      </c>
      <c r="C373" s="16" t="s">
        <v>214</v>
      </c>
      <c r="D373" s="46">
        <v>26</v>
      </c>
      <c r="E373" s="46">
        <v>1</v>
      </c>
      <c r="F373" s="13">
        <v>-9.1907758832744796E-2</v>
      </c>
      <c r="G373" s="13">
        <v>-0.1178380806540595</v>
      </c>
      <c r="H373" s="13">
        <v>-2.7416983246535558E-2</v>
      </c>
      <c r="I373" s="13">
        <v>1.1534055719072971E-3</v>
      </c>
      <c r="J373" s="13">
        <v>0.76168377169475288</v>
      </c>
      <c r="K373" s="13">
        <v>11.743776371307989</v>
      </c>
      <c r="L373" s="13">
        <v>0.4681713843540129</v>
      </c>
      <c r="M373" s="13">
        <v>-0.93468218040468776</v>
      </c>
      <c r="N373" s="19">
        <f>(F373-Settings!$D$18)/Settings!$E$18</f>
        <v>-1.0172422073536889</v>
      </c>
      <c r="O373" s="19">
        <f>(G373-Settings!$D$19)/Settings!$E$19</f>
        <v>-0.46325747640768355</v>
      </c>
      <c r="P373" s="19">
        <f>(H373-Settings!$D$20)/Settings!$E$20</f>
        <v>-0.7297457512242691</v>
      </c>
      <c r="Q373" s="19">
        <f>(I373-Settings!$D$21)/Settings!$E$21</f>
        <v>5.039290745465877E-2</v>
      </c>
      <c r="R373" s="19">
        <f>(J373-Settings!$D$22)/Settings!$E$22</f>
        <v>1.3824637413699532</v>
      </c>
      <c r="S373" s="19">
        <f>(K373-Settings!$D$23)/Settings!$E$23</f>
        <v>-1.2194406892871239</v>
      </c>
      <c r="T373" s="19">
        <f>(L373-Settings!$D$24)/Settings!$E$24</f>
        <v>-0.58080468562217691</v>
      </c>
      <c r="U373" s="19">
        <f>(M373-Settings!$D$25)/Settings!$E$25</f>
        <v>-0.5943898144753903</v>
      </c>
      <c r="V373" s="31">
        <f>Settings!$B$18*(N373-F$6)^2</f>
        <v>0.22641155203468097</v>
      </c>
      <c r="W373" s="31">
        <f>Settings!$B$19*(O373-G$6)^2</f>
        <v>0.18713433437341873</v>
      </c>
      <c r="X373" s="31">
        <f>Settings!$B$20*(P373-H$6)^2</f>
        <v>1.7895509443822988</v>
      </c>
      <c r="Y373" s="31">
        <f>Settings!$B$21*(Q373-I$6)^2</f>
        <v>0.16566598596061302</v>
      </c>
      <c r="Z373" s="31">
        <f>Settings!$B$22*(R373-J$6)^2</f>
        <v>0.30238177060324678</v>
      </c>
      <c r="AA373" s="31">
        <f>Settings!$B$23*(S373-K$6)^2</f>
        <v>8.6864718901514593</v>
      </c>
      <c r="AB373" s="31">
        <f>Settings!$B$24*(T373-L$6)^2</f>
        <v>4.4395354992475271</v>
      </c>
      <c r="AC373" s="31">
        <f>Settings!$B$25*(U373-M$6)^2</f>
        <v>0.17011905994813747</v>
      </c>
      <c r="AD373" s="19">
        <f t="shared" si="20"/>
        <v>3.9959067852868366</v>
      </c>
      <c r="AE373" s="15">
        <f t="shared" si="21"/>
        <v>1.5816523497763955</v>
      </c>
      <c r="AF373" s="33">
        <f t="shared" si="22"/>
        <v>0.28627222712690864</v>
      </c>
      <c r="AG373" s="47">
        <f t="shared" si="23"/>
        <v>1.2359516779787082E-3</v>
      </c>
      <c r="AH373" s="48"/>
      <c r="AI373" s="48"/>
      <c r="AJ373" s="48"/>
      <c r="AK373" s="48"/>
      <c r="AL373" s="48"/>
      <c r="AM373" s="48"/>
      <c r="AN373" s="48"/>
      <c r="AO373" s="48"/>
      <c r="AP373" s="48"/>
      <c r="AQ373" s="48"/>
    </row>
    <row r="374" spans="1:43" ht="20" customHeight="1" x14ac:dyDescent="0.45">
      <c r="A374" s="26">
        <v>364</v>
      </c>
      <c r="B374" s="16" t="s">
        <v>590</v>
      </c>
      <c r="C374" s="16" t="s">
        <v>224</v>
      </c>
      <c r="D374" s="46">
        <v>26</v>
      </c>
      <c r="E374" s="46">
        <v>0</v>
      </c>
      <c r="F374" s="13">
        <v>0.26676570060624871</v>
      </c>
      <c r="G374" s="13">
        <v>-0.1141770609095544</v>
      </c>
      <c r="H374" s="13">
        <v>1.5932472017313529E-2</v>
      </c>
      <c r="I374" s="13">
        <v>-7.3635360422424001E-3</v>
      </c>
      <c r="J374" s="13">
        <v>-0.59576123042464091</v>
      </c>
      <c r="K374" s="13">
        <v>13.61135693215339</v>
      </c>
      <c r="L374" s="13">
        <v>-0.54119356407818953</v>
      </c>
      <c r="M374" s="13">
        <v>-6.1575741512482129E-2</v>
      </c>
      <c r="N374" s="19">
        <f>(F374-Settings!$D$18)/Settings!$E$18</f>
        <v>0.26642774486756388</v>
      </c>
      <c r="O374" s="19">
        <f>(G374-Settings!$D$19)/Settings!$E$19</f>
        <v>-0.44800520153207934</v>
      </c>
      <c r="P374" s="19">
        <f>(H374-Settings!$D$20)/Settings!$E$20</f>
        <v>-0.33699135051287088</v>
      </c>
      <c r="Q374" s="19">
        <f>(I374-Settings!$D$21)/Settings!$E$21</f>
        <v>-5.4342542918422089E-2</v>
      </c>
      <c r="R374" s="19">
        <f>(J374-Settings!$D$22)/Settings!$E$22</f>
        <v>-2.2698059461369082</v>
      </c>
      <c r="S374" s="19">
        <f>(K374-Settings!$D$23)/Settings!$E$23</f>
        <v>-0.57087291715536115</v>
      </c>
      <c r="T374" s="19">
        <f>(L374-Settings!$D$24)/Settings!$E$24</f>
        <v>-1.2786338851034542</v>
      </c>
      <c r="U374" s="19">
        <f>(M374-Settings!$D$25)/Settings!$E$25</f>
        <v>-5.5571078611432326E-3</v>
      </c>
      <c r="V374" s="31">
        <f>Settings!$B$18*(N374-F$6)^2</f>
        <v>9.6525566335452923E-3</v>
      </c>
      <c r="W374" s="31">
        <f>Settings!$B$19*(O374-G$6)^2</f>
        <v>0.18127944304492979</v>
      </c>
      <c r="X374" s="31">
        <f>Settings!$B$20*(P374-H$6)^2</f>
        <v>1.3504668293048676</v>
      </c>
      <c r="Y374" s="31">
        <f>Settings!$B$21*(Q374-I$6)^2</f>
        <v>0.12973089260150172</v>
      </c>
      <c r="Z374" s="31">
        <f>Settings!$B$22*(R374-J$6)^2</f>
        <v>1.1738685623348839</v>
      </c>
      <c r="AA374" s="31">
        <f>Settings!$B$23*(S374-K$6)^2</f>
        <v>5.2840876494137774</v>
      </c>
      <c r="AB374" s="31">
        <f>Settings!$B$24*(T374-L$6)^2</f>
        <v>7.8671819855438345</v>
      </c>
      <c r="AC374" s="31">
        <f>Settings!$B$25*(U374-M$6)^2</f>
        <v>3.1109124074520444E-2</v>
      </c>
      <c r="AD374" s="19">
        <f t="shared" si="20"/>
        <v>4.0034206677480029</v>
      </c>
      <c r="AE374" s="15">
        <f t="shared" si="21"/>
        <v>1.5846264806781487</v>
      </c>
      <c r="AF374" s="33">
        <f t="shared" si="22"/>
        <v>0.28492749299271802</v>
      </c>
      <c r="AG374" s="47">
        <f t="shared" si="23"/>
        <v>1.2301459229941308E-3</v>
      </c>
      <c r="AH374" s="18">
        <v>-0.34767403915289408</v>
      </c>
      <c r="AI374" s="46">
        <v>0</v>
      </c>
      <c r="AJ374" s="48"/>
      <c r="AK374" s="48"/>
      <c r="AL374" s="48"/>
      <c r="AM374" s="48"/>
      <c r="AN374" s="48"/>
      <c r="AO374" s="48"/>
      <c r="AP374" s="48"/>
      <c r="AQ374" s="48"/>
    </row>
    <row r="375" spans="1:43" ht="20" customHeight="1" x14ac:dyDescent="0.45">
      <c r="A375" s="26">
        <v>365</v>
      </c>
      <c r="B375" s="16" t="s">
        <v>591</v>
      </c>
      <c r="C375" s="16" t="s">
        <v>258</v>
      </c>
      <c r="D375" s="46">
        <v>26</v>
      </c>
      <c r="E375" s="46">
        <v>0</v>
      </c>
      <c r="F375" s="13">
        <v>-0.22591588181800359</v>
      </c>
      <c r="G375" s="13">
        <v>-3.2588062804009471E-2</v>
      </c>
      <c r="H375" s="13">
        <v>-1.2967936020008221E-3</v>
      </c>
      <c r="I375" s="13">
        <v>0.12555855870904589</v>
      </c>
      <c r="J375" s="13">
        <v>0.61464070306694019</v>
      </c>
      <c r="K375" s="13">
        <v>11.819191919191921</v>
      </c>
      <c r="L375" s="13">
        <v>0.71244999909663376</v>
      </c>
      <c r="M375" s="13">
        <v>0.55620200979283074</v>
      </c>
      <c r="N375" s="19">
        <f>(F375-Settings!$D$18)/Settings!$E$18</f>
        <v>-1.4968489256729349</v>
      </c>
      <c r="O375" s="19">
        <f>(G375-Settings!$D$19)/Settings!$E$19</f>
        <v>-0.1080950363933374</v>
      </c>
      <c r="P375" s="19">
        <f>(H375-Settings!$D$20)/Settings!$E$20</f>
        <v>-0.493091810180111</v>
      </c>
      <c r="Q375" s="19">
        <f>(I375-Settings!$D$21)/Settings!$E$21</f>
        <v>1.5802413357805511</v>
      </c>
      <c r="R375" s="19">
        <f>(J375-Settings!$D$22)/Settings!$E$22</f>
        <v>0.98683744235315074</v>
      </c>
      <c r="S375" s="19">
        <f>(K375-Settings!$D$23)/Settings!$E$23</f>
        <v>-1.1932506041573898</v>
      </c>
      <c r="T375" s="19">
        <f>(L375-Settings!$D$24)/Settings!$E$24</f>
        <v>-0.41192151760548179</v>
      </c>
      <c r="U375" s="19">
        <f>(M375-Settings!$D$25)/Settings!$E$25</f>
        <v>0.41107908812054922</v>
      </c>
      <c r="V375" s="31">
        <f>Settings!$B$18*(N375-F$6)^2</f>
        <v>0.47653324479059728</v>
      </c>
      <c r="W375" s="31">
        <f>Settings!$B$19*(O375-G$6)^2</f>
        <v>7.4942779933082085E-2</v>
      </c>
      <c r="X375" s="31">
        <f>Settings!$B$20*(P375-H$6)^2</f>
        <v>1.5175927024687128</v>
      </c>
      <c r="Y375" s="31">
        <f>Settings!$B$21*(Q375-I$6)^2</f>
        <v>1.1906953606309327</v>
      </c>
      <c r="Z375" s="31">
        <f>Settings!$B$22*(R375-J$6)^2</f>
        <v>0.1391014355975127</v>
      </c>
      <c r="AA375" s="31">
        <f>Settings!$B$23*(S375-K$6)^2</f>
        <v>8.5327786715042215</v>
      </c>
      <c r="AB375" s="31">
        <f>Settings!$B$24*(T375-L$6)^2</f>
        <v>3.7563764204913941</v>
      </c>
      <c r="AC375" s="31">
        <f>Settings!$B$25*(U375-M$6)^2</f>
        <v>0.35166558511293555</v>
      </c>
      <c r="AD375" s="19">
        <f t="shared" si="20"/>
        <v>4.0049577027141483</v>
      </c>
      <c r="AE375" s="15">
        <f t="shared" si="21"/>
        <v>1.5852348669835659</v>
      </c>
      <c r="AF375" s="33">
        <f t="shared" si="22"/>
        <v>0.28465288404139866</v>
      </c>
      <c r="AG375" s="47">
        <f t="shared" si="23"/>
        <v>1.2289603263416805E-3</v>
      </c>
      <c r="AH375" s="48"/>
      <c r="AI375" s="48"/>
      <c r="AJ375" s="48"/>
      <c r="AK375" s="48"/>
      <c r="AL375" s="48"/>
      <c r="AM375" s="48"/>
      <c r="AN375" s="48"/>
      <c r="AO375" s="48"/>
      <c r="AP375" s="48"/>
      <c r="AQ375" s="48"/>
    </row>
    <row r="376" spans="1:43" ht="20" customHeight="1" x14ac:dyDescent="0.45">
      <c r="A376" s="26">
        <v>366</v>
      </c>
      <c r="B376" s="16" t="s">
        <v>592</v>
      </c>
      <c r="C376" s="16" t="s">
        <v>260</v>
      </c>
      <c r="D376" s="46">
        <v>26</v>
      </c>
      <c r="E376" s="46">
        <v>1</v>
      </c>
      <c r="F376" s="13">
        <v>0.40593199111516048</v>
      </c>
      <c r="G376" s="13">
        <v>-0.19084784990090939</v>
      </c>
      <c r="H376" s="13">
        <v>-5.6334935476565684E-3</v>
      </c>
      <c r="I376" s="13">
        <v>4.2458200729379163E-2</v>
      </c>
      <c r="J376" s="13">
        <v>0.35512846470689441</v>
      </c>
      <c r="K376" s="13">
        <v>11.921367521367531</v>
      </c>
      <c r="L376" s="13">
        <v>0.53331287350320877</v>
      </c>
      <c r="M376" s="13">
        <v>-1.8865327270630761</v>
      </c>
      <c r="N376" s="19">
        <f>(F376-Settings!$D$18)/Settings!$E$18</f>
        <v>0.76449522320232233</v>
      </c>
      <c r="O376" s="19">
        <f>(G376-Settings!$D$19)/Settings!$E$19</f>
        <v>-0.76742548064441651</v>
      </c>
      <c r="P376" s="19">
        <f>(H376-Settings!$D$20)/Settings!$E$20</f>
        <v>-0.53238314562721623</v>
      </c>
      <c r="Q376" s="19">
        <f>(I376-Settings!$D$21)/Settings!$E$21</f>
        <v>0.55833067659452218</v>
      </c>
      <c r="R376" s="19">
        <f>(J376-Settings!$D$22)/Settings!$E$22</f>
        <v>0.28860754705748398</v>
      </c>
      <c r="S376" s="19">
        <f>(K376-Settings!$D$23)/Settings!$E$23</f>
        <v>-1.1577673676863167</v>
      </c>
      <c r="T376" s="19">
        <f>(L376-Settings!$D$24)/Settings!$E$24</f>
        <v>-0.53576881103924356</v>
      </c>
      <c r="U376" s="19">
        <f>(M376-Settings!$D$25)/Settings!$E$25</f>
        <v>-1.2363284243798658</v>
      </c>
      <c r="V376" s="31">
        <f>Settings!$B$18*(N376-F$6)^2</f>
        <v>0.10303456300404951</v>
      </c>
      <c r="W376" s="31">
        <f>Settings!$B$19*(O376-G$6)^2</f>
        <v>0.32332680332874886</v>
      </c>
      <c r="X376" s="31">
        <f>Settings!$B$20*(P376-H$6)^2</f>
        <v>1.5611946354239725</v>
      </c>
      <c r="Y376" s="31">
        <f>Settings!$B$21*(Q376-I$6)^2</f>
        <v>0.40218115574850793</v>
      </c>
      <c r="Z376" s="31">
        <f>Settings!$B$22*(R376-J$6)^2</f>
        <v>3.6851148246708856E-3</v>
      </c>
      <c r="AA376" s="31">
        <f>Settings!$B$23*(S376-K$6)^2</f>
        <v>8.326738132777372</v>
      </c>
      <c r="AB376" s="31">
        <f>Settings!$B$24*(T376-L$6)^2</f>
        <v>4.2517807048934184</v>
      </c>
      <c r="AC376" s="31">
        <f>Settings!$B$25*(U376-M$6)^2</f>
        <v>1.1117457131331228</v>
      </c>
      <c r="AD376" s="19">
        <f t="shared" si="20"/>
        <v>4.0104472098674808</v>
      </c>
      <c r="AE376" s="15">
        <f t="shared" si="21"/>
        <v>1.5874077134373801</v>
      </c>
      <c r="AF376" s="33">
        <f t="shared" si="22"/>
        <v>0.28367342219406333</v>
      </c>
      <c r="AG376" s="47">
        <f t="shared" si="23"/>
        <v>1.2247315978831787E-3</v>
      </c>
      <c r="AH376" s="48"/>
      <c r="AI376" s="48"/>
      <c r="AJ376" s="48"/>
      <c r="AK376" s="48"/>
      <c r="AL376" s="48"/>
      <c r="AM376" s="48"/>
      <c r="AN376" s="48"/>
      <c r="AO376" s="48"/>
      <c r="AP376" s="48"/>
      <c r="AQ376" s="48"/>
    </row>
    <row r="377" spans="1:43" ht="20" customHeight="1" x14ac:dyDescent="0.45">
      <c r="A377" s="26">
        <v>367</v>
      </c>
      <c r="B377" s="16" t="s">
        <v>593</v>
      </c>
      <c r="C377" s="16" t="s">
        <v>220</v>
      </c>
      <c r="D377" s="46">
        <v>26</v>
      </c>
      <c r="E377" s="46">
        <v>1</v>
      </c>
      <c r="F377" s="13">
        <v>3.7151692293718633E-2</v>
      </c>
      <c r="G377" s="13">
        <v>0.50384051884722625</v>
      </c>
      <c r="H377" s="13">
        <v>-6.5599095550272074E-3</v>
      </c>
      <c r="I377" s="13">
        <v>-2.2576889379666141E-4</v>
      </c>
      <c r="J377" s="13">
        <v>-0.45222211041023108</v>
      </c>
      <c r="K377" s="13">
        <v>11.936601307189539</v>
      </c>
      <c r="L377" s="13">
        <v>0.5154932703559626</v>
      </c>
      <c r="M377" s="13">
        <v>-1.1895990449509839</v>
      </c>
      <c r="N377" s="19">
        <f>(F377-Settings!$D$18)/Settings!$E$18</f>
        <v>-0.55534647712504326</v>
      </c>
      <c r="O377" s="19">
        <f>(G377-Settings!$D$19)/Settings!$E$19</f>
        <v>2.1267348059628302</v>
      </c>
      <c r="P377" s="19">
        <f>(H377-Settings!$D$20)/Settings!$E$20</f>
        <v>-0.5407766528020973</v>
      </c>
      <c r="Q377" s="19">
        <f>(I377-Settings!$D$21)/Settings!$E$21</f>
        <v>3.3432774891512335E-2</v>
      </c>
      <c r="R377" s="19">
        <f>(J377-Settings!$D$22)/Settings!$E$22</f>
        <v>-1.8836071858324159</v>
      </c>
      <c r="S377" s="19">
        <f>(K377-Settings!$D$23)/Settings!$E$23</f>
        <v>-1.1524770242661431</v>
      </c>
      <c r="T377" s="19">
        <f>(L377-Settings!$D$24)/Settings!$E$24</f>
        <v>-0.54808847739840494</v>
      </c>
      <c r="U377" s="19">
        <f>(M377-Settings!$D$25)/Settings!$E$25</f>
        <v>-0.76630858706268623</v>
      </c>
      <c r="V377" s="31">
        <f>Settings!$B$18*(N377-F$6)^2</f>
        <v>7.2501582475658799E-2</v>
      </c>
      <c r="W377" s="31">
        <f>Settings!$B$19*(O377-G$6)^2</f>
        <v>0.526625249514451</v>
      </c>
      <c r="X377" s="31">
        <f>Settings!$B$20*(P377-H$6)^2</f>
        <v>1.5705890311560786</v>
      </c>
      <c r="Y377" s="31">
        <f>Settings!$B$21*(Q377-I$6)^2</f>
        <v>0.15954916992270121</v>
      </c>
      <c r="Z377" s="31">
        <f>Settings!$B$22*(R377-J$6)^2</f>
        <v>0.82944518784689159</v>
      </c>
      <c r="AA377" s="31">
        <f>Settings!$B$23*(S377-K$6)^2</f>
        <v>8.2962343974797346</v>
      </c>
      <c r="AB377" s="31">
        <f>Settings!$B$24*(T377-L$6)^2</f>
        <v>4.3027384049721871</v>
      </c>
      <c r="AC377" s="31">
        <f>Settings!$B$25*(U377-M$6)^2</f>
        <v>0.34149261105218282</v>
      </c>
      <c r="AD377" s="19">
        <f t="shared" si="20"/>
        <v>4.0123778030514385</v>
      </c>
      <c r="AE377" s="15">
        <f t="shared" si="21"/>
        <v>1.5881718772204574</v>
      </c>
      <c r="AF377" s="33">
        <f t="shared" si="22"/>
        <v>0.28332944103125968</v>
      </c>
      <c r="AG377" s="47">
        <f t="shared" si="23"/>
        <v>1.2232464936534494E-3</v>
      </c>
      <c r="AH377" s="18">
        <v>-0.43806781594722721</v>
      </c>
      <c r="AI377" s="46">
        <v>1</v>
      </c>
      <c r="AJ377" s="18">
        <v>0.69235813621537545</v>
      </c>
      <c r="AK377" s="46">
        <v>1</v>
      </c>
      <c r="AL377" s="48"/>
      <c r="AM377" s="48"/>
      <c r="AN377" s="48"/>
      <c r="AO377" s="48"/>
      <c r="AP377" s="48"/>
      <c r="AQ377" s="48"/>
    </row>
    <row r="378" spans="1:43" ht="20" customHeight="1" x14ac:dyDescent="0.45">
      <c r="A378" s="26">
        <v>368</v>
      </c>
      <c r="B378" s="16" t="s">
        <v>594</v>
      </c>
      <c r="C378" s="16" t="s">
        <v>227</v>
      </c>
      <c r="D378" s="46">
        <v>26</v>
      </c>
      <c r="E378" s="46">
        <v>0</v>
      </c>
      <c r="F378" s="13">
        <v>0.11859872442983529</v>
      </c>
      <c r="G378" s="13">
        <v>-1.6185550475189669E-2</v>
      </c>
      <c r="H378" s="13">
        <v>6.0495058873331571E-2</v>
      </c>
      <c r="I378" s="13">
        <v>-4.2169412605295989E-3</v>
      </c>
      <c r="J378" s="13">
        <v>0.80050372496111377</v>
      </c>
      <c r="K378" s="13">
        <v>13.31625</v>
      </c>
      <c r="L378" s="13">
        <v>1.6263207191160951</v>
      </c>
      <c r="M378" s="13">
        <v>3.6787544997421229</v>
      </c>
      <c r="N378" s="19">
        <f>(F378-Settings!$D$18)/Settings!$E$18</f>
        <v>-0.26385262638330825</v>
      </c>
      <c r="O378" s="19">
        <f>(G378-Settings!$D$19)/Settings!$E$19</f>
        <v>-3.9760079428098269E-2</v>
      </c>
      <c r="P378" s="19">
        <f>(H378-Settings!$D$20)/Settings!$E$20</f>
        <v>6.675425570656332E-2</v>
      </c>
      <c r="Q378" s="19">
        <f>(I378-Settings!$D$21)/Settings!$E$21</f>
        <v>-1.5647899167811091E-2</v>
      </c>
      <c r="R378" s="19">
        <f>(J378-Settings!$D$22)/Settings!$E$22</f>
        <v>1.4869106532992018</v>
      </c>
      <c r="S378" s="19">
        <f>(K378-Settings!$D$23)/Settings!$E$23</f>
        <v>-0.67335676686984058</v>
      </c>
      <c r="T378" s="19">
        <f>(L378-Settings!$D$24)/Settings!$E$24</f>
        <v>0.21988729839422927</v>
      </c>
      <c r="U378" s="19">
        <f>(M378-Settings!$D$25)/Settings!$E$25</f>
        <v>2.5169632647792217</v>
      </c>
      <c r="V378" s="31">
        <f>Settings!$B$18*(N378-F$6)^2</f>
        <v>1.9293533879455441E-2</v>
      </c>
      <c r="W378" s="31">
        <f>Settings!$B$19*(O378-G$6)^2</f>
        <v>5.9144522020997216E-2</v>
      </c>
      <c r="X378" s="31">
        <f>Settings!$B$20*(P378-H$6)^2</f>
        <v>0.9634116504069653</v>
      </c>
      <c r="Y378" s="31">
        <f>Settings!$B$21*(Q378-I$6)^2</f>
        <v>0.1424960729019121</v>
      </c>
      <c r="Z378" s="31">
        <f>Settings!$B$22*(R378-J$6)^2</f>
        <v>0.35593464711207778</v>
      </c>
      <c r="AA378" s="31">
        <f>Settings!$B$23*(S378-K$6)^2</f>
        <v>5.7657527802288362</v>
      </c>
      <c r="AB378" s="31">
        <f>Settings!$B$24*(T378-L$6)^2</f>
        <v>1.7064942610035267</v>
      </c>
      <c r="AC378" s="31">
        <f>Settings!$B$25*(U378-M$6)^2</f>
        <v>7.2840512811215365</v>
      </c>
      <c r="AD378" s="19">
        <f t="shared" si="20"/>
        <v>4.0369021227514681</v>
      </c>
      <c r="AE378" s="15">
        <f t="shared" si="21"/>
        <v>1.5978790475736404</v>
      </c>
      <c r="AF378" s="33">
        <f t="shared" si="22"/>
        <v>0.27898180193223432</v>
      </c>
      <c r="AG378" s="47">
        <f t="shared" si="23"/>
        <v>1.2044759971452286E-3</v>
      </c>
      <c r="AH378" s="18">
        <v>0.2750055340633748</v>
      </c>
      <c r="AI378" s="46">
        <v>0</v>
      </c>
      <c r="AJ378" s="18">
        <v>-2.2398757935889941</v>
      </c>
      <c r="AK378" s="46">
        <v>0</v>
      </c>
      <c r="AL378" s="48"/>
      <c r="AM378" s="48"/>
      <c r="AN378" s="48"/>
      <c r="AO378" s="48"/>
      <c r="AP378" s="48"/>
      <c r="AQ378" s="48"/>
    </row>
    <row r="379" spans="1:43" ht="20" customHeight="1" x14ac:dyDescent="0.45">
      <c r="A379" s="26">
        <v>369</v>
      </c>
      <c r="B379" s="16" t="s">
        <v>595</v>
      </c>
      <c r="C379" s="16" t="s">
        <v>216</v>
      </c>
      <c r="D379" s="46">
        <v>26</v>
      </c>
      <c r="E379" s="46">
        <v>1</v>
      </c>
      <c r="F379" s="13">
        <v>0.13863600439587509</v>
      </c>
      <c r="G379" s="13">
        <v>0.23889961580568531</v>
      </c>
      <c r="H379" s="13">
        <v>-8.5546586788268718E-4</v>
      </c>
      <c r="I379" s="13">
        <v>2.5804763222251441E-2</v>
      </c>
      <c r="J379" s="13">
        <v>0.59580415070830539</v>
      </c>
      <c r="K379" s="13">
        <v>11.101089324618741</v>
      </c>
      <c r="L379" s="13">
        <v>0.54111908902548123</v>
      </c>
      <c r="M379" s="13">
        <v>-0.73675926494816624</v>
      </c>
      <c r="N379" s="19">
        <f>(F379-Settings!$D$18)/Settings!$E$18</f>
        <v>-0.19214045047578177</v>
      </c>
      <c r="O379" s="19">
        <f>(G379-Settings!$D$19)/Settings!$E$19</f>
        <v>1.0229572355070751</v>
      </c>
      <c r="P379" s="19">
        <f>(H379-Settings!$D$20)/Settings!$E$20</f>
        <v>-0.48909329604248503</v>
      </c>
      <c r="Q379" s="19">
        <f>(I379-Settings!$D$21)/Settings!$E$21</f>
        <v>0.35353823388583583</v>
      </c>
      <c r="R379" s="19">
        <f>(J379-Settings!$D$22)/Settings!$E$22</f>
        <v>0.93615681139634188</v>
      </c>
      <c r="S379" s="19">
        <f>(K379-Settings!$D$23)/Settings!$E$23</f>
        <v>-1.4426311180097826</v>
      </c>
      <c r="T379" s="19">
        <f>(L379-Settings!$D$24)/Settings!$E$24</f>
        <v>-0.53037194726133363</v>
      </c>
      <c r="U379" s="19">
        <f>(M379-Settings!$D$25)/Settings!$E$25</f>
        <v>-0.46090839592450167</v>
      </c>
      <c r="V379" s="31">
        <f>Settings!$B$18*(N379-F$6)^2</f>
        <v>1.141275697784791E-2</v>
      </c>
      <c r="W379" s="31">
        <f>Settings!$B$19*(O379-G$6)^2</f>
        <v>5.3854240094997119E-2</v>
      </c>
      <c r="X379" s="31">
        <f>Settings!$B$20*(P379-H$6)^2</f>
        <v>1.5131901359474877</v>
      </c>
      <c r="Y379" s="31">
        <f>Settings!$B$21*(Q379-I$6)^2</f>
        <v>0.29440562065853776</v>
      </c>
      <c r="Z379" s="31">
        <f>Settings!$B$22*(R379-J$6)^2</f>
        <v>0.12270867575617304</v>
      </c>
      <c r="AA379" s="31">
        <f>Settings!$B$23*(S379-K$6)^2</f>
        <v>10.051896177126267</v>
      </c>
      <c r="AB379" s="31">
        <f>Settings!$B$24*(T379-L$6)^2</f>
        <v>4.2295533304745838</v>
      </c>
      <c r="AC379" s="31">
        <f>Settings!$B$25*(U379-M$6)^2</f>
        <v>7.782621377754205E-2</v>
      </c>
      <c r="AD379" s="19">
        <f t="shared" si="20"/>
        <v>4.0441126530814442</v>
      </c>
      <c r="AE379" s="15">
        <f t="shared" si="21"/>
        <v>1.6007331062022183</v>
      </c>
      <c r="AF379" s="33">
        <f t="shared" si="22"/>
        <v>0.27771128763011804</v>
      </c>
      <c r="AG379" s="47">
        <f t="shared" si="23"/>
        <v>1.198990678854466E-3</v>
      </c>
      <c r="AH379" s="18">
        <v>0.1019973413543678</v>
      </c>
      <c r="AI379" s="46">
        <v>1</v>
      </c>
      <c r="AJ379" s="18">
        <v>-0.15823507131140149</v>
      </c>
      <c r="AK379" s="46">
        <v>1</v>
      </c>
      <c r="AL379" s="48"/>
      <c r="AM379" s="48"/>
      <c r="AN379" s="48"/>
      <c r="AO379" s="48"/>
      <c r="AP379" s="48"/>
      <c r="AQ379" s="48"/>
    </row>
    <row r="380" spans="1:43" ht="20" customHeight="1" x14ac:dyDescent="0.45">
      <c r="A380" s="26">
        <v>370</v>
      </c>
      <c r="B380" s="16" t="s">
        <v>596</v>
      </c>
      <c r="C380" s="16" t="s">
        <v>234</v>
      </c>
      <c r="D380" s="46">
        <v>26</v>
      </c>
      <c r="E380" s="46">
        <v>1</v>
      </c>
      <c r="F380" s="13">
        <v>0.64539368968345057</v>
      </c>
      <c r="G380" s="13">
        <v>-0.33253417676542601</v>
      </c>
      <c r="H380" s="13">
        <v>8.8351405058402998E-4</v>
      </c>
      <c r="I380" s="13">
        <v>-4.6081644690412818E-5</v>
      </c>
      <c r="J380" s="13">
        <v>2.114253785584902E-2</v>
      </c>
      <c r="K380" s="13">
        <v>11.400700280112041</v>
      </c>
      <c r="L380" s="13">
        <v>0.72465347294284677</v>
      </c>
      <c r="M380" s="13">
        <v>0.53945830509818826</v>
      </c>
      <c r="N380" s="19">
        <f>(F380-Settings!$D$18)/Settings!$E$18</f>
        <v>1.621513714731553</v>
      </c>
      <c r="O380" s="19">
        <f>(G380-Settings!$D$19)/Settings!$E$19</f>
        <v>-1.3577087771756253</v>
      </c>
      <c r="P380" s="19">
        <f>(H380-Settings!$D$20)/Settings!$E$20</f>
        <v>-0.47333780357852023</v>
      </c>
      <c r="Q380" s="19">
        <f>(I380-Settings!$D$21)/Settings!$E$21</f>
        <v>3.5642444255709539E-2</v>
      </c>
      <c r="R380" s="19">
        <f>(J380-Settings!$D$22)/Settings!$E$22</f>
        <v>-0.60999731338802898</v>
      </c>
      <c r="S380" s="19">
        <f>(K380-Settings!$D$23)/Settings!$E$23</f>
        <v>-1.3385831245874287</v>
      </c>
      <c r="T380" s="19">
        <f>(L380-Settings!$D$24)/Settings!$E$24</f>
        <v>-0.40348458862531367</v>
      </c>
      <c r="U380" s="19">
        <f>(M380-Settings!$D$25)/Settings!$E$25</f>
        <v>0.39978694719142566</v>
      </c>
      <c r="V380" s="31">
        <f>Settings!$B$18*(N380-F$6)^2</f>
        <v>0.49598256223555687</v>
      </c>
      <c r="W380" s="31">
        <f>Settings!$B$19*(O380-G$6)^2</f>
        <v>0.69322449805244168</v>
      </c>
      <c r="X380" s="31">
        <f>Settings!$B$20*(P380-H$6)^2</f>
        <v>1.4959047878214466</v>
      </c>
      <c r="Y380" s="31">
        <f>Settings!$B$21*(Q380-I$6)^2</f>
        <v>0.16033958724060549</v>
      </c>
      <c r="Z380" s="31">
        <f>Settings!$B$22*(R380-J$6)^2</f>
        <v>0.11639230444715909</v>
      </c>
      <c r="AA380" s="31">
        <f>Settings!$B$23*(S380-K$6)^2</f>
        <v>9.4029595484376234</v>
      </c>
      <c r="AB380" s="31">
        <f>Settings!$B$24*(T380-L$6)^2</f>
        <v>3.7237437477667199</v>
      </c>
      <c r="AC380" s="31">
        <f>Settings!$B$25*(U380-M$6)^2</f>
        <v>0.33840030260119086</v>
      </c>
      <c r="AD380" s="19">
        <f t="shared" si="20"/>
        <v>4.053017066162286</v>
      </c>
      <c r="AE380" s="15">
        <f t="shared" si="21"/>
        <v>1.604257634332992</v>
      </c>
      <c r="AF380" s="33">
        <f t="shared" si="22"/>
        <v>0.27614718438262925</v>
      </c>
      <c r="AG380" s="47">
        <f t="shared" si="23"/>
        <v>1.1922378196872765E-3</v>
      </c>
      <c r="AH380" s="18">
        <v>0.6890561150856217</v>
      </c>
      <c r="AI380" s="46">
        <v>1</v>
      </c>
      <c r="AJ380" s="48"/>
      <c r="AK380" s="48"/>
      <c r="AL380" s="48"/>
      <c r="AM380" s="48"/>
      <c r="AN380" s="48"/>
      <c r="AO380" s="48"/>
      <c r="AP380" s="48"/>
      <c r="AQ380" s="48"/>
    </row>
    <row r="381" spans="1:43" ht="20" customHeight="1" x14ac:dyDescent="0.45">
      <c r="A381" s="26">
        <v>371</v>
      </c>
      <c r="B381" s="16" t="s">
        <v>597</v>
      </c>
      <c r="C381" s="16" t="s">
        <v>214</v>
      </c>
      <c r="D381" s="46">
        <v>26</v>
      </c>
      <c r="E381" s="46">
        <v>1</v>
      </c>
      <c r="F381" s="13">
        <v>0.51650049971857859</v>
      </c>
      <c r="G381" s="13">
        <v>-0.31105906659073118</v>
      </c>
      <c r="H381" s="13">
        <v>-8.8287408452827269E-4</v>
      </c>
      <c r="I381" s="13">
        <v>-0.1163554788399212</v>
      </c>
      <c r="J381" s="13">
        <v>-5.5202080766240662E-2</v>
      </c>
      <c r="K381" s="13">
        <v>13.43343949044586</v>
      </c>
      <c r="L381" s="13">
        <v>-0.21598610194566831</v>
      </c>
      <c r="M381" s="13">
        <v>-2.241390115802536</v>
      </c>
      <c r="N381" s="19">
        <f>(F381-Settings!$D$18)/Settings!$E$18</f>
        <v>1.160213022835797</v>
      </c>
      <c r="O381" s="19">
        <f>(G381-Settings!$D$19)/Settings!$E$19</f>
        <v>-1.2682407310499664</v>
      </c>
      <c r="P381" s="19">
        <f>(H381-Settings!$D$20)/Settings!$E$20</f>
        <v>-0.48934161975584389</v>
      </c>
      <c r="Q381" s="19">
        <f>(I381-Settings!$D$21)/Settings!$E$21</f>
        <v>-1.3946499834422612</v>
      </c>
      <c r="R381" s="19">
        <f>(J381-Settings!$D$22)/Settings!$E$22</f>
        <v>-0.81540610414005799</v>
      </c>
      <c r="S381" s="19">
        <f>(K381-Settings!$D$23)/Settings!$E$23</f>
        <v>-0.63265955234040561</v>
      </c>
      <c r="T381" s="19">
        <f>(L381-Settings!$D$24)/Settings!$E$24</f>
        <v>-1.053800178209066</v>
      </c>
      <c r="U381" s="19">
        <f>(M381-Settings!$D$25)/Settings!$E$25</f>
        <v>-1.4756481995708923</v>
      </c>
      <c r="V381" s="31">
        <f>Settings!$B$18*(N381-F$6)^2</f>
        <v>0.24796451350584864</v>
      </c>
      <c r="W381" s="31">
        <f>Settings!$B$19*(O381-G$6)^2</f>
        <v>0.62819845974634003</v>
      </c>
      <c r="X381" s="31">
        <f>Settings!$B$20*(P381-H$6)^2</f>
        <v>1.5134633666769615</v>
      </c>
      <c r="Y381" s="31">
        <f>Settings!$B$21*(Q381-I$6)^2</f>
        <v>5.7227146218534287E-2</v>
      </c>
      <c r="Z381" s="31">
        <f>Settings!$B$22*(R381-J$6)^2</f>
        <v>0.18751044955017138</v>
      </c>
      <c r="AA381" s="31">
        <f>Settings!$B$23*(S381-K$6)^2</f>
        <v>5.5719648872150378</v>
      </c>
      <c r="AB381" s="31">
        <f>Settings!$B$24*(T381-L$6)^2</f>
        <v>6.656482658934987</v>
      </c>
      <c r="AC381" s="31">
        <f>Settings!$B$25*(U381-M$6)^2</f>
        <v>1.6736941123808182</v>
      </c>
      <c r="AD381" s="19">
        <f t="shared" si="20"/>
        <v>4.0665102476483073</v>
      </c>
      <c r="AE381" s="15">
        <f t="shared" si="21"/>
        <v>1.609598480191035</v>
      </c>
      <c r="AF381" s="33">
        <f t="shared" si="22"/>
        <v>0.27378733222722706</v>
      </c>
      <c r="AG381" s="47">
        <f t="shared" si="23"/>
        <v>1.1820493942835155E-3</v>
      </c>
      <c r="AH381" s="48"/>
      <c r="AI381" s="48"/>
      <c r="AJ381" s="48"/>
      <c r="AK381" s="48"/>
      <c r="AL381" s="48"/>
      <c r="AM381" s="48"/>
      <c r="AN381" s="48"/>
      <c r="AO381" s="48"/>
      <c r="AP381" s="48"/>
      <c r="AQ381" s="48"/>
    </row>
    <row r="382" spans="1:43" ht="20" customHeight="1" x14ac:dyDescent="0.45">
      <c r="A382" s="26">
        <v>372</v>
      </c>
      <c r="B382" s="16" t="s">
        <v>598</v>
      </c>
      <c r="C382" s="16" t="s">
        <v>236</v>
      </c>
      <c r="D382" s="46">
        <v>26</v>
      </c>
      <c r="E382" s="46">
        <v>0</v>
      </c>
      <c r="F382" s="13">
        <v>-0.27240178240713808</v>
      </c>
      <c r="G382" s="13">
        <v>-0.23037750342070801</v>
      </c>
      <c r="H382" s="13">
        <v>-3.369712650026277E-2</v>
      </c>
      <c r="I382" s="13">
        <v>-1.374362420024422E-2</v>
      </c>
      <c r="J382" s="13">
        <v>-0.449779963471647</v>
      </c>
      <c r="K382" s="13">
        <v>15.22857142857143</v>
      </c>
      <c r="L382" s="13">
        <v>-0.88680695759158978</v>
      </c>
      <c r="M382" s="13">
        <v>0.74673692314082762</v>
      </c>
      <c r="N382" s="19">
        <f>(F382-Settings!$D$18)/Settings!$E$18</f>
        <v>-1.6632190660272028</v>
      </c>
      <c r="O382" s="19">
        <f>(G382-Settings!$D$19)/Settings!$E$19</f>
        <v>-0.93211105551089879</v>
      </c>
      <c r="P382" s="19">
        <f>(H382-Settings!$D$20)/Settings!$E$20</f>
        <v>-0.78664505676309371</v>
      </c>
      <c r="Q382" s="19">
        <f>(I382-Settings!$D$21)/Settings!$E$21</f>
        <v>-0.13280044916238704</v>
      </c>
      <c r="R382" s="19">
        <f>(J382-Settings!$D$22)/Settings!$E$22</f>
        <v>-1.8770364745164492</v>
      </c>
      <c r="S382" s="19">
        <f>(K382-Settings!$D$23)/Settings!$E$23</f>
        <v>-9.25152047181272E-3</v>
      </c>
      <c r="T382" s="19">
        <f>(L382-Settings!$D$24)/Settings!$E$24</f>
        <v>-1.5175753285328855</v>
      </c>
      <c r="U382" s="19">
        <f>(M382-Settings!$D$25)/Settings!$E$25</f>
        <v>0.53957795576555523</v>
      </c>
      <c r="V382" s="31">
        <f>Settings!$B$18*(N382-F$6)^2</f>
        <v>0.58479188019408157</v>
      </c>
      <c r="W382" s="31">
        <f>Settings!$B$19*(O382-G$6)^2</f>
        <v>0.41250812782727286</v>
      </c>
      <c r="X382" s="31">
        <f>Settings!$B$20*(P382-H$6)^2</f>
        <v>1.8582791474369527</v>
      </c>
      <c r="Y382" s="31">
        <f>Settings!$B$21*(Q382-I$6)^2</f>
        <v>0.10568630847901822</v>
      </c>
      <c r="Z382" s="31">
        <f>Settings!$B$22*(R382-J$6)^2</f>
        <v>0.8241013898605376</v>
      </c>
      <c r="AA382" s="31">
        <f>Settings!$B$23*(S382-K$6)^2</f>
        <v>3.0174919182734814</v>
      </c>
      <c r="AB382" s="31">
        <f>Settings!$B$24*(T382-L$6)^2</f>
        <v>9.2646646832067976</v>
      </c>
      <c r="AC382" s="31">
        <f>Settings!$B$25*(U382-M$6)^2</f>
        <v>0.5205807949591893</v>
      </c>
      <c r="AD382" s="19">
        <f t="shared" si="20"/>
        <v>4.0728496473890772</v>
      </c>
      <c r="AE382" s="15">
        <f t="shared" si="21"/>
        <v>1.6121077295391628</v>
      </c>
      <c r="AF382" s="33">
        <f t="shared" si="22"/>
        <v>0.27268290860243244</v>
      </c>
      <c r="AG382" s="47">
        <f t="shared" si="23"/>
        <v>1.1772811558624719E-3</v>
      </c>
      <c r="AH382" s="18">
        <v>1.2314750145066979</v>
      </c>
      <c r="AI382" s="46">
        <v>1</v>
      </c>
      <c r="AJ382" s="18">
        <v>-9.1700110344366759E-2</v>
      </c>
      <c r="AK382" s="46">
        <v>1</v>
      </c>
      <c r="AL382" s="18">
        <v>-1.3336715430052319</v>
      </c>
      <c r="AM382" s="46">
        <v>1</v>
      </c>
      <c r="AN382" s="18">
        <v>-0.1463179125615468</v>
      </c>
      <c r="AO382" s="46">
        <v>1</v>
      </c>
      <c r="AP382" s="48"/>
      <c r="AQ382" s="48"/>
    </row>
    <row r="383" spans="1:43" ht="20" customHeight="1" x14ac:dyDescent="0.45">
      <c r="A383" s="26">
        <v>373</v>
      </c>
      <c r="B383" s="16" t="s">
        <v>599</v>
      </c>
      <c r="C383" s="16" t="s">
        <v>214</v>
      </c>
      <c r="D383" s="46">
        <v>26</v>
      </c>
      <c r="E383" s="46">
        <v>1</v>
      </c>
      <c r="F383" s="13">
        <v>0.50699084474136691</v>
      </c>
      <c r="G383" s="13">
        <v>3.4825311314964913E-2</v>
      </c>
      <c r="H383" s="13">
        <v>1.964831774152985E-4</v>
      </c>
      <c r="I383" s="13">
        <v>7.576737983693374E-2</v>
      </c>
      <c r="J383" s="13">
        <v>-0.38221998092931903</v>
      </c>
      <c r="K383" s="13">
        <v>12.836904761904741</v>
      </c>
      <c r="L383" s="13">
        <v>0.39096841828500251</v>
      </c>
      <c r="M383" s="13">
        <v>1.8927748371461719</v>
      </c>
      <c r="N383" s="19">
        <f>(F383-Settings!$D$18)/Settings!$E$18</f>
        <v>1.126178560488537</v>
      </c>
      <c r="O383" s="19">
        <f>(G383-Settings!$D$19)/Settings!$E$19</f>
        <v>0.1727576724449032</v>
      </c>
      <c r="P383" s="19">
        <f>(H383-Settings!$D$20)/Settings!$E$20</f>
        <v>-0.47956243540420868</v>
      </c>
      <c r="Q383" s="19">
        <f>(I383-Settings!$D$21)/Settings!$E$21</f>
        <v>0.96794389615580712</v>
      </c>
      <c r="R383" s="19">
        <f>(J383-Settings!$D$22)/Settings!$E$22</f>
        <v>-1.6952631607228239</v>
      </c>
      <c r="S383" s="19">
        <f>(K383-Settings!$D$23)/Settings!$E$23</f>
        <v>-0.83982234253029919</v>
      </c>
      <c r="T383" s="19">
        <f>(L383-Settings!$D$24)/Settings!$E$24</f>
        <v>-0.6341793189430569</v>
      </c>
      <c r="U383" s="19">
        <f>(M383-Settings!$D$25)/Settings!$E$25</f>
        <v>1.3124786889711511</v>
      </c>
      <c r="V383" s="31">
        <f>Settings!$B$18*(N383-F$6)^2</f>
        <v>0.23303759774875632</v>
      </c>
      <c r="W383" s="31">
        <f>Settings!$B$19*(O383-G$6)^2</f>
        <v>2.195009367046441E-2</v>
      </c>
      <c r="X383" s="31">
        <f>Settings!$B$20*(P383-H$6)^2</f>
        <v>1.502721965128325</v>
      </c>
      <c r="Y383" s="31">
        <f>Settings!$B$21*(Q383-I$6)^2</f>
        <v>0.66808087354541923</v>
      </c>
      <c r="Z383" s="31">
        <f>Settings!$B$22*(R383-J$6)^2</f>
        <v>0.68311680577683376</v>
      </c>
      <c r="AA383" s="31">
        <f>Settings!$B$23*(S383-K$6)^2</f>
        <v>6.5928972483131245</v>
      </c>
      <c r="AB383" s="31">
        <f>Settings!$B$24*(T383-L$6)^2</f>
        <v>4.6673072467366072</v>
      </c>
      <c r="AC383" s="31">
        <f>Settings!$B$25*(U383-M$6)^2</f>
        <v>2.2332719623173491</v>
      </c>
      <c r="AD383" s="19">
        <f t="shared" si="20"/>
        <v>4.0746022865105349</v>
      </c>
      <c r="AE383" s="15">
        <f t="shared" si="21"/>
        <v>1.6128014558780681</v>
      </c>
      <c r="AF383" s="33">
        <f t="shared" si="22"/>
        <v>0.27237805543167742</v>
      </c>
      <c r="AG383" s="47">
        <f t="shared" si="23"/>
        <v>1.1759649828207721E-3</v>
      </c>
      <c r="AH383" s="48"/>
      <c r="AI383" s="48"/>
      <c r="AJ383" s="48"/>
      <c r="AK383" s="48"/>
      <c r="AL383" s="48"/>
      <c r="AM383" s="48"/>
      <c r="AN383" s="48"/>
      <c r="AO383" s="48"/>
      <c r="AP383" s="48"/>
      <c r="AQ383" s="48"/>
    </row>
    <row r="384" spans="1:43" ht="20" customHeight="1" x14ac:dyDescent="0.45">
      <c r="A384" s="26">
        <v>374</v>
      </c>
      <c r="B384" s="16" t="s">
        <v>600</v>
      </c>
      <c r="C384" s="16" t="s">
        <v>271</v>
      </c>
      <c r="D384" s="46">
        <v>26</v>
      </c>
      <c r="E384" s="46">
        <v>1</v>
      </c>
      <c r="F384" s="13">
        <v>5.4435116540624787E-2</v>
      </c>
      <c r="G384" s="13">
        <v>-2.6244601704048541E-2</v>
      </c>
      <c r="H384" s="13">
        <v>5.4600286912067633E-3</v>
      </c>
      <c r="I384" s="13">
        <v>0.37530367762417022</v>
      </c>
      <c r="J384" s="13">
        <v>0.53855657543994984</v>
      </c>
      <c r="K384" s="13">
        <v>14.09444444444442</v>
      </c>
      <c r="L384" s="13">
        <v>0.51089694328777147</v>
      </c>
      <c r="M384" s="13">
        <v>-0.65132964456081655</v>
      </c>
      <c r="N384" s="19">
        <f>(F384-Settings!$D$18)/Settings!$E$18</f>
        <v>-0.49349017916548016</v>
      </c>
      <c r="O384" s="19">
        <f>(G384-Settings!$D$19)/Settings!$E$19</f>
        <v>-8.166736893687962E-2</v>
      </c>
      <c r="P384" s="19">
        <f>(H384-Settings!$D$20)/Settings!$E$20</f>
        <v>-0.43187370087908711</v>
      </c>
      <c r="Q384" s="19">
        <f>(I384-Settings!$D$21)/Settings!$E$21</f>
        <v>4.6514338709739045</v>
      </c>
      <c r="R384" s="19">
        <f>(J384-Settings!$D$22)/Settings!$E$22</f>
        <v>0.78212951488750504</v>
      </c>
      <c r="S384" s="19">
        <f>(K384-Settings!$D$23)/Settings!$E$23</f>
        <v>-0.40310773574362047</v>
      </c>
      <c r="T384" s="19">
        <f>(L384-Settings!$D$24)/Settings!$E$24</f>
        <v>-0.5512661697123018</v>
      </c>
      <c r="U384" s="19">
        <f>(M384-Settings!$D$25)/Settings!$E$25</f>
        <v>-0.40329370846264301</v>
      </c>
      <c r="V384" s="31">
        <f>Settings!$B$18*(N384-F$6)^2</f>
        <v>5.8369690972578249E-2</v>
      </c>
      <c r="W384" s="31">
        <f>Settings!$B$19*(O384-G$6)^2</f>
        <v>6.8611504090335104E-2</v>
      </c>
      <c r="X384" s="31">
        <f>Settings!$B$20*(P384-H$6)^2</f>
        <v>1.4508890395742735</v>
      </c>
      <c r="Y384" s="31">
        <f>Settings!$B$21*(Q384-I$6)^2</f>
        <v>6.0745929792489646</v>
      </c>
      <c r="Z384" s="31">
        <f>Settings!$B$22*(R384-J$6)^2</f>
        <v>7.919433485384042E-2</v>
      </c>
      <c r="AA384" s="31">
        <f>Settings!$B$23*(S384-K$6)^2</f>
        <v>4.5409443466088053</v>
      </c>
      <c r="AB384" s="31">
        <f>Settings!$B$24*(T384-L$6)^2</f>
        <v>4.3159315044786011</v>
      </c>
      <c r="AC384" s="31">
        <f>Settings!$B$25*(U384-M$6)^2</f>
        <v>4.8999723948038448E-2</v>
      </c>
      <c r="AD384" s="19">
        <f t="shared" si="20"/>
        <v>4.0789132282723832</v>
      </c>
      <c r="AE384" s="15">
        <f t="shared" si="21"/>
        <v>1.614507804783023</v>
      </c>
      <c r="AF384" s="33">
        <f t="shared" si="22"/>
        <v>0.27162910552145669</v>
      </c>
      <c r="AG384" s="47">
        <f t="shared" si="23"/>
        <v>1.1727314665710489E-3</v>
      </c>
      <c r="AH384" s="18">
        <v>-0.21231863183407559</v>
      </c>
      <c r="AI384" s="46">
        <v>1</v>
      </c>
      <c r="AJ384" s="18">
        <v>-0.12581838299805731</v>
      </c>
      <c r="AK384" s="46">
        <v>1</v>
      </c>
      <c r="AL384" s="18">
        <v>0.2099245209503971</v>
      </c>
      <c r="AM384" s="46">
        <v>1</v>
      </c>
      <c r="AN384" s="18">
        <v>0.65133913296169255</v>
      </c>
      <c r="AO384" s="46">
        <v>1</v>
      </c>
      <c r="AP384" s="18">
        <v>-0.64952309089023208</v>
      </c>
      <c r="AQ384" s="46">
        <v>1</v>
      </c>
    </row>
    <row r="385" spans="1:43" ht="20" customHeight="1" x14ac:dyDescent="0.45">
      <c r="A385" s="26">
        <v>375</v>
      </c>
      <c r="B385" s="16" t="s">
        <v>601</v>
      </c>
      <c r="C385" s="16" t="s">
        <v>224</v>
      </c>
      <c r="D385" s="46">
        <v>26</v>
      </c>
      <c r="E385" s="46">
        <v>0</v>
      </c>
      <c r="F385" s="13">
        <v>0.3811522546834859</v>
      </c>
      <c r="G385" s="13">
        <v>0.1197270906636045</v>
      </c>
      <c r="H385" s="13">
        <v>3.5524087342649258E-4</v>
      </c>
      <c r="I385" s="13">
        <v>5.8814746079095842E-2</v>
      </c>
      <c r="J385" s="13">
        <v>-0.43995066770038738</v>
      </c>
      <c r="K385" s="13">
        <v>11.86126760563382</v>
      </c>
      <c r="L385" s="13">
        <v>0.2258948384146981</v>
      </c>
      <c r="M385" s="13">
        <v>-0.92573503318420847</v>
      </c>
      <c r="N385" s="19">
        <f>(F385-Settings!$D$18)/Settings!$E$18</f>
        <v>0.67581009124119007</v>
      </c>
      <c r="O385" s="19">
        <f>(G385-Settings!$D$19)/Settings!$E$19</f>
        <v>0.52646930647718582</v>
      </c>
      <c r="P385" s="19">
        <f>(H385-Settings!$D$20)/Settings!$E$20</f>
        <v>-0.47812406014953285</v>
      </c>
      <c r="Q385" s="19">
        <f>(I385-Settings!$D$21)/Settings!$E$21</f>
        <v>0.75947214513578909</v>
      </c>
      <c r="R385" s="19">
        <f>(J385-Settings!$D$22)/Settings!$E$22</f>
        <v>-1.8505902914748815</v>
      </c>
      <c r="S385" s="19">
        <f>(K385-Settings!$D$23)/Settings!$E$23</f>
        <v>-1.1786386860486553</v>
      </c>
      <c r="T385" s="19">
        <f>(L385-Settings!$D$24)/Settings!$E$24</f>
        <v>-0.74830371396522122</v>
      </c>
      <c r="U385" s="19">
        <f>(M385-Settings!$D$25)/Settings!$E$25</f>
        <v>-0.58835575874102242</v>
      </c>
      <c r="V385" s="31">
        <f>Settings!$B$18*(N385-F$6)^2</f>
        <v>7.9145880564766902E-2</v>
      </c>
      <c r="W385" s="31">
        <f>Settings!$B$19*(O385-G$6)^2</f>
        <v>1.0058107373879603E-4</v>
      </c>
      <c r="X385" s="31">
        <f>Settings!$B$20*(P385-H$6)^2</f>
        <v>1.5011452887831285</v>
      </c>
      <c r="Y385" s="31">
        <f>Settings!$B$21*(Q385-I$6)^2</f>
        <v>0.52436533167792232</v>
      </c>
      <c r="Z385" s="31">
        <f>Settings!$B$22*(R385-J$6)^2</f>
        <v>0.80276799348215588</v>
      </c>
      <c r="AA385" s="31">
        <f>Settings!$B$23*(S385-K$6)^2</f>
        <v>8.4476266644752389</v>
      </c>
      <c r="AB385" s="31">
        <f>Settings!$B$24*(T385-L$6)^2</f>
        <v>5.1734392055309266</v>
      </c>
      <c r="AC385" s="31">
        <f>Settings!$B$25*(U385-M$6)^2</f>
        <v>0.16517791784221394</v>
      </c>
      <c r="AD385" s="19">
        <f t="shared" si="20"/>
        <v>4.0858008839675604</v>
      </c>
      <c r="AE385" s="15">
        <f t="shared" si="21"/>
        <v>1.6172340637775622</v>
      </c>
      <c r="AF385" s="33">
        <f t="shared" si="22"/>
        <v>0.27043513435176814</v>
      </c>
      <c r="AG385" s="47">
        <f t="shared" si="23"/>
        <v>1.1675766155907596E-3</v>
      </c>
      <c r="AH385" s="18">
        <v>-0.22371163280646361</v>
      </c>
      <c r="AI385" s="46">
        <v>0</v>
      </c>
      <c r="AJ385" s="18">
        <v>-0.16078386329019681</v>
      </c>
      <c r="AK385" s="46">
        <v>1</v>
      </c>
      <c r="AL385" s="48"/>
      <c r="AM385" s="48"/>
      <c r="AN385" s="48"/>
      <c r="AO385" s="48"/>
      <c r="AP385" s="48"/>
      <c r="AQ385" s="48"/>
    </row>
    <row r="386" spans="1:43" ht="20" customHeight="1" x14ac:dyDescent="0.45">
      <c r="A386" s="26">
        <v>376</v>
      </c>
      <c r="B386" s="16" t="s">
        <v>602</v>
      </c>
      <c r="C386" s="16" t="s">
        <v>260</v>
      </c>
      <c r="D386" s="46">
        <v>26</v>
      </c>
      <c r="E386" s="46">
        <v>1</v>
      </c>
      <c r="F386" s="13">
        <v>-0.1117141464977473</v>
      </c>
      <c r="G386" s="13">
        <v>-0.44455804220923339</v>
      </c>
      <c r="H386" s="13">
        <v>2.9955244734169642E-4</v>
      </c>
      <c r="I386" s="13">
        <v>4.0182346558706193E-2</v>
      </c>
      <c r="J386" s="13">
        <v>0.40324591228697138</v>
      </c>
      <c r="K386" s="13">
        <v>13.38858447488585</v>
      </c>
      <c r="L386" s="13">
        <v>-0.53110238166654322</v>
      </c>
      <c r="M386" s="13">
        <v>-0.28711903967189772</v>
      </c>
      <c r="N386" s="19">
        <f>(F386-Settings!$D$18)/Settings!$E$18</f>
        <v>-1.0881280341092474</v>
      </c>
      <c r="O386" s="19">
        <f>(G386-Settings!$D$19)/Settings!$E$19</f>
        <v>-1.8244144787608607</v>
      </c>
      <c r="P386" s="19">
        <f>(H386-Settings!$D$20)/Settings!$E$20</f>
        <v>-0.47862860799864354</v>
      </c>
      <c r="Q386" s="19">
        <f>(I386-Settings!$D$21)/Settings!$E$21</f>
        <v>0.53034379792989894</v>
      </c>
      <c r="R386" s="19">
        <f>(J386-Settings!$D$22)/Settings!$E$22</f>
        <v>0.41806980516925574</v>
      </c>
      <c r="S386" s="19">
        <f>(K386-Settings!$D$23)/Settings!$E$23</f>
        <v>-0.64823666752387199</v>
      </c>
      <c r="T386" s="19">
        <f>(L386-Settings!$D$24)/Settings!$E$24</f>
        <v>-1.2716572987309271</v>
      </c>
      <c r="U386" s="19">
        <f>(M386-Settings!$D$25)/Settings!$E$25</f>
        <v>-0.15766602012895128</v>
      </c>
      <c r="V386" s="31">
        <f>Settings!$B$18*(N386-F$6)^2</f>
        <v>0.25758501046162746</v>
      </c>
      <c r="W386" s="31">
        <f>Settings!$B$19*(O386-G$6)^2</f>
        <v>1.0843435490736044</v>
      </c>
      <c r="X386" s="31">
        <f>Settings!$B$20*(P386-H$6)^2</f>
        <v>1.5016982551352505</v>
      </c>
      <c r="Y386" s="31">
        <f>Settings!$B$21*(Q386-I$6)^2</f>
        <v>0.38646293371302259</v>
      </c>
      <c r="Z386" s="31">
        <f>Settings!$B$22*(R386-J$6)^2</f>
        <v>1.4066536055462304E-2</v>
      </c>
      <c r="AA386" s="31">
        <f>Settings!$B$23*(S386-K$6)^2</f>
        <v>5.6457471251149416</v>
      </c>
      <c r="AB386" s="31">
        <f>Settings!$B$24*(T386-L$6)^2</f>
        <v>7.828094105550198</v>
      </c>
      <c r="AC386" s="31">
        <f>Settings!$B$25*(U386-M$6)^2</f>
        <v>5.8897832582993322E-4</v>
      </c>
      <c r="AD386" s="19">
        <f t="shared" si="20"/>
        <v>4.0888368142333507</v>
      </c>
      <c r="AE386" s="15">
        <f t="shared" si="21"/>
        <v>1.6184357400169391</v>
      </c>
      <c r="AF386" s="33">
        <f t="shared" si="22"/>
        <v>0.26990988842001484</v>
      </c>
      <c r="AG386" s="47">
        <f t="shared" si="23"/>
        <v>1.1653089188699939E-3</v>
      </c>
      <c r="AH386" s="18">
        <v>-0.2480883030440654</v>
      </c>
      <c r="AI386" s="46">
        <v>1</v>
      </c>
      <c r="AJ386" s="18">
        <v>-0.25267718487395502</v>
      </c>
      <c r="AK386" s="46">
        <v>1</v>
      </c>
      <c r="AL386" s="18">
        <v>0.20920901179167989</v>
      </c>
      <c r="AM386" s="46">
        <v>1</v>
      </c>
      <c r="AN386" s="18">
        <v>4.2322978377915883E-2</v>
      </c>
      <c r="AO386" s="46">
        <v>1</v>
      </c>
      <c r="AP386" s="48"/>
      <c r="AQ386" s="48"/>
    </row>
    <row r="387" spans="1:43" ht="20" customHeight="1" x14ac:dyDescent="0.45">
      <c r="A387" s="26">
        <v>377</v>
      </c>
      <c r="B387" s="16" t="s">
        <v>603</v>
      </c>
      <c r="C387" s="16" t="s">
        <v>229</v>
      </c>
      <c r="D387" s="46">
        <v>26</v>
      </c>
      <c r="E387" s="46">
        <v>1</v>
      </c>
      <c r="F387" s="13">
        <v>0.61301881847801842</v>
      </c>
      <c r="G387" s="13">
        <v>0.1192603210030778</v>
      </c>
      <c r="H387" s="13">
        <v>1.008810247861386E-2</v>
      </c>
      <c r="I387" s="13">
        <v>4.6460180427811387E-2</v>
      </c>
      <c r="J387" s="13">
        <v>0.2111725776124786</v>
      </c>
      <c r="K387" s="13">
        <v>10.57599388379206</v>
      </c>
      <c r="L387" s="13">
        <v>1.000098338756765</v>
      </c>
      <c r="M387" s="13">
        <v>0.42951900662658898</v>
      </c>
      <c r="N387" s="19">
        <f>(F387-Settings!$D$18)/Settings!$E$18</f>
        <v>1.5056460688832964</v>
      </c>
      <c r="O387" s="19">
        <f>(G387-Settings!$D$19)/Settings!$E$19</f>
        <v>0.52452468457870216</v>
      </c>
      <c r="P387" s="19">
        <f>(H387-Settings!$D$20)/Settings!$E$20</f>
        <v>-0.38994246239505803</v>
      </c>
      <c r="Q387" s="19">
        <f>(I387-Settings!$D$21)/Settings!$E$21</f>
        <v>0.60754425173549398</v>
      </c>
      <c r="R387" s="19">
        <f>(J387-Settings!$D$22)/Settings!$E$22</f>
        <v>-9.8712544697402024E-2</v>
      </c>
      <c r="S387" s="19">
        <f>(K387-Settings!$D$23)/Settings!$E$23</f>
        <v>-1.6249846867679325</v>
      </c>
      <c r="T387" s="19">
        <f>(L387-Settings!$D$24)/Settings!$E$24</f>
        <v>-0.21305448649950648</v>
      </c>
      <c r="U387" s="19">
        <f>(M387-Settings!$D$25)/Settings!$E$25</f>
        <v>0.32564265985294261</v>
      </c>
      <c r="V387" s="31">
        <f>Settings!$B$18*(N387-F$6)^2</f>
        <v>0.42568148705898318</v>
      </c>
      <c r="W387" s="31">
        <f>Settings!$B$19*(O387-G$6)^2</f>
        <v>8.3893697042013035E-5</v>
      </c>
      <c r="X387" s="31">
        <f>Settings!$B$20*(P387-H$6)^2</f>
        <v>1.4060655165885929</v>
      </c>
      <c r="Y387" s="31">
        <f>Settings!$B$21*(Q387-I$6)^2</f>
        <v>0.43058075251016659</v>
      </c>
      <c r="Z387" s="31">
        <f>Settings!$B$22*(R387-J$6)^2</f>
        <v>1.2658424546341272E-2</v>
      </c>
      <c r="AA387" s="31">
        <f>Settings!$B$23*(S387-K$6)^2</f>
        <v>11.241442968691699</v>
      </c>
      <c r="AB387" s="31">
        <f>Settings!$B$24*(T387-L$6)^2</f>
        <v>3.0250612718233474</v>
      </c>
      <c r="AC387" s="31">
        <f>Settings!$B$25*(U387-M$6)^2</f>
        <v>0.25763497499201471</v>
      </c>
      <c r="AD387" s="19">
        <f t="shared" si="20"/>
        <v>4.0986838484943169</v>
      </c>
      <c r="AE387" s="15">
        <f t="shared" si="21"/>
        <v>1.6223333747001436</v>
      </c>
      <c r="AF387" s="33">
        <f t="shared" si="22"/>
        <v>0.26821059915201551</v>
      </c>
      <c r="AG387" s="47">
        <f t="shared" si="23"/>
        <v>1.157972407594578E-3</v>
      </c>
      <c r="AH387" s="18">
        <v>0.82432067011853016</v>
      </c>
      <c r="AI387" s="46">
        <v>1</v>
      </c>
      <c r="AJ387" s="18">
        <v>-0.69658089716923532</v>
      </c>
      <c r="AK387" s="46">
        <v>1</v>
      </c>
      <c r="AL387" s="18">
        <v>-0.45834609282017558</v>
      </c>
      <c r="AM387" s="46">
        <v>1</v>
      </c>
      <c r="AN387" s="48"/>
      <c r="AO387" s="48"/>
      <c r="AP387" s="48"/>
      <c r="AQ387" s="48"/>
    </row>
    <row r="388" spans="1:43" ht="20" customHeight="1" x14ac:dyDescent="0.45">
      <c r="A388" s="26">
        <v>378</v>
      </c>
      <c r="B388" s="16" t="s">
        <v>604</v>
      </c>
      <c r="C388" s="16" t="s">
        <v>236</v>
      </c>
      <c r="D388" s="46">
        <v>26</v>
      </c>
      <c r="E388" s="46">
        <v>0</v>
      </c>
      <c r="F388" s="13">
        <v>-0.20926401125223659</v>
      </c>
      <c r="G388" s="13">
        <v>0.2300356306561126</v>
      </c>
      <c r="H388" s="13">
        <v>1.4743542049182961E-3</v>
      </c>
      <c r="I388" s="13">
        <v>0.13497544415323021</v>
      </c>
      <c r="J388" s="13">
        <v>0.42425055973350217</v>
      </c>
      <c r="K388" s="13">
        <v>12.044117647058821</v>
      </c>
      <c r="L388" s="13">
        <v>0.57109631441401432</v>
      </c>
      <c r="M388" s="13">
        <v>1.407368387533926</v>
      </c>
      <c r="N388" s="19">
        <f>(F388-Settings!$D$18)/Settings!$E$18</f>
        <v>-1.4372529189681558</v>
      </c>
      <c r="O388" s="19">
        <f>(G388-Settings!$D$19)/Settings!$E$19</f>
        <v>0.98602874360328929</v>
      </c>
      <c r="P388" s="19">
        <f>(H388-Settings!$D$20)/Settings!$E$20</f>
        <v>-0.46798467816277123</v>
      </c>
      <c r="Q388" s="19">
        <f>(I388-Settings!$D$21)/Settings!$E$21</f>
        <v>1.6960436722049064</v>
      </c>
      <c r="R388" s="19">
        <f>(J388-Settings!$D$22)/Settings!$E$22</f>
        <v>0.47458379803523365</v>
      </c>
      <c r="S388" s="19">
        <f>(K388-Settings!$D$23)/Settings!$E$23</f>
        <v>-1.1151390724375936</v>
      </c>
      <c r="T388" s="19">
        <f>(L388-Settings!$D$24)/Settings!$E$24</f>
        <v>-0.50964705164449819</v>
      </c>
      <c r="U388" s="19">
        <f>(M388-Settings!$D$25)/Settings!$E$25</f>
        <v>0.98511517313699659</v>
      </c>
      <c r="V388" s="31">
        <f>Settings!$B$18*(N388-F$6)^2</f>
        <v>0.44044689143580895</v>
      </c>
      <c r="W388" s="31">
        <f>Settings!$B$19*(O388-G$6)^2</f>
        <v>4.6461905889212153E-2</v>
      </c>
      <c r="X388" s="31">
        <f>Settings!$B$20*(P388-H$6)^2</f>
        <v>1.4900544742460702</v>
      </c>
      <c r="Y388" s="31">
        <f>Settings!$B$21*(Q388-I$6)^2</f>
        <v>1.3063993078155078</v>
      </c>
      <c r="Z388" s="31">
        <f>Settings!$B$22*(R388-J$6)^2</f>
        <v>2.0700376604670553E-2</v>
      </c>
      <c r="AA388" s="31">
        <f>Settings!$B$23*(S388-K$6)^2</f>
        <v>8.0825381367405082</v>
      </c>
      <c r="AB388" s="31">
        <f>Settings!$B$24*(T388-L$6)^2</f>
        <v>4.1447377172993018</v>
      </c>
      <c r="AC388" s="31">
        <f>Settings!$B$25*(U388-M$6)^2</f>
        <v>1.3620058633814733</v>
      </c>
      <c r="AD388" s="19">
        <f t="shared" si="20"/>
        <v>4.1101514173339835</v>
      </c>
      <c r="AE388" s="15">
        <f t="shared" si="21"/>
        <v>1.6268724463492283</v>
      </c>
      <c r="AF388" s="33">
        <f t="shared" si="22"/>
        <v>0.26624003807342278</v>
      </c>
      <c r="AG388" s="47">
        <f t="shared" si="23"/>
        <v>1.1494647074376692E-3</v>
      </c>
      <c r="AH388" s="18">
        <v>-0.22828629819096599</v>
      </c>
      <c r="AI388" s="46">
        <v>1</v>
      </c>
      <c r="AJ388" s="18">
        <v>-0.91397470105946677</v>
      </c>
      <c r="AK388" s="46">
        <v>1</v>
      </c>
      <c r="AL388" s="18">
        <v>0.53616866954843234</v>
      </c>
      <c r="AM388" s="46">
        <v>1</v>
      </c>
      <c r="AN388" s="18">
        <v>0.48819262011711378</v>
      </c>
      <c r="AO388" s="46">
        <v>1</v>
      </c>
      <c r="AP388" s="18">
        <v>-0.37346700189401261</v>
      </c>
      <c r="AQ388" s="46">
        <v>1</v>
      </c>
    </row>
    <row r="389" spans="1:43" ht="20" customHeight="1" x14ac:dyDescent="0.45">
      <c r="A389" s="26">
        <v>379</v>
      </c>
      <c r="B389" s="16" t="s">
        <v>605</v>
      </c>
      <c r="C389" s="16" t="s">
        <v>214</v>
      </c>
      <c r="D389" s="46">
        <v>26</v>
      </c>
      <c r="E389" s="46">
        <v>1</v>
      </c>
      <c r="F389" s="13">
        <v>-0.1203832334830174</v>
      </c>
      <c r="G389" s="13">
        <v>0.25307339700078813</v>
      </c>
      <c r="H389" s="13">
        <v>-3.2168420849318412E-4</v>
      </c>
      <c r="I389" s="13">
        <v>-0.22001230729097981</v>
      </c>
      <c r="J389" s="13">
        <v>0.40620937801672152</v>
      </c>
      <c r="K389" s="13">
        <v>12.544032921810681</v>
      </c>
      <c r="L389" s="13">
        <v>0.80737011904275746</v>
      </c>
      <c r="M389" s="13">
        <v>2.638938464274645</v>
      </c>
      <c r="N389" s="19">
        <f>(F389-Settings!$D$18)/Settings!$E$18</f>
        <v>-1.1191541560129683</v>
      </c>
      <c r="O389" s="19">
        <f>(G389-Settings!$D$19)/Settings!$E$19</f>
        <v>1.0820070145034464</v>
      </c>
      <c r="P389" s="19">
        <f>(H389-Settings!$D$20)/Settings!$E$20</f>
        <v>-0.48425713156317973</v>
      </c>
      <c r="Q389" s="19">
        <f>(I389-Settings!$D$21)/Settings!$E$21</f>
        <v>-2.6693498820572978</v>
      </c>
      <c r="R389" s="19">
        <f>(J389-Settings!$D$22)/Settings!$E$22</f>
        <v>0.42604314923684833</v>
      </c>
      <c r="S389" s="19">
        <f>(K389-Settings!$D$23)/Settings!$E$23</f>
        <v>-0.94152999618243971</v>
      </c>
      <c r="T389" s="19">
        <f>(L389-Settings!$D$24)/Settings!$E$24</f>
        <v>-0.34629804670969266</v>
      </c>
      <c r="U389" s="19">
        <f>(M389-Settings!$D$25)/Settings!$E$25</f>
        <v>1.8156997495060248</v>
      </c>
      <c r="V389" s="31">
        <f>Settings!$B$18*(N389-F$6)^2</f>
        <v>0.2718617538970905</v>
      </c>
      <c r="W389" s="31">
        <f>Settings!$B$19*(O389-G$6)^2</f>
        <v>6.6808305916849109E-2</v>
      </c>
      <c r="X389" s="31">
        <f>Settings!$B$20*(P389-H$6)^2</f>
        <v>1.5078738191793299</v>
      </c>
      <c r="Y389" s="31">
        <f>Settings!$B$21*(Q389-I$6)^2</f>
        <v>0.65494234879400814</v>
      </c>
      <c r="Z389" s="31">
        <f>Settings!$B$22*(R389-J$6)^2</f>
        <v>1.4925073100337744E-2</v>
      </c>
      <c r="AA389" s="31">
        <f>Settings!$B$23*(S389-K$6)^2</f>
        <v>7.1255438104499893</v>
      </c>
      <c r="AB389" s="31">
        <f>Settings!$B$24*(T389-L$6)^2</f>
        <v>3.5063082593460289</v>
      </c>
      <c r="AC389" s="31">
        <f>Settings!$B$25*(U389-M$6)^2</f>
        <v>3.9905441760852041</v>
      </c>
      <c r="AD389" s="19">
        <f t="shared" si="20"/>
        <v>4.1399042919817406</v>
      </c>
      <c r="AE389" s="15">
        <f t="shared" si="21"/>
        <v>1.6386491735422901</v>
      </c>
      <c r="AF389" s="33">
        <f t="shared" si="22"/>
        <v>0.26116952616448919</v>
      </c>
      <c r="AG389" s="47">
        <f t="shared" si="23"/>
        <v>1.1275732799493881E-3</v>
      </c>
      <c r="AH389" s="48"/>
      <c r="AI389" s="48"/>
      <c r="AJ389" s="48"/>
      <c r="AK389" s="48"/>
      <c r="AL389" s="48"/>
      <c r="AM389" s="48"/>
      <c r="AN389" s="48"/>
      <c r="AO389" s="48"/>
      <c r="AP389" s="48"/>
      <c r="AQ389" s="48"/>
    </row>
    <row r="390" spans="1:43" ht="20" customHeight="1" x14ac:dyDescent="0.45">
      <c r="A390" s="26">
        <v>380</v>
      </c>
      <c r="B390" s="16" t="s">
        <v>606</v>
      </c>
      <c r="C390" s="16" t="s">
        <v>216</v>
      </c>
      <c r="D390" s="46">
        <v>26</v>
      </c>
      <c r="E390" s="46">
        <v>1</v>
      </c>
      <c r="F390" s="13">
        <v>-0.13568930530141871</v>
      </c>
      <c r="G390" s="13">
        <v>-0.36599282769780922</v>
      </c>
      <c r="H390" s="13">
        <v>-4.81940212922468E-2</v>
      </c>
      <c r="I390" s="13">
        <v>-4.6417744784415134E-3</v>
      </c>
      <c r="J390" s="13">
        <v>-0.44548207123008388</v>
      </c>
      <c r="K390" s="13">
        <v>14.89718309859153</v>
      </c>
      <c r="L390" s="13">
        <v>-1.0055789035541549</v>
      </c>
      <c r="M390" s="13">
        <v>-0.60035717634735664</v>
      </c>
      <c r="N390" s="19">
        <f>(F390-Settings!$D$18)/Settings!$E$18</f>
        <v>-1.1739336328957963</v>
      </c>
      <c r="O390" s="19">
        <f>(G390-Settings!$D$19)/Settings!$E$19</f>
        <v>-1.4971017814754659</v>
      </c>
      <c r="P390" s="19">
        <f>(H390-Settings!$D$20)/Settings!$E$20</f>
        <v>-0.91798971130481077</v>
      </c>
      <c r="Q390" s="19">
        <f>(I390-Settings!$D$21)/Settings!$E$21</f>
        <v>-2.0872203903859445E-2</v>
      </c>
      <c r="R390" s="19">
        <f>(J390-Settings!$D$22)/Settings!$E$22</f>
        <v>-1.8654727930932433</v>
      </c>
      <c r="S390" s="19">
        <f>(K390-Settings!$D$23)/Settings!$E$23</f>
        <v>-0.12433506513466647</v>
      </c>
      <c r="T390" s="19">
        <f>(L390-Settings!$D$24)/Settings!$E$24</f>
        <v>-1.5996888714101447</v>
      </c>
      <c r="U390" s="19">
        <f>(M390-Settings!$D$25)/Settings!$E$25</f>
        <v>-0.36891730819348195</v>
      </c>
      <c r="V390" s="31">
        <f>Settings!$B$18*(N390-F$6)^2</f>
        <v>0.29800873701542746</v>
      </c>
      <c r="W390" s="31">
        <f>Settings!$B$19*(O390-G$6)^2</f>
        <v>0.80091669145912547</v>
      </c>
      <c r="X390" s="31">
        <f>Settings!$B$20*(P390-H$6)^2</f>
        <v>2.0218742426779861</v>
      </c>
      <c r="Y390" s="31">
        <f>Settings!$B$21*(Q390-I$6)^2</f>
        <v>0.14073762758269909</v>
      </c>
      <c r="Z390" s="31">
        <f>Settings!$B$22*(R390-J$6)^2</f>
        <v>0.81473887209557272</v>
      </c>
      <c r="AA390" s="31">
        <f>Settings!$B$23*(S390-K$6)^2</f>
        <v>3.4305577688037188</v>
      </c>
      <c r="AB390" s="31">
        <f>Settings!$B$24*(T390-L$6)^2</f>
        <v>9.7712802705343584</v>
      </c>
      <c r="AC390" s="31">
        <f>Settings!$B$25*(U390-M$6)^2</f>
        <v>3.4962422548391527E-2</v>
      </c>
      <c r="AD390" s="19">
        <f t="shared" si="20"/>
        <v>4.1608985367006106</v>
      </c>
      <c r="AE390" s="15">
        <f t="shared" si="21"/>
        <v>1.6469590762191109</v>
      </c>
      <c r="AF390" s="33">
        <f t="shared" si="22"/>
        <v>0.25762838531811683</v>
      </c>
      <c r="AG390" s="47">
        <f t="shared" si="23"/>
        <v>1.1122847588973873E-3</v>
      </c>
      <c r="AH390" s="18">
        <v>1.0896117862846091</v>
      </c>
      <c r="AI390" s="46">
        <v>1</v>
      </c>
      <c r="AJ390" s="18">
        <v>0.63403917219198191</v>
      </c>
      <c r="AK390" s="46">
        <v>1</v>
      </c>
      <c r="AL390" s="48"/>
      <c r="AM390" s="48"/>
      <c r="AN390" s="48"/>
      <c r="AO390" s="48"/>
      <c r="AP390" s="48"/>
      <c r="AQ390" s="48"/>
    </row>
    <row r="391" spans="1:43" ht="20" customHeight="1" x14ac:dyDescent="0.45">
      <c r="A391" s="26">
        <v>381</v>
      </c>
      <c r="B391" s="16" t="s">
        <v>607</v>
      </c>
      <c r="C391" s="16" t="s">
        <v>229</v>
      </c>
      <c r="D391" s="46">
        <v>26</v>
      </c>
      <c r="E391" s="46">
        <v>1</v>
      </c>
      <c r="F391" s="13">
        <v>0.60039740733007108</v>
      </c>
      <c r="G391" s="13">
        <v>4.693640503090632E-2</v>
      </c>
      <c r="H391" s="13">
        <v>8.9381475647142376E-3</v>
      </c>
      <c r="I391" s="13">
        <v>0.1697890889514361</v>
      </c>
      <c r="J391" s="13">
        <v>-0.1739389511228723</v>
      </c>
      <c r="K391" s="13">
        <v>11.267346938775511</v>
      </c>
      <c r="L391" s="13">
        <v>0.73111019535099153</v>
      </c>
      <c r="M391" s="13">
        <v>-0.11021756489468849</v>
      </c>
      <c r="N391" s="19">
        <f>(F391-Settings!$D$18)/Settings!$E$18</f>
        <v>1.4604748251827124</v>
      </c>
      <c r="O391" s="19">
        <f>(G391-Settings!$D$19)/Settings!$E$19</f>
        <v>0.22321403250059368</v>
      </c>
      <c r="P391" s="19">
        <f>(H391-Settings!$D$20)/Settings!$E$20</f>
        <v>-0.40036127504921432</v>
      </c>
      <c r="Q391" s="19">
        <f>(I391-Settings!$D$21)/Settings!$E$21</f>
        <v>2.1241577690552207</v>
      </c>
      <c r="R391" s="19">
        <f>(J391-Settings!$D$22)/Settings!$E$22</f>
        <v>-1.1348732440358777</v>
      </c>
      <c r="S391" s="19">
        <f>(K391-Settings!$D$23)/Settings!$E$23</f>
        <v>-1.384893672742743</v>
      </c>
      <c r="T391" s="19">
        <f>(L391-Settings!$D$24)/Settings!$E$24</f>
        <v>-0.39902070325229083</v>
      </c>
      <c r="U391" s="19">
        <f>(M391-Settings!$D$25)/Settings!$E$25</f>
        <v>-3.836169529854374E-2</v>
      </c>
      <c r="V391" s="31">
        <f>Settings!$B$18*(N391-F$6)^2</f>
        <v>0.39972933147653372</v>
      </c>
      <c r="W391" s="31">
        <f>Settings!$B$19*(O391-G$6)^2</f>
        <v>1.5773066583679673E-2</v>
      </c>
      <c r="X391" s="31">
        <f>Settings!$B$20*(P391-H$6)^2</f>
        <v>1.4171373216471541</v>
      </c>
      <c r="Y391" s="31">
        <f>Settings!$B$21*(Q391-I$6)^2</f>
        <v>1.7807213242321791</v>
      </c>
      <c r="Z391" s="31">
        <f>Settings!$B$22*(R391-J$6)^2</f>
        <v>0.33165483921340583</v>
      </c>
      <c r="AA391" s="31">
        <f>Settings!$B$23*(S391-K$6)^2</f>
        <v>9.6891198192996484</v>
      </c>
      <c r="AB391" s="31">
        <f>Settings!$B$24*(T391-L$6)^2</f>
        <v>3.7065357509958647</v>
      </c>
      <c r="AC391" s="31">
        <f>Settings!$B$25*(U391-M$6)^2</f>
        <v>2.0613263899232646E-2</v>
      </c>
      <c r="AD391" s="19">
        <f t="shared" si="20"/>
        <v>4.1666874993629772</v>
      </c>
      <c r="AE391" s="15">
        <f t="shared" si="21"/>
        <v>1.649250452592407</v>
      </c>
      <c r="AF391" s="33">
        <f t="shared" si="22"/>
        <v>0.2566573049500942</v>
      </c>
      <c r="AG391" s="47">
        <f t="shared" si="23"/>
        <v>1.1080922166366333E-3</v>
      </c>
      <c r="AH391" s="18">
        <v>-0.69989261586066975</v>
      </c>
      <c r="AI391" s="46">
        <v>1</v>
      </c>
      <c r="AJ391" s="18">
        <v>0.25417781751758661</v>
      </c>
      <c r="AK391" s="46">
        <v>1</v>
      </c>
      <c r="AL391" s="18">
        <v>0.30149701209282181</v>
      </c>
      <c r="AM391" s="46">
        <v>1</v>
      </c>
      <c r="AN391" s="48"/>
      <c r="AO391" s="48"/>
      <c r="AP391" s="48"/>
      <c r="AQ391" s="48"/>
    </row>
    <row r="392" spans="1:43" ht="20" customHeight="1" x14ac:dyDescent="0.45">
      <c r="A392" s="26">
        <v>382</v>
      </c>
      <c r="B392" s="16" t="s">
        <v>608</v>
      </c>
      <c r="C392" s="16" t="s">
        <v>260</v>
      </c>
      <c r="D392" s="46">
        <v>26</v>
      </c>
      <c r="E392" s="46">
        <v>1</v>
      </c>
      <c r="F392" s="13">
        <v>3.7056346562028691E-2</v>
      </c>
      <c r="G392" s="13">
        <v>-4.1302650391561738E-2</v>
      </c>
      <c r="H392" s="13">
        <v>-3.6854777254010323E-4</v>
      </c>
      <c r="I392" s="13">
        <v>-0.21585464040038199</v>
      </c>
      <c r="J392" s="13">
        <v>-0.70541781487348743</v>
      </c>
      <c r="K392" s="13">
        <v>13.83664021164021</v>
      </c>
      <c r="L392" s="13">
        <v>-0.68101665530347144</v>
      </c>
      <c r="M392" s="13">
        <v>-1.186903761474249</v>
      </c>
      <c r="N392" s="19">
        <f>(F392-Settings!$D$18)/Settings!$E$18</f>
        <v>-0.55568771355506608</v>
      </c>
      <c r="O392" s="19">
        <f>(G392-Settings!$D$19)/Settings!$E$19</f>
        <v>-0.14440111901208702</v>
      </c>
      <c r="P392" s="19">
        <f>(H392-Settings!$D$20)/Settings!$E$20</f>
        <v>-0.48468172446522245</v>
      </c>
      <c r="Q392" s="19">
        <f>(I392-Settings!$D$21)/Settings!$E$21</f>
        <v>-2.6182217736334286</v>
      </c>
      <c r="R392" s="19">
        <f>(J392-Settings!$D$22)/Settings!$E$22</f>
        <v>-2.5648421492926605</v>
      </c>
      <c r="S392" s="19">
        <f>(K392-Settings!$D$23)/Settings!$E$23</f>
        <v>-0.49263721598209353</v>
      </c>
      <c r="T392" s="19">
        <f>(L392-Settings!$D$24)/Settings!$E$24</f>
        <v>-1.3753012361644266</v>
      </c>
      <c r="U392" s="19">
        <f>(M392-Settings!$D$25)/Settings!$E$25</f>
        <v>-0.76449085786724924</v>
      </c>
      <c r="V392" s="31">
        <f>Settings!$B$18*(N392-F$6)^2</f>
        <v>7.2583787275919562E-2</v>
      </c>
      <c r="W392" s="31">
        <f>Settings!$B$19*(O392-G$6)^2</f>
        <v>8.4096150870772449E-2</v>
      </c>
      <c r="X392" s="31">
        <f>Settings!$B$20*(P392-H$6)^2</f>
        <v>1.508340192610016</v>
      </c>
      <c r="Y392" s="31">
        <f>Settings!$B$21*(Q392-I$6)^2</f>
        <v>0.61845625879328181</v>
      </c>
      <c r="Z392" s="31">
        <f>Settings!$B$22*(R392-J$6)^2</f>
        <v>1.4771882916654864</v>
      </c>
      <c r="AA392" s="31">
        <f>Settings!$B$23*(S392-K$6)^2</f>
        <v>4.930525416872106</v>
      </c>
      <c r="AB392" s="31">
        <f>Settings!$B$24*(T392-L$6)^2</f>
        <v>8.4188013485815087</v>
      </c>
      <c r="AC392" s="31">
        <f>Settings!$B$25*(U392-M$6)^2</f>
        <v>0.33937144895226573</v>
      </c>
      <c r="AD392" s="19">
        <f t="shared" si="20"/>
        <v>4.1772434565896877</v>
      </c>
      <c r="AE392" s="15">
        <f t="shared" si="21"/>
        <v>1.6534286918379373</v>
      </c>
      <c r="AF392" s="33">
        <f t="shared" si="22"/>
        <v>0.25489254380066495</v>
      </c>
      <c r="AG392" s="47">
        <f t="shared" si="23"/>
        <v>1.1004730370684323E-3</v>
      </c>
      <c r="AH392" s="18">
        <v>0.55817854546585344</v>
      </c>
      <c r="AI392" s="46">
        <v>1</v>
      </c>
      <c r="AJ392" s="18">
        <v>0.36812839961005561</v>
      </c>
      <c r="AK392" s="46">
        <v>1</v>
      </c>
      <c r="AL392" s="18">
        <v>-0.45603728293979873</v>
      </c>
      <c r="AM392" s="46">
        <v>1</v>
      </c>
      <c r="AN392" s="18">
        <v>0.12774935142793559</v>
      </c>
      <c r="AO392" s="46">
        <v>1</v>
      </c>
      <c r="AP392" s="18">
        <v>-0.39248715070068141</v>
      </c>
      <c r="AQ392" s="46">
        <v>1</v>
      </c>
    </row>
    <row r="393" spans="1:43" ht="20" customHeight="1" x14ac:dyDescent="0.45">
      <c r="A393" s="26">
        <v>383</v>
      </c>
      <c r="B393" s="16" t="s">
        <v>609</v>
      </c>
      <c r="C393" s="16" t="s">
        <v>210</v>
      </c>
      <c r="D393" s="46">
        <v>26</v>
      </c>
      <c r="E393" s="46">
        <v>0</v>
      </c>
      <c r="F393" s="13">
        <v>-1.0457927543504971E-2</v>
      </c>
      <c r="G393" s="13">
        <v>0.23089290910243321</v>
      </c>
      <c r="H393" s="13">
        <v>-4.7857725134223201E-3</v>
      </c>
      <c r="I393" s="13">
        <v>-0.12673718960472569</v>
      </c>
      <c r="J393" s="13">
        <v>-0.62712620123591378</v>
      </c>
      <c r="K393" s="13">
        <v>14.133668903803111</v>
      </c>
      <c r="L393" s="13">
        <v>-0.67985300532623583</v>
      </c>
      <c r="M393" s="13">
        <v>1.5441205988093469</v>
      </c>
      <c r="N393" s="19">
        <f>(F393-Settings!$D$18)/Settings!$E$18</f>
        <v>-0.72573833861742065</v>
      </c>
      <c r="O393" s="19">
        <f>(G393-Settings!$D$19)/Settings!$E$19</f>
        <v>0.98960027487619162</v>
      </c>
      <c r="P393" s="19">
        <f>(H393-Settings!$D$20)/Settings!$E$20</f>
        <v>-0.52470263004185025</v>
      </c>
      <c r="Q393" s="19">
        <f>(I393-Settings!$D$21)/Settings!$E$21</f>
        <v>-1.5223170735616074</v>
      </c>
      <c r="R393" s="19">
        <f>(J393-Settings!$D$22)/Settings!$E$22</f>
        <v>-2.3541948767858081</v>
      </c>
      <c r="S393" s="19">
        <f>(K393-Settings!$D$23)/Settings!$E$23</f>
        <v>-0.38948598321915484</v>
      </c>
      <c r="T393" s="19">
        <f>(L393-Settings!$D$24)/Settings!$E$24</f>
        <v>-1.3744967412853921</v>
      </c>
      <c r="U393" s="19">
        <f>(M393-Settings!$D$25)/Settings!$E$25</f>
        <v>1.0773423874992665</v>
      </c>
      <c r="V393" s="31">
        <f>Settings!$B$18*(N393-F$6)^2</f>
        <v>0.11934450192740156</v>
      </c>
      <c r="W393" s="31">
        <f>Settings!$B$19*(O393-G$6)^2</f>
        <v>4.7153026840592256E-2</v>
      </c>
      <c r="X393" s="31">
        <f>Settings!$B$20*(P393-H$6)^2</f>
        <v>1.5526229437271812</v>
      </c>
      <c r="Y393" s="31">
        <f>Settings!$B$21*(Q393-I$6)^2</f>
        <v>8.7803419902529656E-2</v>
      </c>
      <c r="Z393" s="31">
        <f>Settings!$B$22*(R393-J$6)^2</f>
        <v>1.2570715626533229</v>
      </c>
      <c r="AA393" s="31">
        <f>Settings!$B$23*(S393-K$6)^2</f>
        <v>4.4830753743970844</v>
      </c>
      <c r="AB393" s="31">
        <f>Settings!$B$24*(T393-L$6)^2</f>
        <v>8.4141334845336377</v>
      </c>
      <c r="AC393" s="31">
        <f>Settings!$B$25*(U393-M$6)^2</f>
        <v>1.5857792762072793</v>
      </c>
      <c r="AD393" s="19">
        <f t="shared" si="20"/>
        <v>4.1889119816712581</v>
      </c>
      <c r="AE393" s="15">
        <f t="shared" si="21"/>
        <v>1.6580473056108223</v>
      </c>
      <c r="AF393" s="33">
        <f t="shared" si="22"/>
        <v>0.25295075996982269</v>
      </c>
      <c r="AG393" s="47">
        <f t="shared" si="23"/>
        <v>1.0920895797974011E-3</v>
      </c>
      <c r="AH393" s="18">
        <v>1.21090211324829</v>
      </c>
      <c r="AI393" s="46">
        <v>0</v>
      </c>
      <c r="AJ393" s="18">
        <v>0.25965775663017843</v>
      </c>
      <c r="AK393" s="46">
        <v>0</v>
      </c>
      <c r="AL393" s="18">
        <v>-0.3393160690821132</v>
      </c>
      <c r="AM393" s="46">
        <v>0</v>
      </c>
      <c r="AN393" s="18">
        <v>-0.63677764870258058</v>
      </c>
      <c r="AO393" s="46">
        <v>0</v>
      </c>
      <c r="AP393" s="18">
        <v>-0.58167074404839481</v>
      </c>
      <c r="AQ393" s="46">
        <v>0</v>
      </c>
    </row>
    <row r="394" spans="1:43" ht="20" customHeight="1" x14ac:dyDescent="0.45">
      <c r="A394" s="26">
        <v>384</v>
      </c>
      <c r="B394" s="16" t="s">
        <v>610</v>
      </c>
      <c r="C394" s="16" t="s">
        <v>210</v>
      </c>
      <c r="D394" s="46">
        <v>26</v>
      </c>
      <c r="E394" s="46">
        <v>0</v>
      </c>
      <c r="F394" s="13">
        <v>4.0667456837755592E-2</v>
      </c>
      <c r="G394" s="13">
        <v>-5.7118307591508433E-2</v>
      </c>
      <c r="H394" s="13">
        <v>1.9208372320067121E-4</v>
      </c>
      <c r="I394" s="13">
        <v>0.1199484692560209</v>
      </c>
      <c r="J394" s="13">
        <v>0.78207368259151444</v>
      </c>
      <c r="K394" s="13">
        <v>12.12211328976035</v>
      </c>
      <c r="L394" s="13">
        <v>0.73778406376746419</v>
      </c>
      <c r="M394" s="13">
        <v>2.1604871424374519</v>
      </c>
      <c r="N394" s="19">
        <f>(F394-Settings!$D$18)/Settings!$E$18</f>
        <v>-0.54276377498888839</v>
      </c>
      <c r="O394" s="19">
        <f>(G394-Settings!$D$19)/Settings!$E$19</f>
        <v>-0.21029116271206302</v>
      </c>
      <c r="P394" s="19">
        <f>(H394-Settings!$D$20)/Settings!$E$20</f>
        <v>-0.47960229530540027</v>
      </c>
      <c r="Q394" s="19">
        <f>(I394-Settings!$D$21)/Settings!$E$21</f>
        <v>1.511252340421035</v>
      </c>
      <c r="R394" s="19">
        <f>(J394-Settings!$D$22)/Settings!$E$22</f>
        <v>1.4373237566066208</v>
      </c>
      <c r="S394" s="19">
        <f>(K394-Settings!$D$23)/Settings!$E$23</f>
        <v>-1.0880529797230618</v>
      </c>
      <c r="T394" s="19">
        <f>(L394-Settings!$D$24)/Settings!$E$24</f>
        <v>-0.39440669296617542</v>
      </c>
      <c r="U394" s="19">
        <f>(M394-Settings!$D$25)/Settings!$E$25</f>
        <v>1.4930268493061203</v>
      </c>
      <c r="V394" s="31">
        <f>Settings!$B$18*(N394-F$6)^2</f>
        <v>6.9502898326130408E-2</v>
      </c>
      <c r="W394" s="31">
        <f>Settings!$B$19*(O394-G$6)^2</f>
        <v>0.10205487487113851</v>
      </c>
      <c r="X394" s="31">
        <f>Settings!$B$20*(P394-H$6)^2</f>
        <v>1.5027656693797742</v>
      </c>
      <c r="Y394" s="31">
        <f>Settings!$B$21*(Q394-I$6)^2</f>
        <v>1.1243146941177093</v>
      </c>
      <c r="Z394" s="31">
        <f>Settings!$B$22*(R394-J$6)^2</f>
        <v>0.32996597954963064</v>
      </c>
      <c r="AA394" s="31">
        <f>Settings!$B$23*(S394-K$6)^2</f>
        <v>7.9292613262145499</v>
      </c>
      <c r="AB394" s="31">
        <f>Settings!$B$24*(T394-L$6)^2</f>
        <v>3.688790917650802</v>
      </c>
      <c r="AC394" s="31">
        <f>Settings!$B$25*(U394-M$6)^2</f>
        <v>2.8054968475339561</v>
      </c>
      <c r="AD394" s="19">
        <f t="shared" si="20"/>
        <v>4.1895289959187165</v>
      </c>
      <c r="AE394" s="15">
        <f t="shared" si="21"/>
        <v>1.658291531036183</v>
      </c>
      <c r="AF394" s="33">
        <f t="shared" si="22"/>
        <v>0.25284834396510192</v>
      </c>
      <c r="AG394" s="47">
        <f t="shared" si="23"/>
        <v>1.0916474089512911E-3</v>
      </c>
      <c r="AH394" s="18">
        <v>0.34967800332747329</v>
      </c>
      <c r="AI394" s="46">
        <v>0</v>
      </c>
      <c r="AJ394" s="18">
        <v>-1.660707856777869</v>
      </c>
      <c r="AK394" s="46">
        <v>0</v>
      </c>
      <c r="AL394" s="18">
        <v>-0.69002513623431738</v>
      </c>
      <c r="AM394" s="46">
        <v>0</v>
      </c>
      <c r="AN394" s="18">
        <v>1.3404637163208379</v>
      </c>
      <c r="AO394" s="46">
        <v>0</v>
      </c>
      <c r="AP394" s="18">
        <v>1.122590657812446</v>
      </c>
      <c r="AQ394" s="46">
        <v>0</v>
      </c>
    </row>
    <row r="395" spans="1:43" ht="20" customHeight="1" x14ac:dyDescent="0.45">
      <c r="A395" s="26">
        <v>385</v>
      </c>
      <c r="B395" s="16" t="s">
        <v>611</v>
      </c>
      <c r="C395" s="16" t="s">
        <v>232</v>
      </c>
      <c r="D395" s="46">
        <v>26</v>
      </c>
      <c r="E395" s="46">
        <v>0</v>
      </c>
      <c r="F395" s="13">
        <v>0.33888311548101302</v>
      </c>
      <c r="G395" s="13">
        <v>0.35308393863881538</v>
      </c>
      <c r="H395" s="13">
        <v>8.1862599716723879E-3</v>
      </c>
      <c r="I395" s="13">
        <v>1.2849803064143061E-3</v>
      </c>
      <c r="J395" s="13">
        <v>0.29856170560208489</v>
      </c>
      <c r="K395" s="13">
        <v>10.753902953586501</v>
      </c>
      <c r="L395" s="13">
        <v>0.3203799071295681</v>
      </c>
      <c r="M395" s="13">
        <v>-5.4368105213511382E-2</v>
      </c>
      <c r="N395" s="19">
        <f>(F395-Settings!$D$18)/Settings!$E$18</f>
        <v>0.52453147702384562</v>
      </c>
      <c r="O395" s="19">
        <f>(G395-Settings!$D$19)/Settings!$E$19</f>
        <v>1.498663677940113</v>
      </c>
      <c r="P395" s="19">
        <f>(H395-Settings!$D$20)/Settings!$E$20</f>
        <v>-0.40717352122878181</v>
      </c>
      <c r="Q395" s="19">
        <f>(I395-Settings!$D$21)/Settings!$E$21</f>
        <v>5.201092243005976E-2</v>
      </c>
      <c r="R395" s="19">
        <f>(J395-Settings!$D$22)/Settings!$E$22</f>
        <v>0.13641201848989098</v>
      </c>
      <c r="S395" s="19">
        <f>(K395-Settings!$D$23)/Settings!$E$23</f>
        <v>-1.5632009589557398</v>
      </c>
      <c r="T395" s="19">
        <f>(L395-Settings!$D$24)/Settings!$E$24</f>
        <v>-0.68298101778219655</v>
      </c>
      <c r="U395" s="19">
        <f>(M395-Settings!$D$25)/Settings!$E$25</f>
        <v>-6.9619766604843002E-4</v>
      </c>
      <c r="V395" s="31">
        <f>Settings!$B$18*(N395-F$6)^2</f>
        <v>4.5656972997622669E-2</v>
      </c>
      <c r="W395" s="31">
        <f>Settings!$B$19*(O395-G$6)^2</f>
        <v>0.19785375830737295</v>
      </c>
      <c r="X395" s="31">
        <f>Settings!$B$20*(P395-H$6)^2</f>
        <v>1.4243999974321639</v>
      </c>
      <c r="Y395" s="31">
        <f>Settings!$B$21*(Q395-I$6)^2</f>
        <v>0.16625554876528165</v>
      </c>
      <c r="Z395" s="31">
        <f>Settings!$B$22*(R395-J$6)^2</f>
        <v>5.4151392035956897E-5</v>
      </c>
      <c r="AA395" s="31">
        <f>Settings!$B$23*(S395-K$6)^2</f>
        <v>10.830960005324929</v>
      </c>
      <c r="AB395" s="31">
        <f>Settings!$B$24*(T395-L$6)^2</f>
        <v>4.8805507604760141</v>
      </c>
      <c r="AC395" s="31">
        <f>Settings!$B$25*(U395-M$6)^2</f>
        <v>3.284746569750422E-2</v>
      </c>
      <c r="AD395" s="19">
        <f t="shared" ref="AD395:AD458" si="24">SQRT(SUM(V395:AC395))</f>
        <v>4.1926815596218283</v>
      </c>
      <c r="AE395" s="15">
        <f t="shared" ref="AE395:AE458" si="25">AD395/Yardstick</f>
        <v>1.6595393729045684</v>
      </c>
      <c r="AF395" s="33">
        <f t="shared" ref="AF395:AF458" si="26">EXP(-(AD395^2)/(2*Yardstick^2))</f>
        <v>0.25232547304597253</v>
      </c>
      <c r="AG395" s="47">
        <f t="shared" ref="AG395:AG458" si="27">AF395/$E$7</f>
        <v>1.0893899661097339E-3</v>
      </c>
      <c r="AH395" s="18">
        <v>-0.24484573523133041</v>
      </c>
      <c r="AI395" s="46">
        <v>0</v>
      </c>
      <c r="AJ395" s="18">
        <v>-0.28450310447090871</v>
      </c>
      <c r="AK395" s="46">
        <v>0</v>
      </c>
      <c r="AL395" s="18">
        <v>0.19592054125917999</v>
      </c>
      <c r="AM395" s="46">
        <v>1</v>
      </c>
      <c r="AN395" s="18">
        <v>0.1642932821466821</v>
      </c>
      <c r="AO395" s="46">
        <v>1</v>
      </c>
      <c r="AP395" s="18">
        <v>2.5091641164247169E-2</v>
      </c>
      <c r="AQ395" s="46">
        <v>1</v>
      </c>
    </row>
    <row r="396" spans="1:43" ht="20" customHeight="1" x14ac:dyDescent="0.45">
      <c r="A396" s="26">
        <v>386</v>
      </c>
      <c r="B396" s="16" t="s">
        <v>612</v>
      </c>
      <c r="C396" s="16" t="s">
        <v>212</v>
      </c>
      <c r="D396" s="46">
        <v>26</v>
      </c>
      <c r="E396" s="46">
        <v>0</v>
      </c>
      <c r="F396" s="13">
        <v>0.35361070045053661</v>
      </c>
      <c r="G396" s="13">
        <v>0.1264325153878845</v>
      </c>
      <c r="H396" s="13">
        <v>6.5589661748312558E-2</v>
      </c>
      <c r="I396" s="13">
        <v>-3.0380546687924578E-5</v>
      </c>
      <c r="J396" s="13">
        <v>-0.45433674186657852</v>
      </c>
      <c r="K396" s="13">
        <v>11.25498084291187</v>
      </c>
      <c r="L396" s="13">
        <v>1.028502023257169E-2</v>
      </c>
      <c r="M396" s="13">
        <v>-0.78183579058057018</v>
      </c>
      <c r="N396" s="19">
        <f>(F396-Settings!$D$18)/Settings!$E$18</f>
        <v>0.57724058553645463</v>
      </c>
      <c r="O396" s="19">
        <f>(G396-Settings!$D$19)/Settings!$E$19</f>
        <v>0.55440496052709776</v>
      </c>
      <c r="P396" s="19">
        <f>(H396-Settings!$D$20)/Settings!$E$20</f>
        <v>0.11291233743670169</v>
      </c>
      <c r="Q396" s="19">
        <f>(I396-Settings!$D$21)/Settings!$E$21</f>
        <v>3.5835525486642303E-2</v>
      </c>
      <c r="R396" s="19">
        <f>(J396-Settings!$D$22)/Settings!$E$22</f>
        <v>-1.8892967013238047</v>
      </c>
      <c r="S396" s="19">
        <f>(K396-Settings!$D$23)/Settings!$E$23</f>
        <v>-1.3891881334007714</v>
      </c>
      <c r="T396" s="19">
        <f>(L396-Settings!$D$24)/Settings!$E$24</f>
        <v>-0.89736657478284465</v>
      </c>
      <c r="U396" s="19">
        <f>(M396-Settings!$D$25)/Settings!$E$25</f>
        <v>-0.49130850685092198</v>
      </c>
      <c r="V396" s="31">
        <f>Settings!$B$18*(N396-F$6)^2</f>
        <v>5.6286211884359373E-2</v>
      </c>
      <c r="W396" s="31">
        <f>Settings!$B$19*(O396-G$6)^2</f>
        <v>5.0725020875737109E-4</v>
      </c>
      <c r="X396" s="31">
        <f>Settings!$B$20*(P396-H$6)^2</f>
        <v>0.92331503445177798</v>
      </c>
      <c r="Y396" s="31">
        <f>Settings!$B$21*(Q396-I$6)^2</f>
        <v>0.16040874680619494</v>
      </c>
      <c r="Z396" s="31">
        <f>Settings!$B$22*(R396-J$6)^2</f>
        <v>0.83408628188150624</v>
      </c>
      <c r="AA396" s="31">
        <f>Settings!$B$23*(S396-K$6)^2</f>
        <v>9.7158732985664198</v>
      </c>
      <c r="AB396" s="31">
        <f>Settings!$B$24*(T396-L$6)^2</f>
        <v>5.8737517256781047</v>
      </c>
      <c r="AC396" s="31">
        <f>Settings!$B$25*(U396-M$6)^2</f>
        <v>9.5712031221148824E-2</v>
      </c>
      <c r="AD396" s="19">
        <f t="shared" si="24"/>
        <v>4.2023732081644374</v>
      </c>
      <c r="AE396" s="15">
        <f t="shared" si="25"/>
        <v>1.6633755031033675</v>
      </c>
      <c r="AF396" s="33">
        <f t="shared" si="26"/>
        <v>0.25072237388141</v>
      </c>
      <c r="AG396" s="47">
        <f t="shared" si="27"/>
        <v>1.0824687459749949E-3</v>
      </c>
      <c r="AH396" s="18">
        <v>1.0522976107881821</v>
      </c>
      <c r="AI396" s="46">
        <v>0</v>
      </c>
      <c r="AJ396" s="18">
        <v>0.84711375214154927</v>
      </c>
      <c r="AK396" s="46">
        <v>0</v>
      </c>
      <c r="AL396" s="18">
        <v>0.1358140768489329</v>
      </c>
      <c r="AM396" s="46">
        <v>0</v>
      </c>
      <c r="AN396" s="18">
        <v>-0.15347630957372951</v>
      </c>
      <c r="AO396" s="46">
        <v>0</v>
      </c>
      <c r="AP396" s="18">
        <v>-1.413607029835998</v>
      </c>
      <c r="AQ396" s="46">
        <v>0</v>
      </c>
    </row>
    <row r="397" spans="1:43" ht="20" customHeight="1" x14ac:dyDescent="0.45">
      <c r="A397" s="26">
        <v>387</v>
      </c>
      <c r="B397" s="16" t="s">
        <v>613</v>
      </c>
      <c r="C397" s="16" t="s">
        <v>260</v>
      </c>
      <c r="D397" s="46">
        <v>26</v>
      </c>
      <c r="E397" s="46">
        <v>1</v>
      </c>
      <c r="F397" s="13">
        <v>4.8317433039265473E-2</v>
      </c>
      <c r="G397" s="13">
        <v>-0.32767351874239659</v>
      </c>
      <c r="H397" s="13">
        <v>2.030045207770401E-2</v>
      </c>
      <c r="I397" s="13">
        <v>4.7099971792028414E-3</v>
      </c>
      <c r="J397" s="13">
        <v>0.59899859896143104</v>
      </c>
      <c r="K397" s="13">
        <v>11.09939759036145</v>
      </c>
      <c r="L397" s="13">
        <v>0.1937940460354291</v>
      </c>
      <c r="M397" s="13">
        <v>1.8602960680051291E-2</v>
      </c>
      <c r="N397" s="19">
        <f>(F397-Settings!$D$18)/Settings!$E$18</f>
        <v>-0.51538498705056246</v>
      </c>
      <c r="O397" s="19">
        <f>(G397-Settings!$D$19)/Settings!$E$19</f>
        <v>-1.337458656330244</v>
      </c>
      <c r="P397" s="19">
        <f>(H397-Settings!$D$20)/Settings!$E$20</f>
        <v>-0.2974166112111602</v>
      </c>
      <c r="Q397" s="19">
        <f>(I397-Settings!$D$21)/Settings!$E$21</f>
        <v>9.4129408261986139E-2</v>
      </c>
      <c r="R397" s="19">
        <f>(J397-Settings!$D$22)/Settings!$E$22</f>
        <v>0.94475162481786845</v>
      </c>
      <c r="S397" s="19">
        <f>(K397-Settings!$D$23)/Settings!$E$23</f>
        <v>-1.443218618405371</v>
      </c>
      <c r="T397" s="19">
        <f>(L397-Settings!$D$24)/Settings!$E$24</f>
        <v>-0.77049674759843212</v>
      </c>
      <c r="U397" s="19">
        <f>(M397-Settings!$D$25)/Settings!$E$25</f>
        <v>4.8516301888015576E-2</v>
      </c>
      <c r="V397" s="31">
        <f>Settings!$B$18*(N397-F$6)^2</f>
        <v>6.3196860336457078E-2</v>
      </c>
      <c r="W397" s="31">
        <f>Settings!$B$19*(O397-G$6)^2</f>
        <v>0.67822622602873217</v>
      </c>
      <c r="X397" s="31">
        <f>Settings!$B$20*(P397-H$6)^2</f>
        <v>1.3096456755221979</v>
      </c>
      <c r="Y397" s="31">
        <f>Settings!$B$21*(Q397-I$6)^2</f>
        <v>0.18197085858297843</v>
      </c>
      <c r="Z397" s="31">
        <f>Settings!$B$22*(R397-J$6)^2</f>
        <v>0.12541634282115585</v>
      </c>
      <c r="AA397" s="31">
        <f>Settings!$B$23*(S397-K$6)^2</f>
        <v>10.055621830035195</v>
      </c>
      <c r="AB397" s="31">
        <f>Settings!$B$24*(T397-L$6)^2</f>
        <v>5.2748887142344625</v>
      </c>
      <c r="AC397" s="31">
        <f>Settings!$B$25*(U397-M$6)^2</f>
        <v>5.3107754511027568E-2</v>
      </c>
      <c r="AD397" s="19">
        <f t="shared" si="24"/>
        <v>4.2121341695240675</v>
      </c>
      <c r="AE397" s="15">
        <f t="shared" si="25"/>
        <v>1.6672390685717564</v>
      </c>
      <c r="AF397" s="33">
        <f t="shared" si="26"/>
        <v>0.24911439860237472</v>
      </c>
      <c r="AG397" s="47">
        <f t="shared" si="27"/>
        <v>1.0755264737042347E-3</v>
      </c>
      <c r="AH397" s="18">
        <v>3.1816049532987528E-2</v>
      </c>
      <c r="AI397" s="46">
        <v>1</v>
      </c>
      <c r="AJ397" s="18">
        <v>-0.63571581799862931</v>
      </c>
      <c r="AK397" s="46">
        <v>1</v>
      </c>
      <c r="AL397" s="18">
        <v>-0.19050336576357871</v>
      </c>
      <c r="AM397" s="46">
        <v>1</v>
      </c>
      <c r="AN397" s="18">
        <v>0.1166088311691014</v>
      </c>
      <c r="AO397" s="46">
        <v>1</v>
      </c>
      <c r="AP397" s="48"/>
      <c r="AQ397" s="48"/>
    </row>
    <row r="398" spans="1:43" ht="20" customHeight="1" x14ac:dyDescent="0.45">
      <c r="A398" s="26">
        <v>388</v>
      </c>
      <c r="B398" s="16" t="s">
        <v>614</v>
      </c>
      <c r="C398" s="16" t="s">
        <v>220</v>
      </c>
      <c r="D398" s="46">
        <v>26</v>
      </c>
      <c r="E398" s="46">
        <v>1</v>
      </c>
      <c r="F398" s="13">
        <v>0.47270750886593671</v>
      </c>
      <c r="G398" s="13">
        <v>0.30393264566641209</v>
      </c>
      <c r="H398" s="13">
        <v>3.5106483153880472E-2</v>
      </c>
      <c r="I398" s="13">
        <v>-4.8228151575317729E-4</v>
      </c>
      <c r="J398" s="13">
        <v>0.1877710807980176</v>
      </c>
      <c r="K398" s="13">
        <v>13.85900383141762</v>
      </c>
      <c r="L398" s="13">
        <v>1.8517471221946431</v>
      </c>
      <c r="M398" s="13">
        <v>4.3417194078316426</v>
      </c>
      <c r="N398" s="19">
        <f>(F398-Settings!$D$18)/Settings!$E$18</f>
        <v>1.0034806385568922</v>
      </c>
      <c r="O398" s="19">
        <f>(G398-Settings!$D$19)/Settings!$E$19</f>
        <v>1.2938931267756069</v>
      </c>
      <c r="P398" s="19">
        <f>(H398-Settings!$D$20)/Settings!$E$20</f>
        <v>-0.1632711224883179</v>
      </c>
      <c r="Q398" s="19">
        <f>(I398-Settings!$D$21)/Settings!$E$21</f>
        <v>3.0278360290106412E-2</v>
      </c>
      <c r="R398" s="19">
        <f>(J398-Settings!$D$22)/Settings!$E$22</f>
        <v>-0.16167537363286624</v>
      </c>
      <c r="S398" s="19">
        <f>(K398-Settings!$D$23)/Settings!$E$23</f>
        <v>-0.48487084522415896</v>
      </c>
      <c r="T398" s="19">
        <f>(L398-Settings!$D$24)/Settings!$E$24</f>
        <v>0.37573690130206505</v>
      </c>
      <c r="U398" s="19">
        <f>(M398-Settings!$D$25)/Settings!$E$25</f>
        <v>2.964074182568265</v>
      </c>
      <c r="V398" s="31">
        <f>Settings!$B$18*(N398-F$6)^2</f>
        <v>0.18307059776396339</v>
      </c>
      <c r="W398" s="31">
        <f>Settings!$B$19*(O398-G$6)^2</f>
        <v>0.12477240608675658</v>
      </c>
      <c r="X398" s="31">
        <f>Settings!$B$20*(P398-H$6)^2</f>
        <v>1.1759360042665856</v>
      </c>
      <c r="Y398" s="31">
        <f>Settings!$B$21*(Q398-I$6)^2</f>
        <v>0.15842419339580921</v>
      </c>
      <c r="Z398" s="31">
        <f>Settings!$B$22*(R398-J$6)^2</f>
        <v>1.9787344809694851E-2</v>
      </c>
      <c r="AA398" s="31">
        <f>Settings!$B$23*(S398-K$6)^2</f>
        <v>4.896095612538673</v>
      </c>
      <c r="AB398" s="31">
        <f>Settings!$B$24*(T398-L$6)^2</f>
        <v>1.3236017904920978</v>
      </c>
      <c r="AC398" s="31">
        <f>Settings!$B$25*(U398-M$6)^2</f>
        <v>9.8973731211098315</v>
      </c>
      <c r="AD398" s="19">
        <f t="shared" si="24"/>
        <v>4.2165223906038269</v>
      </c>
      <c r="AE398" s="15">
        <f t="shared" si="25"/>
        <v>1.6689760060317831</v>
      </c>
      <c r="AF398" s="33">
        <f t="shared" si="26"/>
        <v>0.24839365956359083</v>
      </c>
      <c r="AG398" s="47">
        <f t="shared" si="27"/>
        <v>1.0724147550673624E-3</v>
      </c>
      <c r="AH398" s="18">
        <v>3.6277824423532001E-2</v>
      </c>
      <c r="AI398" s="46">
        <v>1</v>
      </c>
      <c r="AJ398" s="18">
        <v>-0.91336842361985726</v>
      </c>
      <c r="AK398" s="46">
        <v>1</v>
      </c>
      <c r="AL398" s="18">
        <v>0.63454921116949226</v>
      </c>
      <c r="AM398" s="46">
        <v>1</v>
      </c>
      <c r="AN398" s="18">
        <v>5.2521035308167541E-2</v>
      </c>
      <c r="AO398" s="46">
        <v>1</v>
      </c>
      <c r="AP398" s="48"/>
      <c r="AQ398" s="48"/>
    </row>
    <row r="399" spans="1:43" ht="20" customHeight="1" x14ac:dyDescent="0.45">
      <c r="A399" s="26">
        <v>389</v>
      </c>
      <c r="B399" s="16" t="s">
        <v>615</v>
      </c>
      <c r="C399" s="16" t="s">
        <v>227</v>
      </c>
      <c r="D399" s="46">
        <v>26</v>
      </c>
      <c r="E399" s="46">
        <v>0</v>
      </c>
      <c r="F399" s="13">
        <v>0.27608062617801787</v>
      </c>
      <c r="G399" s="13">
        <v>0.49881670846953619</v>
      </c>
      <c r="H399" s="13">
        <v>-9.040946321811294E-3</v>
      </c>
      <c r="I399" s="13">
        <v>7.4619321107909697E-2</v>
      </c>
      <c r="J399" s="13">
        <v>0.1414423979227247</v>
      </c>
      <c r="K399" s="13">
        <v>12.557070707070711</v>
      </c>
      <c r="L399" s="13">
        <v>0.77775687961473428</v>
      </c>
      <c r="M399" s="13">
        <v>-3.403916509309691</v>
      </c>
      <c r="N399" s="19">
        <f>(F399-Settings!$D$18)/Settings!$E$18</f>
        <v>0.29976528281185455</v>
      </c>
      <c r="O399" s="19">
        <f>(G399-Settings!$D$19)/Settings!$E$19</f>
        <v>2.1058049716131384</v>
      </c>
      <c r="P399" s="19">
        <f>(H399-Settings!$D$20)/Settings!$E$20</f>
        <v>-0.56325532300799142</v>
      </c>
      <c r="Q399" s="19">
        <f>(I399-Settings!$D$21)/Settings!$E$21</f>
        <v>0.95382586488513199</v>
      </c>
      <c r="R399" s="19">
        <f>(J399-Settings!$D$22)/Settings!$E$22</f>
        <v>-0.28632487609032797</v>
      </c>
      <c r="S399" s="19">
        <f>(K399-Settings!$D$23)/Settings!$E$23</f>
        <v>-0.93700227324672747</v>
      </c>
      <c r="T399" s="19">
        <f>(L399-Settings!$D$24)/Settings!$E$24</f>
        <v>-0.36677129892258425</v>
      </c>
      <c r="U399" s="19">
        <f>(M399-Settings!$D$25)/Settings!$E$25</f>
        <v>-2.2596689469929947</v>
      </c>
      <c r="V399" s="31">
        <f>Settings!$B$18*(N399-F$6)^2</f>
        <v>1.2804376697898351E-2</v>
      </c>
      <c r="W399" s="31">
        <f>Settings!$B$19*(O399-G$6)^2</f>
        <v>0.51312779914688134</v>
      </c>
      <c r="X399" s="31">
        <f>Settings!$B$20*(P399-H$6)^2</f>
        <v>1.5958869763286914</v>
      </c>
      <c r="Y399" s="31">
        <f>Settings!$B$21*(Q399-I$6)^2</f>
        <v>0.65779945511252125</v>
      </c>
      <c r="Z399" s="31">
        <f>Settings!$B$22*(R399-J$6)^2</f>
        <v>3.857785032552967E-2</v>
      </c>
      <c r="AA399" s="31">
        <f>Settings!$B$23*(S399-K$6)^2</f>
        <v>7.1013919622652457</v>
      </c>
      <c r="AB399" s="31">
        <f>Settings!$B$24*(T399-L$6)^2</f>
        <v>3.5834003115891524</v>
      </c>
      <c r="AC399" s="31">
        <f>Settings!$B$25*(U399-M$6)^2</f>
        <v>4.3169787875302505</v>
      </c>
      <c r="AD399" s="19">
        <f t="shared" si="24"/>
        <v>4.2213703366319528</v>
      </c>
      <c r="AE399" s="15">
        <f t="shared" si="25"/>
        <v>1.6708949109609992</v>
      </c>
      <c r="AF399" s="33">
        <f t="shared" si="26"/>
        <v>0.24759896910320783</v>
      </c>
      <c r="AG399" s="47">
        <f t="shared" si="27"/>
        <v>1.068983758572028E-3</v>
      </c>
      <c r="AH399" s="48"/>
      <c r="AI399" s="48"/>
      <c r="AJ399" s="48"/>
      <c r="AK399" s="48"/>
      <c r="AL399" s="48"/>
      <c r="AM399" s="48"/>
      <c r="AN399" s="18">
        <v>-0.77008987517555805</v>
      </c>
      <c r="AO399" s="46">
        <v>1</v>
      </c>
      <c r="AP399" s="48"/>
      <c r="AQ399" s="48"/>
    </row>
    <row r="400" spans="1:43" ht="20" customHeight="1" x14ac:dyDescent="0.45">
      <c r="A400" s="26">
        <v>390</v>
      </c>
      <c r="B400" s="16" t="s">
        <v>616</v>
      </c>
      <c r="C400" s="16" t="s">
        <v>236</v>
      </c>
      <c r="D400" s="46">
        <v>26</v>
      </c>
      <c r="E400" s="46">
        <v>0</v>
      </c>
      <c r="F400" s="13">
        <v>-0.21764145801822041</v>
      </c>
      <c r="G400" s="13">
        <v>0.14493871346385229</v>
      </c>
      <c r="H400" s="13">
        <v>-4.3224482860889528E-2</v>
      </c>
      <c r="I400" s="13">
        <v>-0.1291633028768038</v>
      </c>
      <c r="J400" s="13">
        <v>-0.46503204278023402</v>
      </c>
      <c r="K400" s="13">
        <v>14.135714285714281</v>
      </c>
      <c r="L400" s="13">
        <v>-0.57993356553492437</v>
      </c>
      <c r="M400" s="13">
        <v>1.754831528736378</v>
      </c>
      <c r="N400" s="19">
        <f>(F400-Settings!$D$18)/Settings!$E$18</f>
        <v>-1.4672352787074208</v>
      </c>
      <c r="O400" s="19">
        <f>(G400-Settings!$D$19)/Settings!$E$19</f>
        <v>0.63150414044293701</v>
      </c>
      <c r="P400" s="19">
        <f>(H400-Settings!$D$20)/Settings!$E$20</f>
        <v>-0.87296473748356684</v>
      </c>
      <c r="Q400" s="19">
        <f>(I400-Settings!$D$21)/Settings!$E$21</f>
        <v>-1.5521517346076641</v>
      </c>
      <c r="R400" s="19">
        <f>(J400-Settings!$D$22)/Settings!$E$22</f>
        <v>-1.9180729119730171</v>
      </c>
      <c r="S400" s="19">
        <f>(K400-Settings!$D$23)/Settings!$E$23</f>
        <v>-0.38877566912770506</v>
      </c>
      <c r="T400" s="19">
        <f>(L400-Settings!$D$24)/Settings!$E$24</f>
        <v>-1.3054169671259153</v>
      </c>
      <c r="U400" s="19">
        <f>(M400-Settings!$D$25)/Settings!$E$25</f>
        <v>1.2194481854356127</v>
      </c>
      <c r="V400" s="31">
        <f>Settings!$B$18*(N400-F$6)^2</f>
        <v>0.45842412150679213</v>
      </c>
      <c r="W400" s="31">
        <f>Settings!$B$19*(O400-G$6)^2</f>
        <v>3.2492299824084165E-3</v>
      </c>
      <c r="X400" s="31">
        <f>Settings!$B$20*(P400-H$6)^2</f>
        <v>1.9650165030680258</v>
      </c>
      <c r="Y400" s="31">
        <f>Settings!$B$21*(Q400-I$6)^2</f>
        <v>9.5888624803862621E-2</v>
      </c>
      <c r="Z400" s="31">
        <f>Settings!$B$22*(R400-J$6)^2</f>
        <v>0.85775818577371865</v>
      </c>
      <c r="AA400" s="31">
        <f>Settings!$B$23*(S400-K$6)^2</f>
        <v>4.4800679439476738</v>
      </c>
      <c r="AB400" s="31">
        <f>Settings!$B$24*(T400-L$6)^2</f>
        <v>8.0181443595716964</v>
      </c>
      <c r="AC400" s="31">
        <f>Settings!$B$25*(U400-M$6)^2</f>
        <v>1.96387454034415</v>
      </c>
      <c r="AD400" s="19">
        <f t="shared" si="24"/>
        <v>4.2240292978385376</v>
      </c>
      <c r="AE400" s="15">
        <f t="shared" si="25"/>
        <v>1.6719473760124475</v>
      </c>
      <c r="AF400" s="33">
        <f t="shared" si="26"/>
        <v>0.24716379757136844</v>
      </c>
      <c r="AG400" s="47">
        <f t="shared" si="27"/>
        <v>1.0671049490543062E-3</v>
      </c>
      <c r="AH400" s="18">
        <v>0.99762730849608572</v>
      </c>
      <c r="AI400" s="46">
        <v>1</v>
      </c>
      <c r="AJ400" s="18">
        <v>0.23504034943501681</v>
      </c>
      <c r="AK400" s="46">
        <v>1</v>
      </c>
      <c r="AL400" s="18">
        <v>-0.31752893905835738</v>
      </c>
      <c r="AM400" s="46">
        <v>1</v>
      </c>
      <c r="AN400" s="18">
        <v>-9.5541662403422323E-2</v>
      </c>
      <c r="AO400" s="46">
        <v>1</v>
      </c>
      <c r="AP400" s="48"/>
      <c r="AQ400" s="48"/>
    </row>
    <row r="401" spans="1:43" ht="20" customHeight="1" x14ac:dyDescent="0.45">
      <c r="A401" s="26">
        <v>391</v>
      </c>
      <c r="B401" s="16" t="s">
        <v>617</v>
      </c>
      <c r="C401" s="16" t="s">
        <v>234</v>
      </c>
      <c r="D401" s="46">
        <v>26</v>
      </c>
      <c r="E401" s="46">
        <v>1</v>
      </c>
      <c r="F401" s="13">
        <v>-0.41449701064560918</v>
      </c>
      <c r="G401" s="13">
        <v>-2.1937861247086021E-2</v>
      </c>
      <c r="H401" s="13">
        <v>5.3764705041124076E-4</v>
      </c>
      <c r="I401" s="13">
        <v>0.13616103782124239</v>
      </c>
      <c r="J401" s="13">
        <v>0.42686644323565109</v>
      </c>
      <c r="K401" s="13">
        <v>12.249763593380621</v>
      </c>
      <c r="L401" s="13">
        <v>-7.8990383352721599E-2</v>
      </c>
      <c r="M401" s="13">
        <v>-0.79914152282938855</v>
      </c>
      <c r="N401" s="19">
        <f>(F401-Settings!$D$18)/Settings!$E$18</f>
        <v>-2.1717690299109149</v>
      </c>
      <c r="O401" s="19">
        <f>(G401-Settings!$D$19)/Settings!$E$19</f>
        <v>-6.3724939272011089E-2</v>
      </c>
      <c r="P401" s="19">
        <f>(H401-Settings!$D$20)/Settings!$E$20</f>
        <v>-0.47647142510967699</v>
      </c>
      <c r="Q401" s="19">
        <f>(I401-Settings!$D$21)/Settings!$E$21</f>
        <v>1.7106232821640062</v>
      </c>
      <c r="R401" s="19">
        <f>(J401-Settings!$D$22)/Settings!$E$22</f>
        <v>0.48162195575509059</v>
      </c>
      <c r="S401" s="19">
        <f>(K401-Settings!$D$23)/Settings!$E$23</f>
        <v>-1.0437229653897226</v>
      </c>
      <c r="T401" s="19">
        <f>(L401-Settings!$D$24)/Settings!$E$24</f>
        <v>-0.95908754450153677</v>
      </c>
      <c r="U401" s="19">
        <f>(M401-Settings!$D$25)/Settings!$E$25</f>
        <v>-0.5029796854221652</v>
      </c>
      <c r="V401" s="31">
        <f>Settings!$B$18*(N401-F$6)^2</f>
        <v>0.98435630577932798</v>
      </c>
      <c r="W401" s="31">
        <f>Settings!$B$19*(O401-G$6)^2</f>
        <v>6.4472257990265666E-2</v>
      </c>
      <c r="X401" s="31">
        <f>Settings!$B$20*(P401-H$6)^2</f>
        <v>1.4993347730416866</v>
      </c>
      <c r="Y401" s="31">
        <f>Settings!$B$21*(Q401-I$6)^2</f>
        <v>1.321346714072718</v>
      </c>
      <c r="Z401" s="31">
        <f>Settings!$B$22*(R401-J$6)^2</f>
        <v>2.1616001972710353E-2</v>
      </c>
      <c r="AA401" s="31">
        <f>Settings!$B$23*(S401-K$6)^2</f>
        <v>7.68156919730475</v>
      </c>
      <c r="AB401" s="31">
        <f>Settings!$B$24*(T401-L$6)^2</f>
        <v>6.1767329175611598</v>
      </c>
      <c r="AC401" s="31">
        <f>Settings!$B$25*(U401-M$6)^2</f>
        <v>0.10306975695024576</v>
      </c>
      <c r="AD401" s="19">
        <f t="shared" si="24"/>
        <v>4.2252216420766455</v>
      </c>
      <c r="AE401" s="15">
        <f t="shared" si="25"/>
        <v>1.672419327478605</v>
      </c>
      <c r="AF401" s="33">
        <f t="shared" si="26"/>
        <v>0.24696881547510252</v>
      </c>
      <c r="AG401" s="47">
        <f t="shared" si="27"/>
        <v>1.0662631333760119E-3</v>
      </c>
      <c r="AH401" s="18">
        <v>-5.3985048165031968E-3</v>
      </c>
      <c r="AI401" s="46">
        <v>1</v>
      </c>
      <c r="AJ401" s="18">
        <v>-0.63817408253238606</v>
      </c>
      <c r="AK401" s="46">
        <v>1</v>
      </c>
      <c r="AL401" s="48"/>
      <c r="AM401" s="48"/>
      <c r="AN401" s="48"/>
      <c r="AO401" s="48"/>
      <c r="AP401" s="48"/>
      <c r="AQ401" s="48"/>
    </row>
    <row r="402" spans="1:43" ht="20" customHeight="1" x14ac:dyDescent="0.45">
      <c r="A402" s="26">
        <v>392</v>
      </c>
      <c r="B402" s="16" t="s">
        <v>618</v>
      </c>
      <c r="C402" s="16" t="s">
        <v>258</v>
      </c>
      <c r="D402" s="46">
        <v>26</v>
      </c>
      <c r="E402" s="46">
        <v>0</v>
      </c>
      <c r="F402" s="13">
        <v>-0.1245844188497577</v>
      </c>
      <c r="G402" s="13">
        <v>0.1069228186978248</v>
      </c>
      <c r="H402" s="13">
        <v>-3.2532875635940907E-2</v>
      </c>
      <c r="I402" s="13">
        <v>0.1186941211370913</v>
      </c>
      <c r="J402" s="13">
        <v>-0.61726576567938518</v>
      </c>
      <c r="K402" s="13">
        <v>13.911527777777779</v>
      </c>
      <c r="L402" s="13">
        <v>-0.64104964475500159</v>
      </c>
      <c r="M402" s="13">
        <v>0.54031600723845852</v>
      </c>
      <c r="N402" s="19">
        <f>(F402-Settings!$D$18)/Settings!$E$18</f>
        <v>-1.1341899365455768</v>
      </c>
      <c r="O402" s="19">
        <f>(G402-Settings!$D$19)/Settings!$E$19</f>
        <v>0.47312507748274069</v>
      </c>
      <c r="P402" s="19">
        <f>(H402-Settings!$D$20)/Settings!$E$20</f>
        <v>-0.77609672004902686</v>
      </c>
      <c r="Q402" s="19">
        <f>(I402-Settings!$D$21)/Settings!$E$21</f>
        <v>1.4958272358339073</v>
      </c>
      <c r="R402" s="19">
        <f>(J402-Settings!$D$22)/Settings!$E$22</f>
        <v>-2.3276649106858947</v>
      </c>
      <c r="S402" s="19">
        <f>(K402-Settings!$D$23)/Settings!$E$23</f>
        <v>-0.46663048676864144</v>
      </c>
      <c r="T402" s="19">
        <f>(L402-Settings!$D$24)/Settings!$E$24</f>
        <v>-1.3476698556414366</v>
      </c>
      <c r="U402" s="19">
        <f>(M402-Settings!$D$25)/Settings!$E$25</f>
        <v>0.40036539106748387</v>
      </c>
      <c r="V402" s="31">
        <f>Settings!$B$18*(N402-F$6)^2</f>
        <v>0.27891901923132933</v>
      </c>
      <c r="W402" s="31">
        <f>Settings!$B$19*(O402-G$6)^2</f>
        <v>1.9119292122560521E-4</v>
      </c>
      <c r="X402" s="31">
        <f>Settings!$B$20*(P402-H$6)^2</f>
        <v>1.8454401131750531</v>
      </c>
      <c r="Y402" s="31">
        <f>Settings!$B$21*(Q402-I$6)^2</f>
        <v>1.1097331995635764</v>
      </c>
      <c r="Z402" s="31">
        <f>Settings!$B$22*(R402-J$6)^2</f>
        <v>1.2306074268822351</v>
      </c>
      <c r="AA402" s="31">
        <f>Settings!$B$23*(S402-K$6)^2</f>
        <v>4.8157069931004397</v>
      </c>
      <c r="AB402" s="31">
        <f>Settings!$B$24*(T402-L$6)^2</f>
        <v>8.259218996869663</v>
      </c>
      <c r="AC402" s="31">
        <f>Settings!$B$25*(U402-M$6)^2</f>
        <v>0.33907362407379188</v>
      </c>
      <c r="AD402" s="19">
        <f t="shared" si="24"/>
        <v>4.2283437142476146</v>
      </c>
      <c r="AE402" s="15">
        <f t="shared" si="25"/>
        <v>1.6736551002457694</v>
      </c>
      <c r="AF402" s="33">
        <f t="shared" si="26"/>
        <v>0.2464587364478773</v>
      </c>
      <c r="AG402" s="47">
        <f t="shared" si="27"/>
        <v>1.064060918246979E-3</v>
      </c>
      <c r="AH402" s="18">
        <v>0.52597353819140802</v>
      </c>
      <c r="AI402" s="46">
        <v>0</v>
      </c>
      <c r="AJ402" s="18">
        <v>0.65131910522444003</v>
      </c>
      <c r="AK402" s="46">
        <v>0</v>
      </c>
      <c r="AL402" s="18">
        <v>-0.40059625817187261</v>
      </c>
      <c r="AM402" s="46">
        <v>0</v>
      </c>
      <c r="AN402" s="18">
        <v>1.531930177548013E-2</v>
      </c>
      <c r="AO402" s="46">
        <v>0</v>
      </c>
      <c r="AP402" s="18">
        <v>0.75483550160664326</v>
      </c>
      <c r="AQ402" s="46">
        <v>0</v>
      </c>
    </row>
    <row r="403" spans="1:43" ht="20" customHeight="1" x14ac:dyDescent="0.45">
      <c r="A403" s="26">
        <v>393</v>
      </c>
      <c r="B403" s="16" t="s">
        <v>619</v>
      </c>
      <c r="C403" s="16" t="s">
        <v>214</v>
      </c>
      <c r="D403" s="46">
        <v>26</v>
      </c>
      <c r="E403" s="46">
        <v>1</v>
      </c>
      <c r="F403" s="13">
        <v>-0.40435041166588531</v>
      </c>
      <c r="G403" s="13">
        <v>0.16029559725559589</v>
      </c>
      <c r="H403" s="13">
        <v>-6.3287968731442611E-3</v>
      </c>
      <c r="I403" s="13">
        <v>-0.159238141281277</v>
      </c>
      <c r="J403" s="13">
        <v>0.26978705292409749</v>
      </c>
      <c r="K403" s="13">
        <v>11.71165501165498</v>
      </c>
      <c r="L403" s="13">
        <v>-0.20396005195703559</v>
      </c>
      <c r="M403" s="13">
        <v>-0.1135825709648467</v>
      </c>
      <c r="N403" s="19">
        <f>(F403-Settings!$D$18)/Settings!$E$18</f>
        <v>-2.1354549846847002</v>
      </c>
      <c r="O403" s="19">
        <f>(G403-Settings!$D$19)/Settings!$E$19</f>
        <v>0.69548287565078215</v>
      </c>
      <c r="P403" s="19">
        <f>(H403-Settings!$D$20)/Settings!$E$20</f>
        <v>-0.53868272746169199</v>
      </c>
      <c r="Q403" s="19">
        <f>(I403-Settings!$D$21)/Settings!$E$21</f>
        <v>-1.9219912718374381</v>
      </c>
      <c r="R403" s="19">
        <f>(J403-Settings!$D$22)/Settings!$E$22</f>
        <v>5.8992460732288296E-2</v>
      </c>
      <c r="S403" s="19">
        <f>(K403-Settings!$D$23)/Settings!$E$23</f>
        <v>-1.230595698663836</v>
      </c>
      <c r="T403" s="19">
        <f>(L403-Settings!$D$24)/Settings!$E$24</f>
        <v>-1.0454859120464413</v>
      </c>
      <c r="U403" s="19">
        <f>(M403-Settings!$D$25)/Settings!$E$25</f>
        <v>-4.0631092870022714E-2</v>
      </c>
      <c r="V403" s="31">
        <f>Settings!$B$18*(N403-F$6)^2</f>
        <v>0.95239483543278647</v>
      </c>
      <c r="W403" s="31">
        <f>Settings!$B$19*(O403-G$6)^2</f>
        <v>7.329787399564313E-3</v>
      </c>
      <c r="X403" s="31">
        <f>Settings!$B$20*(P403-H$6)^2</f>
        <v>1.5682427763216524</v>
      </c>
      <c r="Y403" s="31">
        <f>Settings!$B$21*(Q403-I$6)^2</f>
        <v>0.22567834925364078</v>
      </c>
      <c r="Z403" s="31">
        <f>Settings!$B$22*(R403-J$6)^2</f>
        <v>1.7624750349381248E-3</v>
      </c>
      <c r="AA403" s="31">
        <f>Settings!$B$23*(S403-K$6)^2</f>
        <v>8.7523502437366218</v>
      </c>
      <c r="AB403" s="31">
        <f>Settings!$B$24*(T403-L$6)^2</f>
        <v>6.6136499061831495</v>
      </c>
      <c r="AC403" s="31">
        <f>Settings!$B$25*(U403-M$6)^2</f>
        <v>1.9966764719522547E-2</v>
      </c>
      <c r="AD403" s="19">
        <f t="shared" si="24"/>
        <v>4.2592693197404028</v>
      </c>
      <c r="AE403" s="15">
        <f t="shared" si="25"/>
        <v>1.6858960155684264</v>
      </c>
      <c r="AF403" s="33">
        <f t="shared" si="26"/>
        <v>0.24144279982880124</v>
      </c>
      <c r="AG403" s="47">
        <f t="shared" si="27"/>
        <v>1.0424051141083763E-3</v>
      </c>
      <c r="AH403" s="48"/>
      <c r="AI403" s="48"/>
      <c r="AJ403" s="48"/>
      <c r="AK403" s="48"/>
      <c r="AL403" s="48"/>
      <c r="AM403" s="48"/>
      <c r="AN403" s="48"/>
      <c r="AO403" s="48"/>
      <c r="AP403" s="48"/>
      <c r="AQ403" s="48"/>
    </row>
    <row r="404" spans="1:43" ht="20" customHeight="1" x14ac:dyDescent="0.45">
      <c r="A404" s="26">
        <v>394</v>
      </c>
      <c r="B404" s="16" t="s">
        <v>620</v>
      </c>
      <c r="C404" s="16" t="s">
        <v>227</v>
      </c>
      <c r="D404" s="46">
        <v>26</v>
      </c>
      <c r="E404" s="46">
        <v>0</v>
      </c>
      <c r="F404" s="13">
        <v>-4.5390803684888972E-2</v>
      </c>
      <c r="G404" s="13">
        <v>3.4408003151668323E-2</v>
      </c>
      <c r="H404" s="13">
        <v>5.4106155302339684E-3</v>
      </c>
      <c r="I404" s="13">
        <v>9.1898324778505909E-3</v>
      </c>
      <c r="J404" s="13">
        <v>0.90560074515535827</v>
      </c>
      <c r="K404" s="13">
        <v>10.38797619047619</v>
      </c>
      <c r="L404" s="13">
        <v>0.60184473268541661</v>
      </c>
      <c r="M404" s="13">
        <v>0.14652909015663171</v>
      </c>
      <c r="N404" s="19">
        <f>(F404-Settings!$D$18)/Settings!$E$18</f>
        <v>-0.85076092466964703</v>
      </c>
      <c r="O404" s="19">
        <f>(G404-Settings!$D$19)/Settings!$E$19</f>
        <v>0.17101911344805912</v>
      </c>
      <c r="P404" s="19">
        <f>(H404-Settings!$D$20)/Settings!$E$20</f>
        <v>-0.43232139361956107</v>
      </c>
      <c r="Q404" s="19">
        <f>(I404-Settings!$D$21)/Settings!$E$21</f>
        <v>0.14921932068096899</v>
      </c>
      <c r="R404" s="19">
        <f>(J404-Settings!$D$22)/Settings!$E$22</f>
        <v>1.7696791341609956</v>
      </c>
      <c r="S404" s="19">
        <f>(K404-Settings!$D$23)/Settings!$E$23</f>
        <v>-1.6902789070183444</v>
      </c>
      <c r="T404" s="19">
        <f>(L404-Settings!$D$24)/Settings!$E$24</f>
        <v>-0.48838898820473192</v>
      </c>
      <c r="U404" s="19">
        <f>(M404-Settings!$D$25)/Settings!$E$25</f>
        <v>0.13479110838463723</v>
      </c>
      <c r="V404" s="31">
        <f>Settings!$B$18*(N404-F$6)^2</f>
        <v>0.16110151828830943</v>
      </c>
      <c r="W404" s="31">
        <f>Settings!$B$19*(O404-G$6)^2</f>
        <v>2.2181082347534235E-2</v>
      </c>
      <c r="X404" s="31">
        <f>Settings!$B$20*(P404-H$6)^2</f>
        <v>1.4513714072951025</v>
      </c>
      <c r="Y404" s="31">
        <f>Settings!$B$21*(Q404-I$6)^2</f>
        <v>0.20359712611481362</v>
      </c>
      <c r="Z404" s="31">
        <f>Settings!$B$22*(R404-J$6)^2</f>
        <v>0.52281648126500524</v>
      </c>
      <c r="AA404" s="31">
        <f>Settings!$B$23*(S404-K$6)^2</f>
        <v>11.683546637737484</v>
      </c>
      <c r="AB404" s="31">
        <f>Settings!$B$24*(T404-L$6)^2</f>
        <v>4.058632617511134</v>
      </c>
      <c r="AC404" s="31">
        <f>Settings!$B$25*(U404-M$6)^2</f>
        <v>0.10031536172015158</v>
      </c>
      <c r="AD404" s="19">
        <f t="shared" si="24"/>
        <v>4.2665632811760252</v>
      </c>
      <c r="AE404" s="15">
        <f t="shared" si="25"/>
        <v>1.6887830977411908</v>
      </c>
      <c r="AF404" s="33">
        <f t="shared" si="26"/>
        <v>0.24026947437877971</v>
      </c>
      <c r="AG404" s="47">
        <f t="shared" si="27"/>
        <v>1.0373393989556231E-3</v>
      </c>
      <c r="AH404" s="18">
        <v>0.50808659248997667</v>
      </c>
      <c r="AI404" s="46">
        <v>0</v>
      </c>
      <c r="AJ404" s="18">
        <v>1.24034057872846E-2</v>
      </c>
      <c r="AK404" s="46">
        <v>0</v>
      </c>
      <c r="AL404" s="18">
        <v>-0.93091497719361538</v>
      </c>
      <c r="AM404" s="46">
        <v>0</v>
      </c>
      <c r="AN404" s="18">
        <v>-0.37502323576175262</v>
      </c>
      <c r="AO404" s="46">
        <v>1</v>
      </c>
      <c r="AP404" s="18">
        <v>-4.3885964664068723E-2</v>
      </c>
      <c r="AQ404" s="46">
        <v>1</v>
      </c>
    </row>
    <row r="405" spans="1:43" ht="20" customHeight="1" x14ac:dyDescent="0.45">
      <c r="A405" s="26">
        <v>395</v>
      </c>
      <c r="B405" s="16" t="s">
        <v>621</v>
      </c>
      <c r="C405" s="16" t="s">
        <v>260</v>
      </c>
      <c r="D405" s="46">
        <v>26</v>
      </c>
      <c r="E405" s="46">
        <v>1</v>
      </c>
      <c r="F405" s="13">
        <v>0.18250645327939799</v>
      </c>
      <c r="G405" s="13">
        <v>-0.66960982559204274</v>
      </c>
      <c r="H405" s="13">
        <v>0.11431235769714319</v>
      </c>
      <c r="I405" s="13">
        <v>-4.7118540214967282E-4</v>
      </c>
      <c r="J405" s="13">
        <v>-3.3100178029266417E-2</v>
      </c>
      <c r="K405" s="13">
        <v>12.28835125448029</v>
      </c>
      <c r="L405" s="13">
        <v>-0.4743665594757463</v>
      </c>
      <c r="M405" s="13">
        <v>-0.46219873376907528</v>
      </c>
      <c r="N405" s="19">
        <f>(F405-Settings!$D$18)/Settings!$E$18</f>
        <v>-3.5130848732959317E-2</v>
      </c>
      <c r="O405" s="19">
        <f>(G405-Settings!$D$19)/Settings!$E$19</f>
        <v>-2.762008892599118</v>
      </c>
      <c r="P405" s="19">
        <f>(H405-Settings!$D$20)/Settings!$E$20</f>
        <v>0.55434933201838432</v>
      </c>
      <c r="Q405" s="19">
        <f>(I405-Settings!$D$21)/Settings!$E$21</f>
        <v>3.0414812611644367E-2</v>
      </c>
      <c r="R405" s="19">
        <f>(J405-Settings!$D$22)/Settings!$E$22</f>
        <v>-0.75593989425572106</v>
      </c>
      <c r="S405" s="19">
        <f>(K405-Settings!$D$23)/Settings!$E$23</f>
        <v>-1.030322358253472</v>
      </c>
      <c r="T405" s="19">
        <f>(L405-Settings!$D$24)/Settings!$E$24</f>
        <v>-1.2324327214927218</v>
      </c>
      <c r="U405" s="19">
        <f>(M405-Settings!$D$25)/Settings!$E$25</f>
        <v>-0.27574171577865814</v>
      </c>
      <c r="V405" s="31">
        <f>Settings!$B$18*(N405-F$6)^2</f>
        <v>1.3405613665798443E-3</v>
      </c>
      <c r="W405" s="31">
        <f>Settings!$B$19*(O405-G$6)^2</f>
        <v>2.1334199790971047</v>
      </c>
      <c r="X405" s="31">
        <f>Settings!$B$20*(P405-H$6)^2</f>
        <v>0.58289591773135752</v>
      </c>
      <c r="Y405" s="31">
        <f>Settings!$B$21*(Q405-I$6)^2</f>
        <v>0.15847277478903943</v>
      </c>
      <c r="Z405" s="31">
        <f>Settings!$B$22*(R405-J$6)^2</f>
        <v>0.16518588975415838</v>
      </c>
      <c r="AA405" s="31">
        <f>Settings!$B$23*(S405-K$6)^2</f>
        <v>7.6074674823478512</v>
      </c>
      <c r="AB405" s="31">
        <f>Settings!$B$24*(T405-L$6)^2</f>
        <v>7.6101418908722591</v>
      </c>
      <c r="AC405" s="31">
        <f>Settings!$B$25*(U405-M$6)^2</f>
        <v>8.7997194764676528E-3</v>
      </c>
      <c r="AD405" s="19">
        <f t="shared" si="24"/>
        <v>4.2740758317365897</v>
      </c>
      <c r="AE405" s="15">
        <f t="shared" si="25"/>
        <v>1.6917567014525392</v>
      </c>
      <c r="AF405" s="33">
        <f t="shared" si="26"/>
        <v>0.23906486350464212</v>
      </c>
      <c r="AG405" s="47">
        <f t="shared" si="27"/>
        <v>1.0321386121166618E-3</v>
      </c>
      <c r="AH405" s="18">
        <v>-1.0285919491202919</v>
      </c>
      <c r="AI405" s="46">
        <v>1</v>
      </c>
      <c r="AJ405" s="48"/>
      <c r="AK405" s="48"/>
      <c r="AL405" s="48"/>
      <c r="AM405" s="48"/>
      <c r="AN405" s="48"/>
      <c r="AO405" s="48"/>
      <c r="AP405" s="48"/>
      <c r="AQ405" s="48"/>
    </row>
    <row r="406" spans="1:43" ht="20" customHeight="1" x14ac:dyDescent="0.45">
      <c r="A406" s="26">
        <v>396</v>
      </c>
      <c r="B406" s="16" t="s">
        <v>622</v>
      </c>
      <c r="C406" s="16" t="s">
        <v>236</v>
      </c>
      <c r="D406" s="46">
        <v>26</v>
      </c>
      <c r="E406" s="46">
        <v>0</v>
      </c>
      <c r="F406" s="13">
        <v>0.39421065193149918</v>
      </c>
      <c r="G406" s="13">
        <v>0.17707292436723271</v>
      </c>
      <c r="H406" s="13">
        <v>3.2330619006836468E-4</v>
      </c>
      <c r="I406" s="13">
        <v>-2.990247122783369E-5</v>
      </c>
      <c r="J406" s="13">
        <v>-0.42836321503997188</v>
      </c>
      <c r="K406" s="13">
        <v>11.2056338028169</v>
      </c>
      <c r="L406" s="13">
        <v>0.35221009961361333</v>
      </c>
      <c r="M406" s="13">
        <v>1.261709131181622</v>
      </c>
      <c r="N406" s="19">
        <f>(F406-Settings!$D$18)/Settings!$E$18</f>
        <v>0.72254528095291859</v>
      </c>
      <c r="O406" s="19">
        <f>(G406-Settings!$D$19)/Settings!$E$19</f>
        <v>0.76537935877373875</v>
      </c>
      <c r="P406" s="19">
        <f>(H406-Settings!$D$20)/Settings!$E$20</f>
        <v>-0.47841339452173864</v>
      </c>
      <c r="Q406" s="19">
        <f>(I406-Settings!$D$21)/Settings!$E$21</f>
        <v>3.5841404527604821E-2</v>
      </c>
      <c r="R406" s="19">
        <f>(J406-Settings!$D$22)/Settings!$E$22</f>
        <v>-1.8194137045479852</v>
      </c>
      <c r="S406" s="19">
        <f>(K406-Settings!$D$23)/Settings!$E$23</f>
        <v>-1.4063252253831402</v>
      </c>
      <c r="T406" s="19">
        <f>(L406-Settings!$D$24)/Settings!$E$24</f>
        <v>-0.66097506465793054</v>
      </c>
      <c r="U406" s="19">
        <f>(M406-Settings!$D$25)/Settings!$E$25</f>
        <v>0.88688094837263798</v>
      </c>
      <c r="V406" s="31">
        <f>Settings!$B$18*(N406-F$6)^2</f>
        <v>9.1342603494068919E-2</v>
      </c>
      <c r="W406" s="31">
        <f>Settings!$B$19*(O406-G$6)^2</f>
        <v>1.3659259582420313E-2</v>
      </c>
      <c r="X406" s="31">
        <f>Settings!$B$20*(P406-H$6)^2</f>
        <v>1.5014623764272852</v>
      </c>
      <c r="Y406" s="31">
        <f>Settings!$B$21*(Q406-I$6)^2</f>
        <v>0.16041085284771095</v>
      </c>
      <c r="Z406" s="31">
        <f>Settings!$B$22*(R406-J$6)^2</f>
        <v>0.77797800881917356</v>
      </c>
      <c r="AA406" s="31">
        <f>Settings!$B$23*(S406-K$6)^2</f>
        <v>9.8230006231645461</v>
      </c>
      <c r="AB406" s="31">
        <f>Settings!$B$24*(T406-L$6)^2</f>
        <v>4.7838040574194052</v>
      </c>
      <c r="AC406" s="31">
        <f>Settings!$B$25*(U406-M$6)^2</f>
        <v>1.1423673087321453</v>
      </c>
      <c r="AD406" s="19">
        <f t="shared" si="24"/>
        <v>4.2771515159609148</v>
      </c>
      <c r="AE406" s="15">
        <f t="shared" si="25"/>
        <v>1.6929741130294274</v>
      </c>
      <c r="AF406" s="33">
        <f t="shared" si="26"/>
        <v>0.23857282396375384</v>
      </c>
      <c r="AG406" s="47">
        <f t="shared" si="27"/>
        <v>1.0300142806637083E-3</v>
      </c>
      <c r="AH406" s="48"/>
      <c r="AI406" s="48"/>
      <c r="AJ406" s="48"/>
      <c r="AK406" s="48"/>
      <c r="AL406" s="48"/>
      <c r="AM406" s="48"/>
      <c r="AN406" s="48"/>
      <c r="AO406" s="48"/>
      <c r="AP406" s="48"/>
      <c r="AQ406" s="48"/>
    </row>
    <row r="407" spans="1:43" ht="20" customHeight="1" x14ac:dyDescent="0.45">
      <c r="A407" s="26">
        <v>397</v>
      </c>
      <c r="B407" s="16" t="s">
        <v>623</v>
      </c>
      <c r="C407" s="16" t="s">
        <v>220</v>
      </c>
      <c r="D407" s="46">
        <v>26</v>
      </c>
      <c r="E407" s="46">
        <v>1</v>
      </c>
      <c r="F407" s="13">
        <v>0.22258979088839401</v>
      </c>
      <c r="G407" s="13">
        <v>0.1868427576943579</v>
      </c>
      <c r="H407" s="13">
        <v>2.7523247015024749E-4</v>
      </c>
      <c r="I407" s="13">
        <v>-2.4218393742843569E-2</v>
      </c>
      <c r="J407" s="13">
        <v>-0.56607382520425442</v>
      </c>
      <c r="K407" s="13">
        <v>11.358730158730159</v>
      </c>
      <c r="L407" s="13">
        <v>0.27910209582982087</v>
      </c>
      <c r="M407" s="13">
        <v>-1.9028480024411649</v>
      </c>
      <c r="N407" s="19">
        <f>(F407-Settings!$D$18)/Settings!$E$18</f>
        <v>0.10832491784059167</v>
      </c>
      <c r="O407" s="19">
        <f>(G407-Settings!$D$19)/Settings!$E$19</f>
        <v>0.80608172964125668</v>
      </c>
      <c r="P407" s="19">
        <f>(H407-Settings!$D$20)/Settings!$E$20</f>
        <v>-0.47884895166868519</v>
      </c>
      <c r="Q407" s="19">
        <f>(I407-Settings!$D$21)/Settings!$E$21</f>
        <v>-0.26161191169205023</v>
      </c>
      <c r="R407" s="19">
        <f>(J407-Settings!$D$22)/Settings!$E$22</f>
        <v>-2.1899305846910573</v>
      </c>
      <c r="S407" s="19">
        <f>(K407-Settings!$D$23)/Settings!$E$23</f>
        <v>-1.353158382378945</v>
      </c>
      <c r="T407" s="19">
        <f>(L407-Settings!$D$24)/Settings!$E$24</f>
        <v>-0.71151862656322562</v>
      </c>
      <c r="U407" s="19">
        <f>(M407-Settings!$D$25)/Settings!$E$25</f>
        <v>-1.2473316278062729</v>
      </c>
      <c r="V407" s="31">
        <f>Settings!$B$18*(N407-F$6)^2</f>
        <v>7.5854478989635134E-4</v>
      </c>
      <c r="W407" s="31">
        <f>Settings!$B$19*(O407-G$6)^2</f>
        <v>1.8245387651040501E-2</v>
      </c>
      <c r="X407" s="31">
        <f>Settings!$B$20*(P407-H$6)^2</f>
        <v>1.5019397758422717</v>
      </c>
      <c r="Y407" s="31">
        <f>Settings!$B$21*(Q407-I$6)^2</f>
        <v>7.1549867461069339E-2</v>
      </c>
      <c r="Z407" s="31">
        <f>Settings!$B$22*(R407-J$6)^2</f>
        <v>1.0977398352936019</v>
      </c>
      <c r="AA407" s="31">
        <f>Settings!$B$23*(S407-K$6)^2</f>
        <v>9.4925598433374461</v>
      </c>
      <c r="AB407" s="31">
        <f>Settings!$B$24*(T407-L$6)^2</f>
        <v>5.007455546938492</v>
      </c>
      <c r="AC407" s="31">
        <f>Settings!$B$25*(U407-M$6)^2</f>
        <v>1.1350701965918986</v>
      </c>
      <c r="AD407" s="19">
        <f t="shared" si="24"/>
        <v>4.280808217837575</v>
      </c>
      <c r="AE407" s="15">
        <f t="shared" si="25"/>
        <v>1.6944215019267226</v>
      </c>
      <c r="AF407" s="33">
        <f t="shared" si="26"/>
        <v>0.23798869341571346</v>
      </c>
      <c r="AG407" s="47">
        <f t="shared" si="27"/>
        <v>1.0274923555078704E-3</v>
      </c>
      <c r="AH407" s="18">
        <v>-0.90197554729966356</v>
      </c>
      <c r="AI407" s="46">
        <v>1</v>
      </c>
      <c r="AJ407" s="48"/>
      <c r="AK407" s="48"/>
      <c r="AL407" s="48"/>
      <c r="AM407" s="48"/>
      <c r="AN407" s="48"/>
      <c r="AO407" s="48"/>
      <c r="AP407" s="48"/>
      <c r="AQ407" s="48"/>
    </row>
    <row r="408" spans="1:43" ht="20" customHeight="1" x14ac:dyDescent="0.45">
      <c r="A408" s="26">
        <v>398</v>
      </c>
      <c r="B408" s="16" t="s">
        <v>624</v>
      </c>
      <c r="C408" s="16" t="s">
        <v>246</v>
      </c>
      <c r="D408" s="46">
        <v>26</v>
      </c>
      <c r="E408" s="46">
        <v>1</v>
      </c>
      <c r="F408" s="13">
        <v>0.17560884977756169</v>
      </c>
      <c r="G408" s="13">
        <v>0.10490681120086209</v>
      </c>
      <c r="H408" s="13">
        <v>-3.6432484205467811E-2</v>
      </c>
      <c r="I408" s="13">
        <v>0</v>
      </c>
      <c r="J408" s="13">
        <v>0.68305185481610853</v>
      </c>
      <c r="K408" s="13">
        <v>10.67421383647798</v>
      </c>
      <c r="L408" s="13">
        <v>0.26759507926063092</v>
      </c>
      <c r="M408" s="13">
        <v>-0.62361143976401967</v>
      </c>
      <c r="N408" s="19">
        <f>(F408-Settings!$D$18)/Settings!$E$18</f>
        <v>-5.9816941680824492E-2</v>
      </c>
      <c r="O408" s="19">
        <f>(G408-Settings!$D$19)/Settings!$E$19</f>
        <v>0.46472613329755691</v>
      </c>
      <c r="P408" s="19">
        <f>(H408-Settings!$D$20)/Settings!$E$20</f>
        <v>-0.81142792357653282</v>
      </c>
      <c r="Q408" s="19">
        <f>(I408-Settings!$D$21)/Settings!$E$21</f>
        <v>3.6209124412652775E-2</v>
      </c>
      <c r="R408" s="19">
        <f>(J408-Settings!$D$22)/Settings!$E$22</f>
        <v>1.1709008669713243</v>
      </c>
      <c r="S408" s="19">
        <f>(K408-Settings!$D$23)/Settings!$E$23</f>
        <v>-1.5908751563798254</v>
      </c>
      <c r="T408" s="19">
        <f>(L408-Settings!$D$24)/Settings!$E$24</f>
        <v>-0.71947405653270102</v>
      </c>
      <c r="U408" s="19">
        <f>(M408-Settings!$D$25)/Settings!$E$25</f>
        <v>-0.38460024243610175</v>
      </c>
      <c r="V408" s="31">
        <f>Settings!$B$18*(N408-F$6)^2</f>
        <v>2.2708688049837395E-3</v>
      </c>
      <c r="W408" s="31">
        <f>Settings!$B$19*(O408-G$6)^2</f>
        <v>3.091750718876939E-4</v>
      </c>
      <c r="X408" s="31">
        <f>Settings!$B$20*(P408-H$6)^2</f>
        <v>1.8886190320540797</v>
      </c>
      <c r="Y408" s="31">
        <f>Settings!$B$21*(Q408-I$6)^2</f>
        <v>0.16054260815973301</v>
      </c>
      <c r="Z408" s="31">
        <f>Settings!$B$22*(R408-J$6)^2</f>
        <v>0.20727870786951852</v>
      </c>
      <c r="AA408" s="31">
        <f>Settings!$B$23*(S408-K$6)^2</f>
        <v>11.01387978012912</v>
      </c>
      <c r="AB408" s="31">
        <f>Settings!$B$24*(T408-L$6)^2</f>
        <v>5.0431231154970941</v>
      </c>
      <c r="AC408" s="31">
        <f>Settings!$B$25*(U408-M$6)^2</f>
        <v>4.1073242731364208E-2</v>
      </c>
      <c r="AD408" s="19">
        <f t="shared" si="24"/>
        <v>4.2845182378323221</v>
      </c>
      <c r="AE408" s="15">
        <f t="shared" si="25"/>
        <v>1.6958899951017925</v>
      </c>
      <c r="AF408" s="33">
        <f t="shared" si="26"/>
        <v>0.23739699906061626</v>
      </c>
      <c r="AG408" s="47">
        <f t="shared" si="27"/>
        <v>1.024937774372381E-3</v>
      </c>
      <c r="AH408" s="48"/>
      <c r="AI408" s="48"/>
      <c r="AJ408" s="48"/>
      <c r="AK408" s="48"/>
      <c r="AL408" s="48"/>
      <c r="AM408" s="48"/>
      <c r="AN408" s="48"/>
      <c r="AO408" s="48"/>
      <c r="AP408" s="48"/>
      <c r="AQ408" s="48"/>
    </row>
    <row r="409" spans="1:43" ht="20" customHeight="1" x14ac:dyDescent="0.45">
      <c r="A409" s="26">
        <v>399</v>
      </c>
      <c r="B409" s="16" t="s">
        <v>625</v>
      </c>
      <c r="C409" s="16" t="s">
        <v>236</v>
      </c>
      <c r="D409" s="46">
        <v>26</v>
      </c>
      <c r="E409" s="46">
        <v>0</v>
      </c>
      <c r="F409" s="13">
        <v>-0.51565763231254425</v>
      </c>
      <c r="G409" s="13">
        <v>-0.16704667757641631</v>
      </c>
      <c r="H409" s="13">
        <v>2.3581141992164469E-2</v>
      </c>
      <c r="I409" s="13">
        <v>-6.7735252078565095E-2</v>
      </c>
      <c r="J409" s="13">
        <v>0.22597929604030989</v>
      </c>
      <c r="K409" s="13">
        <v>11.77745901639342</v>
      </c>
      <c r="L409" s="13">
        <v>0.22923798924652999</v>
      </c>
      <c r="M409" s="13">
        <v>-2.2908100686557171</v>
      </c>
      <c r="N409" s="19">
        <f>(F409-Settings!$D$18)/Settings!$E$18</f>
        <v>-2.5338165886708461</v>
      </c>
      <c r="O409" s="19">
        <f>(G409-Settings!$D$19)/Settings!$E$19</f>
        <v>-0.66826676313144495</v>
      </c>
      <c r="P409" s="19">
        <f>(H409-Settings!$D$20)/Settings!$E$20</f>
        <v>-0.26769292971548092</v>
      </c>
      <c r="Q409" s="19">
        <f>(I409-Settings!$D$21)/Settings!$E$21</f>
        <v>-0.79675210204409874</v>
      </c>
      <c r="R409" s="19">
        <f>(J409-Settings!$D$22)/Settings!$E$22</f>
        <v>-5.88743716583583E-2</v>
      </c>
      <c r="S409" s="19">
        <f>(K409-Settings!$D$23)/Settings!$E$23</f>
        <v>-1.2077434813912171</v>
      </c>
      <c r="T409" s="19">
        <f>(L409-Settings!$D$24)/Settings!$E$24</f>
        <v>-0.74599241093023272</v>
      </c>
      <c r="U409" s="19">
        <f>(M409-Settings!$D$25)/Settings!$E$25</f>
        <v>-1.5089775661899374</v>
      </c>
      <c r="V409" s="31">
        <f>Settings!$B$18*(N409-F$6)^2</f>
        <v>1.3318542784031027</v>
      </c>
      <c r="W409" s="31">
        <f>Settings!$B$19*(O409-G$6)^2</f>
        <v>0.27486239008355606</v>
      </c>
      <c r="X409" s="31">
        <f>Settings!$B$20*(P409-H$6)^2</f>
        <v>1.2793978014567218</v>
      </c>
      <c r="Y409" s="31">
        <f>Settings!$B$21*(Q409-I$6)^2</f>
        <v>7.9332925290932885E-4</v>
      </c>
      <c r="Z409" s="31">
        <f>Settings!$B$22*(R409-J$6)^2</f>
        <v>8.966857357528904E-3</v>
      </c>
      <c r="AA409" s="31">
        <f>Settings!$B$23*(S409-K$6)^2</f>
        <v>8.6176587714716977</v>
      </c>
      <c r="AB409" s="31">
        <f>Settings!$B$24*(T409-L$6)^2</f>
        <v>5.1629303397519779</v>
      </c>
      <c r="AC409" s="31">
        <f>Settings!$B$25*(U409-M$6)^2</f>
        <v>1.7610422490633733</v>
      </c>
      <c r="AD409" s="19">
        <f t="shared" si="24"/>
        <v>4.2938917099573981</v>
      </c>
      <c r="AE409" s="15">
        <f t="shared" si="25"/>
        <v>1.6996001853061233</v>
      </c>
      <c r="AF409" s="33">
        <f t="shared" si="26"/>
        <v>0.23590634523441323</v>
      </c>
      <c r="AG409" s="47">
        <f t="shared" si="27"/>
        <v>1.018502025727563E-3</v>
      </c>
      <c r="AH409" s="18">
        <v>-0.81709354519895905</v>
      </c>
      <c r="AI409" s="46">
        <v>1</v>
      </c>
      <c r="AJ409" s="18">
        <v>0.22803245651635581</v>
      </c>
      <c r="AK409" s="46">
        <v>1</v>
      </c>
      <c r="AL409" s="18">
        <v>-0.47449523652223041</v>
      </c>
      <c r="AM409" s="46">
        <v>1</v>
      </c>
      <c r="AN409" s="48"/>
      <c r="AO409" s="48"/>
      <c r="AP409" s="48"/>
      <c r="AQ409" s="48"/>
    </row>
    <row r="410" spans="1:43" ht="20" customHeight="1" x14ac:dyDescent="0.45">
      <c r="A410" s="26">
        <v>400</v>
      </c>
      <c r="B410" s="16" t="s">
        <v>626</v>
      </c>
      <c r="C410" s="16" t="s">
        <v>234</v>
      </c>
      <c r="D410" s="46">
        <v>26</v>
      </c>
      <c r="E410" s="46">
        <v>1</v>
      </c>
      <c r="F410" s="13">
        <v>-6.3136173092683712E-2</v>
      </c>
      <c r="G410" s="13">
        <v>-0.26740754533108341</v>
      </c>
      <c r="H410" s="13">
        <v>3.582089849650405E-2</v>
      </c>
      <c r="I410" s="13">
        <v>-7.3420767035876763E-3</v>
      </c>
      <c r="J410" s="13">
        <v>0.62629330637614111</v>
      </c>
      <c r="K410" s="13">
        <v>10.353679653679659</v>
      </c>
      <c r="L410" s="13">
        <v>0.57157039550240474</v>
      </c>
      <c r="M410" s="13">
        <v>0.61462929882974071</v>
      </c>
      <c r="N410" s="19">
        <f>(F410-Settings!$D$18)/Settings!$E$18</f>
        <v>-0.91427049556313233</v>
      </c>
      <c r="O410" s="19">
        <f>(G410-Settings!$D$19)/Settings!$E$19</f>
        <v>-1.0863829298213006</v>
      </c>
      <c r="P410" s="19">
        <f>(H410-Settings!$D$20)/Settings!$E$20</f>
        <v>-0.15679838210338515</v>
      </c>
      <c r="Q410" s="19">
        <f>(I410-Settings!$D$21)/Settings!$E$21</f>
        <v>-5.4078650831269941E-2</v>
      </c>
      <c r="R410" s="19">
        <f>(J410-Settings!$D$22)/Settings!$E$22</f>
        <v>1.0181893201679351</v>
      </c>
      <c r="S410" s="19">
        <f>(K410-Settings!$D$23)/Settings!$E$23</f>
        <v>-1.7021893053852515</v>
      </c>
      <c r="T410" s="19">
        <f>(L410-Settings!$D$24)/Settings!$E$24</f>
        <v>-0.50931929345662519</v>
      </c>
      <c r="U410" s="19">
        <f>(M410-Settings!$D$25)/Settings!$E$25</f>
        <v>0.45048310258113228</v>
      </c>
      <c r="V410" s="31">
        <f>Settings!$B$18*(N410-F$6)^2</f>
        <v>0.18470816634289708</v>
      </c>
      <c r="W410" s="31">
        <f>Settings!$B$19*(O410-G$6)^2</f>
        <v>0.50589140782162756</v>
      </c>
      <c r="X410" s="31">
        <f>Settings!$B$20*(P410-H$6)^2</f>
        <v>1.1696663298490726</v>
      </c>
      <c r="Y410" s="31">
        <f>Settings!$B$21*(Q410-I$6)^2</f>
        <v>0.1298159210409959</v>
      </c>
      <c r="Z410" s="31">
        <f>Settings!$B$22*(R410-J$6)^2</f>
        <v>0.14975664301341363</v>
      </c>
      <c r="AA410" s="31">
        <f>Settings!$B$23*(S410-K$6)^2</f>
        <v>11.765110845084481</v>
      </c>
      <c r="AB410" s="31">
        <f>Settings!$B$24*(T410-L$6)^2</f>
        <v>4.1434032832598859</v>
      </c>
      <c r="AC410" s="31">
        <f>Settings!$B$25*(U410-M$6)^2</f>
        <v>0.39995252466318898</v>
      </c>
      <c r="AD410" s="19">
        <f t="shared" si="24"/>
        <v>4.2951490219869628</v>
      </c>
      <c r="AE410" s="15">
        <f t="shared" si="25"/>
        <v>1.7000978522019792</v>
      </c>
      <c r="AF410" s="33">
        <f t="shared" si="26"/>
        <v>0.23570686262541299</v>
      </c>
      <c r="AG410" s="47">
        <f t="shared" si="27"/>
        <v>1.0176407795361463E-3</v>
      </c>
      <c r="AH410" s="18">
        <v>0.30270825936506213</v>
      </c>
      <c r="AI410" s="46">
        <v>1</v>
      </c>
      <c r="AJ410" s="18">
        <v>-0.24360920794434379</v>
      </c>
      <c r="AK410" s="46">
        <v>1</v>
      </c>
      <c r="AL410" s="18">
        <v>-1.1111474599563891</v>
      </c>
      <c r="AM410" s="46">
        <v>1</v>
      </c>
      <c r="AN410" s="48"/>
      <c r="AO410" s="48"/>
      <c r="AP410" s="48"/>
      <c r="AQ410" s="48"/>
    </row>
    <row r="411" spans="1:43" ht="20" customHeight="1" x14ac:dyDescent="0.45">
      <c r="A411" s="26">
        <v>401</v>
      </c>
      <c r="B411" s="16" t="s">
        <v>627</v>
      </c>
      <c r="C411" s="16" t="s">
        <v>212</v>
      </c>
      <c r="D411" s="46">
        <v>26</v>
      </c>
      <c r="E411" s="46">
        <v>0</v>
      </c>
      <c r="F411" s="13">
        <v>-8.0410653288779235E-2</v>
      </c>
      <c r="G411" s="13">
        <v>0.36382381086732779</v>
      </c>
      <c r="H411" s="13">
        <v>1.1028679904673769E-3</v>
      </c>
      <c r="I411" s="13">
        <v>0.145267739737556</v>
      </c>
      <c r="J411" s="13">
        <v>0.40939492811586958</v>
      </c>
      <c r="K411" s="13">
        <v>11.183564814814821</v>
      </c>
      <c r="L411" s="13">
        <v>0.19852907249349541</v>
      </c>
      <c r="M411" s="13">
        <v>-0.30702326335514868</v>
      </c>
      <c r="N411" s="19">
        <f>(F411-Settings!$D$18)/Settings!$E$18</f>
        <v>-0.97609478332240152</v>
      </c>
      <c r="O411" s="19">
        <f>(G411-Settings!$D$19)/Settings!$E$19</f>
        <v>1.5434073545083702</v>
      </c>
      <c r="P411" s="19">
        <f>(H411-Settings!$D$20)/Settings!$E$20</f>
        <v>-0.47135041470181588</v>
      </c>
      <c r="Q411" s="19">
        <f>(I411-Settings!$D$21)/Settings!$E$21</f>
        <v>1.822611196350703</v>
      </c>
      <c r="R411" s="19">
        <f>(J411-Settings!$D$22)/Settings!$E$22</f>
        <v>0.43461402175616798</v>
      </c>
      <c r="S411" s="19">
        <f>(K411-Settings!$D$23)/Settings!$E$23</f>
        <v>-1.4139892773023954</v>
      </c>
      <c r="T411" s="19">
        <f>(L411-Settings!$D$24)/Settings!$E$24</f>
        <v>-0.76722316480968222</v>
      </c>
      <c r="U411" s="19">
        <f>(M411-Settings!$D$25)/Settings!$E$25</f>
        <v>-0.17108965026428127</v>
      </c>
      <c r="V411" s="31">
        <f>Settings!$B$18*(N411-F$6)^2</f>
        <v>0.2092381262354501</v>
      </c>
      <c r="W411" s="31">
        <f>Settings!$B$19*(O411-G$6)^2</f>
        <v>0.21605533848593891</v>
      </c>
      <c r="X411" s="31">
        <f>Settings!$B$20*(P411-H$6)^2</f>
        <v>1.4937314762208664</v>
      </c>
      <c r="Y411" s="31">
        <f>Settings!$B$21*(Q411-I$6)^2</f>
        <v>1.4389945269217062</v>
      </c>
      <c r="Z411" s="31">
        <f>Settings!$B$22*(R411-J$6)^2</f>
        <v>1.5876309236764519E-2</v>
      </c>
      <c r="AA411" s="31">
        <f>Settings!$B$23*(S411-K$6)^2</f>
        <v>9.8711001927959252</v>
      </c>
      <c r="AB411" s="31">
        <f>Settings!$B$24*(T411-L$6)^2</f>
        <v>5.2598624729778143</v>
      </c>
      <c r="AC411" s="31">
        <f>Settings!$B$25*(U411-M$6)^2</f>
        <v>1.1761935050350991E-4</v>
      </c>
      <c r="AD411" s="19">
        <f t="shared" si="24"/>
        <v>4.3017410501127298</v>
      </c>
      <c r="AE411" s="15">
        <f t="shared" si="25"/>
        <v>1.7027070964449385</v>
      </c>
      <c r="AF411" s="33">
        <f t="shared" si="26"/>
        <v>0.23466279079152846</v>
      </c>
      <c r="AG411" s="47">
        <f t="shared" si="27"/>
        <v>1.013133103929711E-3</v>
      </c>
      <c r="AH411" s="18">
        <v>-0.65282234275460782</v>
      </c>
      <c r="AI411" s="46">
        <v>0</v>
      </c>
      <c r="AJ411" s="18">
        <v>-0.5317842974042839</v>
      </c>
      <c r="AK411" s="46">
        <v>0</v>
      </c>
      <c r="AL411" s="18">
        <v>0.75549547937031392</v>
      </c>
      <c r="AM411" s="46">
        <v>0</v>
      </c>
      <c r="AN411" s="18">
        <v>0.9788723137741715</v>
      </c>
      <c r="AO411" s="46">
        <v>0</v>
      </c>
      <c r="AP411" s="18">
        <v>0.106425524867246</v>
      </c>
      <c r="AQ411" s="46">
        <v>0</v>
      </c>
    </row>
    <row r="412" spans="1:43" ht="20" customHeight="1" x14ac:dyDescent="0.45">
      <c r="A412" s="26">
        <v>402</v>
      </c>
      <c r="B412" s="16" t="s">
        <v>628</v>
      </c>
      <c r="C412" s="16" t="s">
        <v>271</v>
      </c>
      <c r="D412" s="46">
        <v>26</v>
      </c>
      <c r="E412" s="46">
        <v>1</v>
      </c>
      <c r="F412" s="13">
        <v>0.29371158880701909</v>
      </c>
      <c r="G412" s="13">
        <v>-0.19754361248321031</v>
      </c>
      <c r="H412" s="13">
        <v>3.0433887716725212E-3</v>
      </c>
      <c r="I412" s="13">
        <v>0.10177384562648779</v>
      </c>
      <c r="J412" s="13">
        <v>-0.40392756431161031</v>
      </c>
      <c r="K412" s="13">
        <v>11.60543209876543</v>
      </c>
      <c r="L412" s="13">
        <v>-2.9623968351796631E-2</v>
      </c>
      <c r="M412" s="13">
        <v>0.18443186540686041</v>
      </c>
      <c r="N412" s="19">
        <f>(F412-Settings!$D$18)/Settings!$E$18</f>
        <v>0.36286539897596731</v>
      </c>
      <c r="O412" s="19">
        <f>(G412-Settings!$D$19)/Settings!$E$19</f>
        <v>-0.79532088097934273</v>
      </c>
      <c r="P412" s="19">
        <f>(H412-Settings!$D$20)/Settings!$E$20</f>
        <v>-0.45376892326550183</v>
      </c>
      <c r="Q412" s="19">
        <f>(I412-Settings!$D$21)/Settings!$E$21</f>
        <v>1.287753404131752</v>
      </c>
      <c r="R412" s="19">
        <f>(J412-Settings!$D$22)/Settings!$E$22</f>
        <v>-1.7536684358186005</v>
      </c>
      <c r="S412" s="19">
        <f>(K412-Settings!$D$23)/Settings!$E$23</f>
        <v>-1.2674844730527361</v>
      </c>
      <c r="T412" s="19">
        <f>(L412-Settings!$D$24)/Settings!$E$24</f>
        <v>-0.92495784154834382</v>
      </c>
      <c r="U412" s="19">
        <f>(M412-Settings!$D$25)/Settings!$E$25</f>
        <v>0.16035316215565415</v>
      </c>
      <c r="V412" s="31">
        <f>Settings!$B$18*(N412-F$6)^2</f>
        <v>1.9987076001328454E-2</v>
      </c>
      <c r="W412" s="31">
        <f>Settings!$B$19*(O412-G$6)^2</f>
        <v>0.33766969133505764</v>
      </c>
      <c r="X412" s="31">
        <f>Settings!$B$20*(P412-H$6)^2</f>
        <v>1.4745740242136995</v>
      </c>
      <c r="Y412" s="31">
        <f>Settings!$B$21*(Q412-I$6)^2</f>
        <v>0.92233993096201283</v>
      </c>
      <c r="Z412" s="31">
        <f>Settings!$B$22*(R412-J$6)^2</f>
        <v>0.72697525447565814</v>
      </c>
      <c r="AA412" s="31">
        <f>Settings!$B$23*(S412-K$6)^2</f>
        <v>8.9719772649721019</v>
      </c>
      <c r="AB412" s="31">
        <f>Settings!$B$24*(T412-L$6)^2</f>
        <v>6.0082524215991944</v>
      </c>
      <c r="AC412" s="31">
        <f>Settings!$B$25*(U412-M$6)^2</f>
        <v>0.11716111461190412</v>
      </c>
      <c r="AD412" s="19">
        <f t="shared" si="24"/>
        <v>4.3103290800321679</v>
      </c>
      <c r="AE412" s="15">
        <f t="shared" si="25"/>
        <v>1.7061063943845309</v>
      </c>
      <c r="AF412" s="33">
        <f t="shared" si="26"/>
        <v>0.23330713570040876</v>
      </c>
      <c r="AG412" s="47">
        <f t="shared" si="27"/>
        <v>1.0072801988070391E-3</v>
      </c>
      <c r="AH412" s="18">
        <v>9.1807180306461192E-2</v>
      </c>
      <c r="AI412" s="46">
        <v>1</v>
      </c>
      <c r="AJ412" s="18">
        <v>0.42227045121960638</v>
      </c>
      <c r="AK412" s="46">
        <v>1</v>
      </c>
      <c r="AL412" s="18">
        <v>-0.47045836234799582</v>
      </c>
      <c r="AM412" s="46">
        <v>1</v>
      </c>
      <c r="AN412" s="18">
        <v>-0.71961916508252721</v>
      </c>
      <c r="AO412" s="46">
        <v>1</v>
      </c>
      <c r="AP412" s="18">
        <v>-0.1042194880249598</v>
      </c>
      <c r="AQ412" s="46">
        <v>1</v>
      </c>
    </row>
    <row r="413" spans="1:43" ht="20" customHeight="1" x14ac:dyDescent="0.45">
      <c r="A413" s="26">
        <v>403</v>
      </c>
      <c r="B413" s="16" t="s">
        <v>629</v>
      </c>
      <c r="C413" s="16" t="s">
        <v>220</v>
      </c>
      <c r="D413" s="46">
        <v>26</v>
      </c>
      <c r="E413" s="46">
        <v>1</v>
      </c>
      <c r="F413" s="13">
        <v>-0.2937163255248007</v>
      </c>
      <c r="G413" s="13">
        <v>-0.35400832398822429</v>
      </c>
      <c r="H413" s="13">
        <v>-1.0936845678922609E-3</v>
      </c>
      <c r="I413" s="13">
        <v>3.9654806995045123E-2</v>
      </c>
      <c r="J413" s="13">
        <v>0.31152685892403748</v>
      </c>
      <c r="K413" s="13">
        <v>11.622268907563029</v>
      </c>
      <c r="L413" s="13">
        <v>-0.1214786195652152</v>
      </c>
      <c r="M413" s="13">
        <v>2.16180289525537E-2</v>
      </c>
      <c r="N413" s="19">
        <f>(F413-Settings!$D$18)/Settings!$E$18</f>
        <v>-1.7395024871319127</v>
      </c>
      <c r="O413" s="19">
        <f>(G413-Settings!$D$19)/Settings!$E$19</f>
        <v>-1.447172811520949</v>
      </c>
      <c r="P413" s="19">
        <f>(H413-Settings!$D$20)/Settings!$E$20</f>
        <v>-0.4912516032735918</v>
      </c>
      <c r="Q413" s="19">
        <f>(I413-Settings!$D$21)/Settings!$E$21</f>
        <v>0.5238564816733372</v>
      </c>
      <c r="R413" s="19">
        <f>(J413-Settings!$D$22)/Settings!$E$22</f>
        <v>0.17129537390960578</v>
      </c>
      <c r="S413" s="19">
        <f>(K413-Settings!$D$23)/Settings!$E$23</f>
        <v>-1.2616374366246399</v>
      </c>
      <c r="T413" s="19">
        <f>(L413-Settings!$D$24)/Settings!$E$24</f>
        <v>-0.98846198623303239</v>
      </c>
      <c r="U413" s="19">
        <f>(M413-Settings!$D$25)/Settings!$E$25</f>
        <v>5.0549697511322302E-2</v>
      </c>
      <c r="V413" s="31">
        <f>Settings!$B$18*(N413-F$6)^2</f>
        <v>0.63813231785188895</v>
      </c>
      <c r="W413" s="31">
        <f>Settings!$B$19*(O413-G$6)^2</f>
        <v>0.76144921772544105</v>
      </c>
      <c r="X413" s="31">
        <f>Settings!$B$20*(P413-H$6)^2</f>
        <v>1.5155657471435551</v>
      </c>
      <c r="Y413" s="31">
        <f>Settings!$B$21*(Q413-I$6)^2</f>
        <v>0.38286420255699061</v>
      </c>
      <c r="Z413" s="31">
        <f>Settings!$B$22*(R413-J$6)^2</f>
        <v>6.7923111102199835E-5</v>
      </c>
      <c r="AA413" s="31">
        <f>Settings!$B$23*(S413-K$6)^2</f>
        <v>8.9369838934697832</v>
      </c>
      <c r="AB413" s="31">
        <f>Settings!$B$24*(T413-L$6)^2</f>
        <v>6.3236045743481908</v>
      </c>
      <c r="AC413" s="31">
        <f>Settings!$B$25*(U413-M$6)^2</f>
        <v>5.4049086122275179E-2</v>
      </c>
      <c r="AD413" s="19">
        <f t="shared" si="24"/>
        <v>4.3142458161687109</v>
      </c>
      <c r="AE413" s="15">
        <f t="shared" si="25"/>
        <v>1.707656709556203</v>
      </c>
      <c r="AF413" s="33">
        <f t="shared" si="26"/>
        <v>0.23269057347384961</v>
      </c>
      <c r="AG413" s="47">
        <f t="shared" si="27"/>
        <v>1.0046182531263767E-3</v>
      </c>
      <c r="AH413" s="48"/>
      <c r="AI413" s="48"/>
      <c r="AJ413" s="48"/>
      <c r="AK413" s="48"/>
      <c r="AL413" s="48"/>
      <c r="AM413" s="48"/>
      <c r="AN413" s="48"/>
      <c r="AO413" s="48"/>
      <c r="AP413" s="48"/>
      <c r="AQ413" s="48"/>
    </row>
    <row r="414" spans="1:43" ht="20" customHeight="1" x14ac:dyDescent="0.45">
      <c r="A414" s="26">
        <v>404</v>
      </c>
      <c r="B414" s="16" t="s">
        <v>630</v>
      </c>
      <c r="C414" s="16" t="s">
        <v>229</v>
      </c>
      <c r="D414" s="46">
        <v>26</v>
      </c>
      <c r="E414" s="46">
        <v>1</v>
      </c>
      <c r="F414" s="13">
        <v>0.46605200531638252</v>
      </c>
      <c r="G414" s="13">
        <v>1.7920911836926831E-2</v>
      </c>
      <c r="H414" s="13">
        <v>0.1820079676497415</v>
      </c>
      <c r="I414" s="13">
        <v>1.323142596943418E-2</v>
      </c>
      <c r="J414" s="13">
        <v>0.32078768922751488</v>
      </c>
      <c r="K414" s="13">
        <v>21.440123456790129</v>
      </c>
      <c r="L414" s="13">
        <v>9.1863629267780311</v>
      </c>
      <c r="M414" s="13">
        <v>2.0670876449321369</v>
      </c>
      <c r="N414" s="19">
        <f>(F414-Settings!$D$18)/Settings!$E$18</f>
        <v>0.97966100624613361</v>
      </c>
      <c r="O414" s="19">
        <f>(G414-Settings!$D$19)/Settings!$E$19</f>
        <v>0.10233178964734645</v>
      </c>
      <c r="P414" s="19">
        <f>(H414-Settings!$D$20)/Settings!$E$20</f>
        <v>1.1676845759308481</v>
      </c>
      <c r="Q414" s="19">
        <f>(I414-Settings!$D$21)/Settings!$E$21</f>
        <v>0.19892003881935205</v>
      </c>
      <c r="R414" s="19">
        <f>(J414-Settings!$D$22)/Settings!$E$22</f>
        <v>0.19621207384641884</v>
      </c>
      <c r="S414" s="19">
        <f>(K414-Settings!$D$23)/Settings!$E$23</f>
        <v>2.1478776255922778</v>
      </c>
      <c r="T414" s="19">
        <f>(L414-Settings!$D$24)/Settings!$E$24</f>
        <v>5.4465579986317989</v>
      </c>
      <c r="U414" s="19">
        <f>(M414-Settings!$D$25)/Settings!$E$25</f>
        <v>1.4300371879513778</v>
      </c>
      <c r="V414" s="31">
        <f>Settings!$B$18*(N414-F$6)^2</f>
        <v>0.17406838696002019</v>
      </c>
      <c r="W414" s="31">
        <f>Settings!$B$19*(O414-G$6)^2</f>
        <v>3.22745005869687E-2</v>
      </c>
      <c r="X414" s="31">
        <f>Settings!$B$20*(P414-H$6)^2</f>
        <v>0.23930132507401491</v>
      </c>
      <c r="Y414" s="31">
        <f>Settings!$B$21*(Q414-I$6)^2</f>
        <v>0.22414942868013413</v>
      </c>
      <c r="Z414" s="31">
        <f>Settings!$B$22*(R414-J$6)^2</f>
        <v>3.7576406730363543E-4</v>
      </c>
      <c r="AA414" s="31">
        <f>Settings!$B$23*(S414-K$6)^2</f>
        <v>0.17643040568147783</v>
      </c>
      <c r="AB414" s="31">
        <f>Settings!$B$24*(T414-L$6)^2</f>
        <v>15.369082633574351</v>
      </c>
      <c r="AC414" s="31">
        <f>Settings!$B$25*(U414-M$6)^2</f>
        <v>2.5984539987600908</v>
      </c>
      <c r="AD414" s="19">
        <f t="shared" si="24"/>
        <v>4.3375265351792791</v>
      </c>
      <c r="AE414" s="15">
        <f t="shared" si="25"/>
        <v>1.716871640210524</v>
      </c>
      <c r="AF414" s="33">
        <f t="shared" si="26"/>
        <v>0.22904790286669283</v>
      </c>
      <c r="AG414" s="47">
        <f t="shared" si="27"/>
        <v>9.8889138749772704E-4</v>
      </c>
      <c r="AH414" s="18">
        <v>-0.97005273806719394</v>
      </c>
      <c r="AI414" s="46">
        <v>1</v>
      </c>
      <c r="AJ414" s="18">
        <v>-2.4895417422178729</v>
      </c>
      <c r="AK414" s="46">
        <v>1</v>
      </c>
      <c r="AL414" s="18">
        <v>0.3293057955575831</v>
      </c>
      <c r="AM414" s="46">
        <v>1</v>
      </c>
      <c r="AN414" s="48"/>
      <c r="AO414" s="48"/>
      <c r="AP414" s="48"/>
      <c r="AQ414" s="48"/>
    </row>
    <row r="415" spans="1:43" ht="20" customHeight="1" x14ac:dyDescent="0.45">
      <c r="A415" s="26">
        <v>405</v>
      </c>
      <c r="B415" s="16" t="s">
        <v>631</v>
      </c>
      <c r="C415" s="16" t="s">
        <v>271</v>
      </c>
      <c r="D415" s="46">
        <v>26</v>
      </c>
      <c r="E415" s="46">
        <v>1</v>
      </c>
      <c r="F415" s="13">
        <v>5.4809046749235459E-2</v>
      </c>
      <c r="G415" s="13">
        <v>-8.5588256294711118E-2</v>
      </c>
      <c r="H415" s="13">
        <v>-2.2659038930102869E-3</v>
      </c>
      <c r="I415" s="13">
        <v>2.3010999690478311E-2</v>
      </c>
      <c r="J415" s="13">
        <v>0.83432579337256474</v>
      </c>
      <c r="K415" s="13">
        <v>10.226368159203981</v>
      </c>
      <c r="L415" s="13">
        <v>0.65827613852468192</v>
      </c>
      <c r="M415" s="13">
        <v>0.72941469045921203</v>
      </c>
      <c r="N415" s="19">
        <f>(F415-Settings!$D$18)/Settings!$E$18</f>
        <v>-0.49215190625905397</v>
      </c>
      <c r="O415" s="19">
        <f>(G415-Settings!$D$19)/Settings!$E$19</f>
        <v>-0.32890059768365698</v>
      </c>
      <c r="P415" s="19">
        <f>(H415-Settings!$D$20)/Settings!$E$20</f>
        <v>-0.50187213577479239</v>
      </c>
      <c r="Q415" s="19">
        <f>(I415-Settings!$D$21)/Settings!$E$21</f>
        <v>0.31918246452726418</v>
      </c>
      <c r="R415" s="19">
        <f>(J415-Settings!$D$22)/Settings!$E$22</f>
        <v>1.5779105207229731</v>
      </c>
      <c r="S415" s="19">
        <f>(K415-Settings!$D$23)/Settings!$E$23</f>
        <v>-1.7464016590957008</v>
      </c>
      <c r="T415" s="19">
        <f>(L415-Settings!$D$24)/Settings!$E$24</f>
        <v>-0.44937487064142262</v>
      </c>
      <c r="U415" s="19">
        <f>(M415-Settings!$D$25)/Settings!$E$25</f>
        <v>0.52789564911865994</v>
      </c>
      <c r="V415" s="31">
        <f>Settings!$B$18*(N415-F$6)^2</f>
        <v>5.8080859097584717E-2</v>
      </c>
      <c r="W415" s="31">
        <f>Settings!$B$19*(O415-G$6)^2</f>
        <v>0.13875925886192261</v>
      </c>
      <c r="X415" s="31">
        <f>Settings!$B$20*(P415-H$6)^2</f>
        <v>1.5272827259950532</v>
      </c>
      <c r="Y415" s="31">
        <f>Settings!$B$21*(Q415-I$6)^2</f>
        <v>0.27796853200813204</v>
      </c>
      <c r="Z415" s="31">
        <f>Settings!$B$22*(R415-J$6)^2</f>
        <v>0.40614997098062527</v>
      </c>
      <c r="AA415" s="31">
        <f>Settings!$B$23*(S415-K$6)^2</f>
        <v>12.070365041518455</v>
      </c>
      <c r="AB415" s="31">
        <f>Settings!$B$24*(T415-L$6)^2</f>
        <v>3.9029586595866297</v>
      </c>
      <c r="AC415" s="31">
        <f>Settings!$B$25*(U415-M$6)^2</f>
        <v>0.50385940248469585</v>
      </c>
      <c r="AD415" s="19">
        <f t="shared" si="24"/>
        <v>4.3457363530859876</v>
      </c>
      <c r="AE415" s="15">
        <f t="shared" si="25"/>
        <v>1.7201212349786486</v>
      </c>
      <c r="AF415" s="33">
        <f t="shared" si="26"/>
        <v>0.2277723687287829</v>
      </c>
      <c r="AG415" s="47">
        <f t="shared" si="27"/>
        <v>9.8338439656853009E-4</v>
      </c>
      <c r="AH415" s="18">
        <v>-0.28372012513123002</v>
      </c>
      <c r="AI415" s="46">
        <v>1</v>
      </c>
      <c r="AJ415" s="48"/>
      <c r="AK415" s="48"/>
      <c r="AL415" s="48"/>
      <c r="AM415" s="48"/>
      <c r="AN415" s="48"/>
      <c r="AO415" s="48"/>
      <c r="AP415" s="48"/>
      <c r="AQ415" s="48"/>
    </row>
    <row r="416" spans="1:43" ht="20" customHeight="1" x14ac:dyDescent="0.45">
      <c r="A416" s="26">
        <v>406</v>
      </c>
      <c r="B416" s="16" t="s">
        <v>632</v>
      </c>
      <c r="C416" s="16" t="s">
        <v>236</v>
      </c>
      <c r="D416" s="46">
        <v>26</v>
      </c>
      <c r="E416" s="46">
        <v>0</v>
      </c>
      <c r="F416" s="13">
        <v>-0.41625179335656037</v>
      </c>
      <c r="G416" s="13">
        <v>0.21471016768605239</v>
      </c>
      <c r="H416" s="13">
        <v>-1.830041130362479E-3</v>
      </c>
      <c r="I416" s="13">
        <v>-0.29133578499031509</v>
      </c>
      <c r="J416" s="13">
        <v>7.5872212836709668E-2</v>
      </c>
      <c r="K416" s="13">
        <v>11.617113095238089</v>
      </c>
      <c r="L416" s="13">
        <v>0.2220786097740273</v>
      </c>
      <c r="M416" s="13">
        <v>0.90467745071713257</v>
      </c>
      <c r="N416" s="19">
        <f>(F416-Settings!$D$18)/Settings!$E$18</f>
        <v>-2.1780492878431539</v>
      </c>
      <c r="O416" s="19">
        <f>(G416-Settings!$D$19)/Settings!$E$19</f>
        <v>0.92218091154335857</v>
      </c>
      <c r="P416" s="19">
        <f>(H416-Settings!$D$20)/Settings!$E$20</f>
        <v>-0.49792313532959159</v>
      </c>
      <c r="Q416" s="19">
        <f>(I416-Settings!$D$21)/Settings!$E$21</f>
        <v>-3.5464366225139607</v>
      </c>
      <c r="R416" s="19">
        <f>(J416-Settings!$D$22)/Settings!$E$22</f>
        <v>-0.46274454614691546</v>
      </c>
      <c r="S416" s="19">
        <f>(K416-Settings!$D$23)/Settings!$E$23</f>
        <v>-1.2634279316550669</v>
      </c>
      <c r="T416" s="19">
        <f>(L416-Settings!$D$24)/Settings!$E$24</f>
        <v>-0.75094208156605113</v>
      </c>
      <c r="U416" s="19">
        <f>(M416-Settings!$D$25)/Settings!$E$25</f>
        <v>0.64609480662607177</v>
      </c>
      <c r="V416" s="31">
        <f>Settings!$B$18*(N416-F$6)^2</f>
        <v>0.98993731723488543</v>
      </c>
      <c r="W416" s="31">
        <f>Settings!$B$19*(O416-G$6)^2</f>
        <v>3.4967736372374485E-2</v>
      </c>
      <c r="X416" s="31">
        <f>Settings!$B$20*(P416-H$6)^2</f>
        <v>1.5229207680464101</v>
      </c>
      <c r="Y416" s="31">
        <f>Settings!$B$21*(Q416-I$6)^2</f>
        <v>1.4436748209332022</v>
      </c>
      <c r="Z416" s="31">
        <f>Settings!$B$22*(R416-J$6)^2</f>
        <v>7.579544439357766E-2</v>
      </c>
      <c r="AA416" s="31">
        <f>Settings!$B$23*(S416-K$6)^2</f>
        <v>8.9476923934504384</v>
      </c>
      <c r="AB416" s="31">
        <f>Settings!$B$24*(T416-L$6)^2</f>
        <v>5.1854482039166223</v>
      </c>
      <c r="AC416" s="31">
        <f>Settings!$B$25*(U416-M$6)^2</f>
        <v>0.68563318808251461</v>
      </c>
      <c r="AD416" s="19">
        <f t="shared" si="24"/>
        <v>4.3458106116615376</v>
      </c>
      <c r="AE416" s="15">
        <f t="shared" si="25"/>
        <v>1.720150627869129</v>
      </c>
      <c r="AF416" s="33">
        <f t="shared" si="26"/>
        <v>0.22776085290200218</v>
      </c>
      <c r="AG416" s="47">
        <f t="shared" si="27"/>
        <v>9.833346781394118E-4</v>
      </c>
      <c r="AH416" s="18">
        <v>0.74334681931842272</v>
      </c>
      <c r="AI416" s="46">
        <v>1</v>
      </c>
      <c r="AJ416" s="18">
        <v>7.9798787578827746E-2</v>
      </c>
      <c r="AK416" s="46">
        <v>1</v>
      </c>
      <c r="AL416" s="18">
        <v>0.50995790902013893</v>
      </c>
      <c r="AM416" s="46">
        <v>1</v>
      </c>
      <c r="AN416" s="18">
        <v>0.47984947662680749</v>
      </c>
      <c r="AO416" s="46">
        <v>1</v>
      </c>
      <c r="AP416" s="18">
        <v>-0.4400878033990423</v>
      </c>
      <c r="AQ416" s="46">
        <v>1</v>
      </c>
    </row>
    <row r="417" spans="1:43" ht="20" customHeight="1" x14ac:dyDescent="0.45">
      <c r="A417" s="26">
        <v>407</v>
      </c>
      <c r="B417" s="16" t="s">
        <v>633</v>
      </c>
      <c r="C417" s="16" t="s">
        <v>271</v>
      </c>
      <c r="D417" s="46">
        <v>26</v>
      </c>
      <c r="E417" s="46">
        <v>1</v>
      </c>
      <c r="F417" s="13">
        <v>0.25859647877708669</v>
      </c>
      <c r="G417" s="13">
        <v>-0.1152716606512855</v>
      </c>
      <c r="H417" s="13">
        <v>4.9832675144694959E-4</v>
      </c>
      <c r="I417" s="13">
        <v>-8.7975846142312714E-2</v>
      </c>
      <c r="J417" s="13">
        <v>-0.53765768767786826</v>
      </c>
      <c r="K417" s="13">
        <v>11.58772609819122</v>
      </c>
      <c r="L417" s="13">
        <v>-0.369035111183591</v>
      </c>
      <c r="M417" s="13">
        <v>-0.38842923902467691</v>
      </c>
      <c r="N417" s="19">
        <f>(F417-Settings!$D$18)/Settings!$E$18</f>
        <v>0.23719060919678564</v>
      </c>
      <c r="O417" s="19">
        <f>(G417-Settings!$D$19)/Settings!$E$19</f>
        <v>-0.4525654435697537</v>
      </c>
      <c r="P417" s="19">
        <f>(H417-Settings!$D$20)/Settings!$E$20</f>
        <v>-0.47682767457951503</v>
      </c>
      <c r="Q417" s="19">
        <f>(I417-Settings!$D$21)/Settings!$E$21</f>
        <v>-1.0456569121420551</v>
      </c>
      <c r="R417" s="19">
        <f>(J417-Settings!$D$22)/Settings!$E$22</f>
        <v>-2.1134756288279406</v>
      </c>
      <c r="S417" s="19">
        <f>(K417-Settings!$D$23)/Settings!$E$23</f>
        <v>-1.2736333597923692</v>
      </c>
      <c r="T417" s="19">
        <f>(L417-Settings!$D$24)/Settings!$E$24</f>
        <v>-1.1596113298285002</v>
      </c>
      <c r="U417" s="19">
        <f>(M417-Settings!$D$25)/Settings!$E$25</f>
        <v>-0.22599074691508708</v>
      </c>
      <c r="V417" s="31">
        <f>Settings!$B$18*(N417-F$6)^2</f>
        <v>7.2543004191635528E-3</v>
      </c>
      <c r="W417" s="31">
        <f>Settings!$B$19*(O417-G$6)^2</f>
        <v>0.18302023167542689</v>
      </c>
      <c r="X417" s="31">
        <f>Settings!$B$20*(P417-H$6)^2</f>
        <v>1.49972496362096</v>
      </c>
      <c r="Y417" s="31">
        <f>Settings!$B$21*(Q417-I$6)^2</f>
        <v>6.9135090727996222E-3</v>
      </c>
      <c r="Z417" s="31">
        <f>Settings!$B$22*(R417-J$6)^2</f>
        <v>1.027261521762775</v>
      </c>
      <c r="AA417" s="31">
        <f>Settings!$B$23*(S417-K$6)^2</f>
        <v>9.0088509132314805</v>
      </c>
      <c r="AB417" s="31">
        <f>Settings!$B$24*(T417-L$6)^2</f>
        <v>7.2136675911021539</v>
      </c>
      <c r="AC417" s="31">
        <f>Settings!$B$25*(U417-M$6)^2</f>
        <v>1.9409180183948835E-3</v>
      </c>
      <c r="AD417" s="19">
        <f t="shared" si="24"/>
        <v>4.3530028657127202</v>
      </c>
      <c r="AE417" s="15">
        <f t="shared" si="25"/>
        <v>1.722997452415219</v>
      </c>
      <c r="AF417" s="33">
        <f t="shared" si="26"/>
        <v>0.22664732352422376</v>
      </c>
      <c r="AG417" s="47">
        <f t="shared" si="27"/>
        <v>9.7852712654156269E-4</v>
      </c>
      <c r="AH417" s="48"/>
      <c r="AI417" s="48"/>
      <c r="AJ417" s="48"/>
      <c r="AK417" s="48"/>
      <c r="AL417" s="48"/>
      <c r="AM417" s="48"/>
      <c r="AN417" s="48"/>
      <c r="AO417" s="48"/>
      <c r="AP417" s="48"/>
      <c r="AQ417" s="48"/>
    </row>
    <row r="418" spans="1:43" ht="20" customHeight="1" x14ac:dyDescent="0.45">
      <c r="A418" s="26">
        <v>408</v>
      </c>
      <c r="B418" s="16" t="s">
        <v>634</v>
      </c>
      <c r="C418" s="16" t="s">
        <v>224</v>
      </c>
      <c r="D418" s="46">
        <v>26</v>
      </c>
      <c r="E418" s="46">
        <v>0</v>
      </c>
      <c r="F418" s="13">
        <v>0.20136031887631381</v>
      </c>
      <c r="G418" s="13">
        <v>0.28874174543610859</v>
      </c>
      <c r="H418" s="13">
        <v>1.3175935974937049E-4</v>
      </c>
      <c r="I418" s="13">
        <v>-2.8694814454096929E-2</v>
      </c>
      <c r="J418" s="13">
        <v>-0.48107136187373112</v>
      </c>
      <c r="K418" s="13">
        <v>13.52957957957959</v>
      </c>
      <c r="L418" s="13">
        <v>-0.67883815364729827</v>
      </c>
      <c r="M418" s="13">
        <v>2.066766247540595</v>
      </c>
      <c r="N418" s="19">
        <f>(F418-Settings!$D$18)/Settings!$E$18</f>
        <v>3.2345960919569143E-2</v>
      </c>
      <c r="O418" s="19">
        <f>(G418-Settings!$D$19)/Settings!$E$19</f>
        <v>1.2306059002403702</v>
      </c>
      <c r="P418" s="19">
        <f>(H418-Settings!$D$20)/Settings!$E$20</f>
        <v>-0.48014884563853372</v>
      </c>
      <c r="Q418" s="19">
        <f>(I418-Settings!$D$21)/Settings!$E$21</f>
        <v>-0.31665983387970459</v>
      </c>
      <c r="R418" s="19">
        <f>(J418-Settings!$D$22)/Settings!$E$22</f>
        <v>-1.961227455134595</v>
      </c>
      <c r="S418" s="19">
        <f>(K418-Settings!$D$23)/Settings!$E$23</f>
        <v>-0.59927231072455445</v>
      </c>
      <c r="T418" s="19">
        <f>(L418-Settings!$D$24)/Settings!$E$24</f>
        <v>-1.3737951188089972</v>
      </c>
      <c r="U418" s="19">
        <f>(M418-Settings!$D$25)/Settings!$E$25</f>
        <v>1.4298204339709575</v>
      </c>
      <c r="V418" s="31">
        <f>Settings!$B$18*(N418-F$6)^2</f>
        <v>4.1436651110080085E-5</v>
      </c>
      <c r="W418" s="31">
        <f>Settings!$B$19*(O418-G$6)^2</f>
        <v>0.10557851024171024</v>
      </c>
      <c r="X418" s="31">
        <f>Settings!$B$20*(P418-H$6)^2</f>
        <v>1.5033649967116518</v>
      </c>
      <c r="Y418" s="31">
        <f>Settings!$B$21*(Q418-I$6)^2</f>
        <v>5.8985783734947485E-2</v>
      </c>
      <c r="Z418" s="31">
        <f>Settings!$B$22*(R418-J$6)^2</f>
        <v>0.89387883005928725</v>
      </c>
      <c r="AA418" s="31">
        <f>Settings!$B$23*(S418-K$6)^2</f>
        <v>5.4154583618599164</v>
      </c>
      <c r="AB418" s="31">
        <f>Settings!$B$24*(T418-L$6)^2</f>
        <v>8.4100635665172696</v>
      </c>
      <c r="AC418" s="31">
        <f>Settings!$B$25*(U418-M$6)^2</f>
        <v>2.5977552430114241</v>
      </c>
      <c r="AD418" s="19">
        <f t="shared" si="24"/>
        <v>4.3571925283130781</v>
      </c>
      <c r="AE418" s="15">
        <f t="shared" si="25"/>
        <v>1.7246557968293144</v>
      </c>
      <c r="AF418" s="33">
        <f t="shared" si="26"/>
        <v>0.22600033243299469</v>
      </c>
      <c r="AG418" s="47">
        <f t="shared" si="27"/>
        <v>9.7573380728433921E-4</v>
      </c>
      <c r="AH418" s="18">
        <v>0.76382090430797045</v>
      </c>
      <c r="AI418" s="46">
        <v>0</v>
      </c>
      <c r="AJ418" s="18">
        <v>-0.13011299065321441</v>
      </c>
      <c r="AK418" s="46">
        <v>1</v>
      </c>
      <c r="AL418" s="48"/>
      <c r="AM418" s="48"/>
      <c r="AN418" s="48"/>
      <c r="AO418" s="48"/>
      <c r="AP418" s="48"/>
      <c r="AQ418" s="48"/>
    </row>
    <row r="419" spans="1:43" ht="20" customHeight="1" x14ac:dyDescent="0.45">
      <c r="A419" s="26">
        <v>409</v>
      </c>
      <c r="B419" s="16" t="s">
        <v>635</v>
      </c>
      <c r="C419" s="16" t="s">
        <v>246</v>
      </c>
      <c r="D419" s="46">
        <v>26</v>
      </c>
      <c r="E419" s="46">
        <v>1</v>
      </c>
      <c r="F419" s="13">
        <v>-0.15965701709126109</v>
      </c>
      <c r="G419" s="13">
        <v>-0.35360980839277201</v>
      </c>
      <c r="H419" s="13">
        <v>2.0397277093494341E-3</v>
      </c>
      <c r="I419" s="13">
        <v>-6.2534297832495797E-2</v>
      </c>
      <c r="J419" s="13">
        <v>-0.42215914897412171</v>
      </c>
      <c r="K419" s="13">
        <v>12.23874734607219</v>
      </c>
      <c r="L419" s="13">
        <v>-0.47456403690305432</v>
      </c>
      <c r="M419" s="13">
        <v>0.59002116114740777</v>
      </c>
      <c r="N419" s="19">
        <f>(F419-Settings!$D$18)/Settings!$E$18</f>
        <v>-1.259712579284086</v>
      </c>
      <c r="O419" s="19">
        <f>(G419-Settings!$D$19)/Settings!$E$19</f>
        <v>-1.4455125447569754</v>
      </c>
      <c r="P419" s="19">
        <f>(H419-Settings!$D$20)/Settings!$E$20</f>
        <v>-0.46286228549233477</v>
      </c>
      <c r="Q419" s="19">
        <f>(I419-Settings!$D$21)/Settings!$E$21</f>
        <v>-0.73279436815205556</v>
      </c>
      <c r="R419" s="19">
        <f>(J419-Settings!$D$22)/Settings!$E$22</f>
        <v>-1.8027213727067564</v>
      </c>
      <c r="S419" s="19">
        <f>(K419-Settings!$D$23)/Settings!$E$23</f>
        <v>-1.0475486546927038</v>
      </c>
      <c r="T419" s="19">
        <f>(L419-Settings!$D$24)/Settings!$E$24</f>
        <v>-1.2325692484399158</v>
      </c>
      <c r="U419" s="19">
        <f>(M419-Settings!$D$25)/Settings!$E$25</f>
        <v>0.43388710045496642</v>
      </c>
      <c r="V419" s="31">
        <f>Settings!$B$18*(N419-F$6)^2</f>
        <v>0.34136357570451542</v>
      </c>
      <c r="W419" s="31">
        <f>Settings!$B$19*(O419-G$6)^2</f>
        <v>0.76015395301684574</v>
      </c>
      <c r="X419" s="31">
        <f>Settings!$B$20*(P419-H$6)^2</f>
        <v>1.4844670553802195</v>
      </c>
      <c r="Y419" s="31">
        <f>Settings!$B$21*(Q419-I$6)^2</f>
        <v>3.2227045175892161E-3</v>
      </c>
      <c r="Z419" s="31">
        <f>Settings!$B$22*(R419-J$6)^2</f>
        <v>0.76486495192444648</v>
      </c>
      <c r="AA419" s="31">
        <f>Settings!$B$23*(S419-K$6)^2</f>
        <v>7.70279012172265</v>
      </c>
      <c r="AB419" s="31">
        <f>Settings!$B$24*(T419-L$6)^2</f>
        <v>7.6108951692450804</v>
      </c>
      <c r="AC419" s="31">
        <f>Settings!$B$25*(U419-M$6)^2</f>
        <v>0.37923673105858963</v>
      </c>
      <c r="AD419" s="19">
        <f t="shared" si="24"/>
        <v>4.3642862260133599</v>
      </c>
      <c r="AE419" s="15">
        <f t="shared" si="25"/>
        <v>1.7274636109849313</v>
      </c>
      <c r="AF419" s="33">
        <f t="shared" si="26"/>
        <v>0.22490768190067595</v>
      </c>
      <c r="AG419" s="47">
        <f t="shared" si="27"/>
        <v>9.7101639801129439E-4</v>
      </c>
      <c r="AH419" s="18">
        <v>0.63841291708897185</v>
      </c>
      <c r="AI419" s="46">
        <v>1</v>
      </c>
      <c r="AJ419" s="48"/>
      <c r="AK419" s="48"/>
      <c r="AL419" s="48"/>
      <c r="AM419" s="48"/>
      <c r="AN419" s="48"/>
      <c r="AO419" s="48"/>
      <c r="AP419" s="48"/>
      <c r="AQ419" s="48"/>
    </row>
    <row r="420" spans="1:43" ht="20" customHeight="1" x14ac:dyDescent="0.45">
      <c r="A420" s="26">
        <v>410</v>
      </c>
      <c r="B420" s="16" t="s">
        <v>636</v>
      </c>
      <c r="C420" s="16" t="s">
        <v>216</v>
      </c>
      <c r="D420" s="46">
        <v>26</v>
      </c>
      <c r="E420" s="46">
        <v>1</v>
      </c>
      <c r="F420" s="13">
        <v>0.209903348022425</v>
      </c>
      <c r="G420" s="13">
        <v>0.1187534984798936</v>
      </c>
      <c r="H420" s="13">
        <v>4.9491278408738279E-2</v>
      </c>
      <c r="I420" s="13">
        <v>0.103129881755882</v>
      </c>
      <c r="J420" s="13">
        <v>-0.51872199333306124</v>
      </c>
      <c r="K420" s="13">
        <v>10.98213058419244</v>
      </c>
      <c r="L420" s="13">
        <v>6.5899690342702627E-2</v>
      </c>
      <c r="M420" s="13">
        <v>-0.98158479354752126</v>
      </c>
      <c r="N420" s="19">
        <f>(F420-Settings!$D$18)/Settings!$E$18</f>
        <v>6.2920929675177859E-2</v>
      </c>
      <c r="O420" s="19">
        <f>(G420-Settings!$D$19)/Settings!$E$19</f>
        <v>0.52241319734939795</v>
      </c>
      <c r="P420" s="19">
        <f>(H420-Settings!$D$20)/Settings!$E$20</f>
        <v>-3.2942111309500283E-2</v>
      </c>
      <c r="Q420" s="19">
        <f>(I420-Settings!$D$21)/Settings!$E$21</f>
        <v>1.3044289974572147</v>
      </c>
      <c r="R420" s="19">
        <f>(J420-Settings!$D$22)/Settings!$E$22</f>
        <v>-2.0625282516896726</v>
      </c>
      <c r="S420" s="19">
        <f>(K420-Settings!$D$23)/Settings!$E$23</f>
        <v>-1.4839427523624991</v>
      </c>
      <c r="T420" s="19">
        <f>(L420-Settings!$D$24)/Settings!$E$24</f>
        <v>-0.85891711130320925</v>
      </c>
      <c r="U420" s="19">
        <f>(M420-Settings!$D$25)/Settings!$E$25</f>
        <v>-0.62602145915689889</v>
      </c>
      <c r="V420" s="31">
        <f>Settings!$B$18*(N420-F$6)^2</f>
        <v>5.2365644904039341E-5</v>
      </c>
      <c r="W420" s="31">
        <f>Settings!$B$19*(O420-G$6)^2</f>
        <v>6.7487284024537314E-5</v>
      </c>
      <c r="X420" s="31">
        <f>Settings!$B$20*(P420-H$6)^2</f>
        <v>1.0529241514341714</v>
      </c>
      <c r="Y420" s="31">
        <f>Settings!$B$21*(Q420-I$6)^2</f>
        <v>0.93671979281718853</v>
      </c>
      <c r="Z420" s="31">
        <f>Settings!$B$22*(R420-J$6)^2</f>
        <v>0.98159496961177628</v>
      </c>
      <c r="AA420" s="31">
        <f>Settings!$B$23*(S420-K$6)^2</f>
        <v>10.315557633509307</v>
      </c>
      <c r="AB420" s="31">
        <f>Settings!$B$24*(T420-L$6)^2</f>
        <v>5.6888591997554805</v>
      </c>
      <c r="AC420" s="31">
        <f>Settings!$B$25*(U420-M$6)^2</f>
        <v>0.19721287576341628</v>
      </c>
      <c r="AD420" s="19">
        <f t="shared" si="24"/>
        <v>4.3786971208134808</v>
      </c>
      <c r="AE420" s="15">
        <f t="shared" si="25"/>
        <v>1.7331677044104628</v>
      </c>
      <c r="AF420" s="33">
        <f t="shared" si="26"/>
        <v>0.2226987882732436</v>
      </c>
      <c r="AG420" s="47">
        <f t="shared" si="27"/>
        <v>9.6147972093751314E-4</v>
      </c>
      <c r="AH420" s="18">
        <v>-0.55605002762157141</v>
      </c>
      <c r="AI420" s="46">
        <v>1</v>
      </c>
      <c r="AJ420" s="18">
        <v>0.56041745039046154</v>
      </c>
      <c r="AK420" s="46">
        <v>1</v>
      </c>
      <c r="AL420" s="48"/>
      <c r="AM420" s="48"/>
      <c r="AN420" s="48"/>
      <c r="AO420" s="48"/>
      <c r="AP420" s="48"/>
      <c r="AQ420" s="48"/>
    </row>
    <row r="421" spans="1:43" ht="20" customHeight="1" x14ac:dyDescent="0.45">
      <c r="A421" s="26">
        <v>411</v>
      </c>
      <c r="B421" s="16" t="s">
        <v>637</v>
      </c>
      <c r="C421" s="16" t="s">
        <v>246</v>
      </c>
      <c r="D421" s="46">
        <v>26</v>
      </c>
      <c r="E421" s="46">
        <v>1</v>
      </c>
      <c r="F421" s="13">
        <v>0.26910887168201908</v>
      </c>
      <c r="G421" s="13">
        <v>4.6536575355451922E-2</v>
      </c>
      <c r="H421" s="13">
        <v>-6.3041975215370541E-2</v>
      </c>
      <c r="I421" s="13">
        <v>-5.8055781349783259E-3</v>
      </c>
      <c r="J421" s="13">
        <v>-0.61550699961218025</v>
      </c>
      <c r="K421" s="13">
        <v>13.78464052287579</v>
      </c>
      <c r="L421" s="13">
        <v>-0.57615188921202098</v>
      </c>
      <c r="M421" s="13">
        <v>2.066894839808417</v>
      </c>
      <c r="N421" s="19">
        <f>(F421-Settings!$D$18)/Settings!$E$18</f>
        <v>0.27481380807833228</v>
      </c>
      <c r="O421" s="19">
        <f>(G421-Settings!$D$19)/Settings!$E$19</f>
        <v>0.2215482911118434</v>
      </c>
      <c r="P421" s="19">
        <f>(H421-Settings!$D$20)/Settings!$E$20</f>
        <v>-1.0525150290826821</v>
      </c>
      <c r="Q421" s="19">
        <f>(I421-Settings!$D$21)/Settings!$E$21</f>
        <v>-3.5183855390434837E-2</v>
      </c>
      <c r="R421" s="19">
        <f>(J421-Settings!$D$22)/Settings!$E$22</f>
        <v>-2.322932867778345</v>
      </c>
      <c r="S421" s="19">
        <f>(K421-Settings!$D$23)/Settings!$E$23</f>
        <v>-0.5106955118331804</v>
      </c>
      <c r="T421" s="19">
        <f>(L421-Settings!$D$24)/Settings!$E$24</f>
        <v>-1.3028024874323139</v>
      </c>
      <c r="U421" s="19">
        <f>(M421-Settings!$D$25)/Settings!$E$25</f>
        <v>1.4299071580285736</v>
      </c>
      <c r="V421" s="31">
        <f>Settings!$B$18*(N421-F$6)^2</f>
        <v>1.0403548565719687E-2</v>
      </c>
      <c r="W421" s="31">
        <f>Settings!$B$19*(O421-G$6)^2</f>
        <v>1.5960737399194742E-2</v>
      </c>
      <c r="X421" s="31">
        <f>Settings!$B$20*(P421-H$6)^2</f>
        <v>2.1965842315063551</v>
      </c>
      <c r="Y421" s="31">
        <f>Settings!$B$21*(Q421-I$6)^2</f>
        <v>0.13597639651488155</v>
      </c>
      <c r="Z421" s="31">
        <f>Settings!$B$22*(R421-J$6)^2</f>
        <v>1.2259167124981714</v>
      </c>
      <c r="AA421" s="31">
        <f>Settings!$B$23*(S421-K$6)^2</f>
        <v>5.0110476395583063</v>
      </c>
      <c r="AB421" s="31">
        <f>Settings!$B$24*(T421-L$6)^2</f>
        <v>8.0033447021230497</v>
      </c>
      <c r="AC421" s="31">
        <f>Settings!$B$25*(U421-M$6)^2</f>
        <v>2.5980348064566487</v>
      </c>
      <c r="AD421" s="19">
        <f t="shared" si="24"/>
        <v>4.3814687919260962</v>
      </c>
      <c r="AE421" s="15">
        <f t="shared" si="25"/>
        <v>1.7342647820861026</v>
      </c>
      <c r="AF421" s="33">
        <f t="shared" si="26"/>
        <v>0.22227561298702958</v>
      </c>
      <c r="AG421" s="47">
        <f t="shared" si="27"/>
        <v>9.5965270400917005E-4</v>
      </c>
      <c r="AH421" s="18">
        <v>1.1760058360358281</v>
      </c>
      <c r="AI421" s="46">
        <v>1</v>
      </c>
      <c r="AJ421" s="48"/>
      <c r="AK421" s="48"/>
      <c r="AL421" s="48"/>
      <c r="AM421" s="48"/>
      <c r="AN421" s="48"/>
      <c r="AO421" s="48"/>
      <c r="AP421" s="48"/>
      <c r="AQ421" s="48"/>
    </row>
    <row r="422" spans="1:43" ht="20" customHeight="1" x14ac:dyDescent="0.45">
      <c r="A422" s="26">
        <v>412</v>
      </c>
      <c r="B422" s="16" t="s">
        <v>638</v>
      </c>
      <c r="C422" s="16" t="s">
        <v>229</v>
      </c>
      <c r="D422" s="46">
        <v>26</v>
      </c>
      <c r="E422" s="46">
        <v>1</v>
      </c>
      <c r="F422" s="13">
        <v>-0.38086810260805598</v>
      </c>
      <c r="G422" s="13">
        <v>0.149556026884888</v>
      </c>
      <c r="H422" s="13">
        <v>-1.3384913830475249E-3</v>
      </c>
      <c r="I422" s="13">
        <v>-1.287281069493498E-5</v>
      </c>
      <c r="J422" s="13">
        <v>0.46822450631331358</v>
      </c>
      <c r="K422" s="13">
        <v>10.65089743589744</v>
      </c>
      <c r="L422" s="13">
        <v>0.1022375266391491</v>
      </c>
      <c r="M422" s="13">
        <v>-0.42958978773922402</v>
      </c>
      <c r="N422" s="19">
        <f>(F422-Settings!$D$18)/Settings!$E$18</f>
        <v>-2.0514132644150811</v>
      </c>
      <c r="O422" s="19">
        <f>(G422-Settings!$D$19)/Settings!$E$19</f>
        <v>0.65074045666061242</v>
      </c>
      <c r="P422" s="19">
        <f>(H422-Settings!$D$20)/Settings!$E$20</f>
        <v>-0.49346960009480112</v>
      </c>
      <c r="Q422" s="19">
        <f>(I422-Settings!$D$21)/Settings!$E$21</f>
        <v>3.6050823500566972E-2</v>
      </c>
      <c r="R422" s="19">
        <f>(J422-Settings!$D$22)/Settings!$E$22</f>
        <v>0.59289777162734036</v>
      </c>
      <c r="S422" s="19">
        <f>(K422-Settings!$D$23)/Settings!$E$23</f>
        <v>-1.598972405995557</v>
      </c>
      <c r="T422" s="19">
        <f>(L422-Settings!$D$24)/Settings!$E$24</f>
        <v>-0.8337947774506046</v>
      </c>
      <c r="U422" s="19">
        <f>(M422-Settings!$D$25)/Settings!$E$25</f>
        <v>-0.2537498793939012</v>
      </c>
      <c r="V422" s="31">
        <f>Settings!$B$18*(N422-F$6)^2</f>
        <v>0.88044927535318485</v>
      </c>
      <c r="W422" s="31">
        <f>Settings!$B$19*(O422-G$6)^2</f>
        <v>4.3039844682300271E-3</v>
      </c>
      <c r="X422" s="31">
        <f>Settings!$B$20*(P422-H$6)^2</f>
        <v>1.5180089989580292</v>
      </c>
      <c r="Y422" s="31">
        <f>Settings!$B$21*(Q422-I$6)^2</f>
        <v>0.16048588176285983</v>
      </c>
      <c r="Z422" s="31">
        <f>Settings!$B$22*(R422-J$6)^2</f>
        <v>3.87254665714621E-2</v>
      </c>
      <c r="AA422" s="31">
        <f>Settings!$B$23*(S422-K$6)^2</f>
        <v>11.067690298786609</v>
      </c>
      <c r="AB422" s="31">
        <f>Settings!$B$24*(T422-L$6)^2</f>
        <v>5.5696501187967513</v>
      </c>
      <c r="AC422" s="31">
        <f>Settings!$B$25*(U422-M$6)^2</f>
        <v>5.1573918700922481E-3</v>
      </c>
      <c r="AD422" s="19">
        <f t="shared" si="24"/>
        <v>4.3868521078977825</v>
      </c>
      <c r="AE422" s="15">
        <f t="shared" si="25"/>
        <v>1.7363955961450184</v>
      </c>
      <c r="AF422" s="33">
        <f t="shared" si="26"/>
        <v>0.22145522970470838</v>
      </c>
      <c r="AG422" s="47">
        <f t="shared" si="27"/>
        <v>9.561107813275783E-4</v>
      </c>
      <c r="AH422" s="48"/>
      <c r="AI422" s="48"/>
      <c r="AJ422" s="48"/>
      <c r="AK422" s="48"/>
      <c r="AL422" s="48"/>
      <c r="AM422" s="48"/>
      <c r="AN422" s="48"/>
      <c r="AO422" s="48"/>
      <c r="AP422" s="48"/>
      <c r="AQ422" s="48"/>
    </row>
    <row r="423" spans="1:43" ht="20" customHeight="1" x14ac:dyDescent="0.45">
      <c r="A423" s="26">
        <v>413</v>
      </c>
      <c r="B423" s="16" t="s">
        <v>639</v>
      </c>
      <c r="C423" s="16" t="s">
        <v>224</v>
      </c>
      <c r="D423" s="46">
        <v>26</v>
      </c>
      <c r="E423" s="46">
        <v>0</v>
      </c>
      <c r="F423" s="13">
        <v>0.18998958244201239</v>
      </c>
      <c r="G423" s="13">
        <v>-7.7134008613607016E-2</v>
      </c>
      <c r="H423" s="13">
        <v>-2.5967570441818169E-3</v>
      </c>
      <c r="I423" s="13">
        <v>-8.5699362436677713E-6</v>
      </c>
      <c r="J423" s="13">
        <v>0.73027108196395507</v>
      </c>
      <c r="K423" s="13">
        <v>9.6198412698412685</v>
      </c>
      <c r="L423" s="13">
        <v>1.2066283980290891</v>
      </c>
      <c r="M423" s="13">
        <v>1.1941345444103539</v>
      </c>
      <c r="N423" s="19">
        <f>(F423-Settings!$D$18)/Settings!$E$18</f>
        <v>-8.3491959458716677E-3</v>
      </c>
      <c r="O423" s="19">
        <f>(G423-Settings!$D$19)/Settings!$E$19</f>
        <v>-0.29367912429712917</v>
      </c>
      <c r="P423" s="19">
        <f>(H423-Settings!$D$20)/Settings!$E$20</f>
        <v>-0.504869728946862</v>
      </c>
      <c r="Q423" s="19">
        <f>(I423-Settings!$D$21)/Settings!$E$21</f>
        <v>3.6103737271022271E-2</v>
      </c>
      <c r="R423" s="19">
        <f>(J423-Settings!$D$22)/Settings!$E$22</f>
        <v>1.2979464207214368</v>
      </c>
      <c r="S423" s="19">
        <f>(K423-Settings!$D$23)/Settings!$E$23</f>
        <v>-1.9570344969069453</v>
      </c>
      <c r="T423" s="19">
        <f>(L423-Settings!$D$24)/Settings!$E$24</f>
        <v>-7.0268959664355882E-2</v>
      </c>
      <c r="U423" s="19">
        <f>(M423-Settings!$D$25)/Settings!$E$25</f>
        <v>0.84130789444195042</v>
      </c>
      <c r="V423" s="31">
        <f>Settings!$B$18*(N423-F$6)^2</f>
        <v>6.0695999399853844E-4</v>
      </c>
      <c r="W423" s="31">
        <f>Settings!$B$19*(O423-G$6)^2</f>
        <v>0.12727235836225123</v>
      </c>
      <c r="X423" s="31">
        <f>Settings!$B$20*(P423-H$6)^2</f>
        <v>1.5305979500881579</v>
      </c>
      <c r="Y423" s="31">
        <f>Settings!$B$21*(Q423-I$6)^2</f>
        <v>0.16050484205154375</v>
      </c>
      <c r="Z423" s="31">
        <f>Settings!$B$22*(R423-J$6)^2</f>
        <v>0.26224150756353731</v>
      </c>
      <c r="AA423" s="31">
        <f>Settings!$B$23*(S423-K$6)^2</f>
        <v>13.578310596050505</v>
      </c>
      <c r="AB423" s="31">
        <f>Settings!$B$24*(T423-L$6)^2</f>
        <v>2.5487637184797887</v>
      </c>
      <c r="AC423" s="31">
        <f>Settings!$B$25*(U423-M$6)^2</f>
        <v>1.0470258077607606</v>
      </c>
      <c r="AD423" s="19">
        <f t="shared" si="24"/>
        <v>4.3880888482744442</v>
      </c>
      <c r="AE423" s="15">
        <f t="shared" si="25"/>
        <v>1.7368851204076996</v>
      </c>
      <c r="AF423" s="33">
        <f t="shared" si="26"/>
        <v>0.22126704450582985</v>
      </c>
      <c r="AG423" s="47">
        <f t="shared" si="27"/>
        <v>9.5529831057322332E-4</v>
      </c>
      <c r="AH423" s="18">
        <v>-0.80002230901423754</v>
      </c>
      <c r="AI423" s="46">
        <v>0</v>
      </c>
      <c r="AJ423" s="48"/>
      <c r="AK423" s="48"/>
      <c r="AL423" s="48"/>
      <c r="AM423" s="48"/>
      <c r="AN423" s="48"/>
      <c r="AO423" s="48"/>
      <c r="AP423" s="48"/>
      <c r="AQ423" s="48"/>
    </row>
    <row r="424" spans="1:43" ht="20" customHeight="1" x14ac:dyDescent="0.45">
      <c r="A424" s="26">
        <v>414</v>
      </c>
      <c r="B424" s="16" t="s">
        <v>640</v>
      </c>
      <c r="C424" s="16" t="s">
        <v>260</v>
      </c>
      <c r="D424" s="46">
        <v>26</v>
      </c>
      <c r="E424" s="46">
        <v>1</v>
      </c>
      <c r="F424" s="13">
        <v>0.42974525308011541</v>
      </c>
      <c r="G424" s="13">
        <v>-0.30018269361707622</v>
      </c>
      <c r="H424" s="13">
        <v>-0.11992490791893951</v>
      </c>
      <c r="I424" s="13">
        <v>-5.4054121709084203E-3</v>
      </c>
      <c r="J424" s="13">
        <v>0.14474173321296049</v>
      </c>
      <c r="K424" s="13">
        <v>15.916880341880351</v>
      </c>
      <c r="L424" s="13">
        <v>-0.46737649896809608</v>
      </c>
      <c r="M424" s="13">
        <v>3.1902245791352128</v>
      </c>
      <c r="N424" s="19">
        <f>(F424-Settings!$D$18)/Settings!$E$18</f>
        <v>0.8497214032954864</v>
      </c>
      <c r="O424" s="19">
        <f>(G424-Settings!$D$19)/Settings!$E$19</f>
        <v>-1.222928374979567</v>
      </c>
      <c r="P424" s="19">
        <f>(H424-Settings!$D$20)/Settings!$E$20</f>
        <v>-1.5678853378608903</v>
      </c>
      <c r="Q424" s="19">
        <f>(I424-Settings!$D$21)/Settings!$E$21</f>
        <v>-3.0262891461175362E-2</v>
      </c>
      <c r="R424" s="19">
        <f>(J424-Settings!$D$22)/Settings!$E$22</f>
        <v>-0.2774478591573134</v>
      </c>
      <c r="S424" s="19">
        <f>(K424-Settings!$D$23)/Settings!$E$23</f>
        <v>0.22978233316881536</v>
      </c>
      <c r="T424" s="19">
        <f>(L424-Settings!$D$24)/Settings!$E$24</f>
        <v>-1.2276001103187797</v>
      </c>
      <c r="U424" s="19">
        <f>(M424-Settings!$D$25)/Settings!$E$25</f>
        <v>2.1874932453185991</v>
      </c>
      <c r="V424" s="31">
        <f>Settings!$B$18*(N424-F$6)^2</f>
        <v>0.12895588377078712</v>
      </c>
      <c r="W424" s="31">
        <f>Settings!$B$19*(O424-G$6)^2</f>
        <v>0.59648654739678875</v>
      </c>
      <c r="X424" s="31">
        <f>Settings!$B$20*(P424-H$6)^2</f>
        <v>2.932890537031021</v>
      </c>
      <c r="Y424" s="31">
        <f>Settings!$B$21*(Q424-I$6)^2</f>
        <v>0.13760427115591645</v>
      </c>
      <c r="Z424" s="31">
        <f>Settings!$B$22*(R424-J$6)^2</f>
        <v>3.7034126143391397E-2</v>
      </c>
      <c r="AA424" s="31">
        <f>Settings!$B$23*(S424-K$6)^2</f>
        <v>2.2441810573353016</v>
      </c>
      <c r="AB424" s="31">
        <f>Settings!$B$24*(T424-L$6)^2</f>
        <v>7.5835022932676797</v>
      </c>
      <c r="AC424" s="31">
        <f>Settings!$B$25*(U424-M$6)^2</f>
        <v>5.6141897158752512</v>
      </c>
      <c r="AD424" s="19">
        <f t="shared" si="24"/>
        <v>4.3903125665465028</v>
      </c>
      <c r="AE424" s="15">
        <f t="shared" si="25"/>
        <v>1.7377653084148854</v>
      </c>
      <c r="AF424" s="33">
        <f t="shared" si="26"/>
        <v>0.22092894752602318</v>
      </c>
      <c r="AG424" s="47">
        <f t="shared" si="27"/>
        <v>9.5383861071443707E-4</v>
      </c>
      <c r="AH424" s="18">
        <v>1.0561674614841541</v>
      </c>
      <c r="AI424" s="46">
        <v>1</v>
      </c>
      <c r="AJ424" s="18">
        <v>-0.21325237109047271</v>
      </c>
      <c r="AK424" s="46">
        <v>1</v>
      </c>
      <c r="AL424" s="18">
        <v>-1.1046944749550649</v>
      </c>
      <c r="AM424" s="46">
        <v>1</v>
      </c>
      <c r="AN424" s="18">
        <v>-0.49408040945489679</v>
      </c>
      <c r="AO424" s="46">
        <v>1</v>
      </c>
      <c r="AP424" s="18">
        <v>1.2198984540040341</v>
      </c>
      <c r="AQ424" s="46">
        <v>1</v>
      </c>
    </row>
    <row r="425" spans="1:43" ht="20" customHeight="1" x14ac:dyDescent="0.45">
      <c r="A425" s="26">
        <v>415</v>
      </c>
      <c r="B425" s="16" t="s">
        <v>641</v>
      </c>
      <c r="C425" s="16" t="s">
        <v>216</v>
      </c>
      <c r="D425" s="46">
        <v>26</v>
      </c>
      <c r="E425" s="46">
        <v>1</v>
      </c>
      <c r="F425" s="13">
        <v>3.5212554358728318E-2</v>
      </c>
      <c r="G425" s="13">
        <v>-0.1610549174723683</v>
      </c>
      <c r="H425" s="13">
        <v>-1.229100916120123E-3</v>
      </c>
      <c r="I425" s="13">
        <v>-7.9935744633169744E-6</v>
      </c>
      <c r="J425" s="13">
        <v>0.80249543367831988</v>
      </c>
      <c r="K425" s="13">
        <v>9.0960317460317377</v>
      </c>
      <c r="L425" s="13">
        <v>1.479500889675448</v>
      </c>
      <c r="M425" s="13">
        <v>-0.3032091078043635</v>
      </c>
      <c r="N425" s="19">
        <f>(F425-Settings!$D$18)/Settings!$E$18</f>
        <v>-0.56228653091171821</v>
      </c>
      <c r="O425" s="19">
        <f>(G425-Settings!$D$19)/Settings!$E$19</f>
        <v>-0.64330432685046479</v>
      </c>
      <c r="P425" s="19">
        <f>(H425-Settings!$D$20)/Settings!$E$20</f>
        <v>-0.49247850142885224</v>
      </c>
      <c r="Q425" s="19">
        <f>(I425-Settings!$D$21)/Settings!$E$21</f>
        <v>3.6110824969092493E-2</v>
      </c>
      <c r="R425" s="19">
        <f>(J425-Settings!$D$22)/Settings!$E$22</f>
        <v>1.4922694393736562</v>
      </c>
      <c r="S425" s="19">
        <f>(K425-Settings!$D$23)/Settings!$E$23</f>
        <v>-2.1389414962627122</v>
      </c>
      <c r="T425" s="19">
        <f>(L425-Settings!$D$24)/Settings!$E$24</f>
        <v>0.11838271949471126</v>
      </c>
      <c r="U425" s="19">
        <f>(M425-Settings!$D$25)/Settings!$E$25</f>
        <v>-0.1685173412806639</v>
      </c>
      <c r="V425" s="31">
        <f>Settings!$B$18*(N425-F$6)^2</f>
        <v>7.418261986683819E-2</v>
      </c>
      <c r="W425" s="31">
        <f>Settings!$B$19*(O425-G$6)^2</f>
        <v>0.26328152408656652</v>
      </c>
      <c r="X425" s="31">
        <f>Settings!$B$20*(P425-H$6)^2</f>
        <v>1.5169170032448609</v>
      </c>
      <c r="Y425" s="31">
        <f>Settings!$B$21*(Q425-I$6)^2</f>
        <v>0.16050738183090388</v>
      </c>
      <c r="Z425" s="31">
        <f>Settings!$B$22*(R425-J$6)^2</f>
        <v>0.35879993286644257</v>
      </c>
      <c r="AA425" s="31">
        <f>Settings!$B$23*(S425-K$6)^2</f>
        <v>14.952010198157032</v>
      </c>
      <c r="AB425" s="31">
        <f>Settings!$B$24*(T425-L$6)^2</f>
        <v>1.9819940977670079</v>
      </c>
      <c r="AC425" s="31">
        <f>Settings!$B$25*(U425-M$6)^2</f>
        <v>1.8003076899911362E-4</v>
      </c>
      <c r="AD425" s="19">
        <f t="shared" si="24"/>
        <v>4.3940724605528123</v>
      </c>
      <c r="AE425" s="15">
        <f t="shared" si="25"/>
        <v>1.7392535426279272</v>
      </c>
      <c r="AF425" s="33">
        <f t="shared" si="26"/>
        <v>0.22035807485656667</v>
      </c>
      <c r="AG425" s="47">
        <f t="shared" si="27"/>
        <v>9.5137392512195673E-4</v>
      </c>
      <c r="AH425" s="48"/>
      <c r="AI425" s="48"/>
      <c r="AJ425" s="48"/>
      <c r="AK425" s="48"/>
      <c r="AL425" s="48"/>
      <c r="AM425" s="48"/>
      <c r="AN425" s="48"/>
      <c r="AO425" s="48"/>
      <c r="AP425" s="48"/>
      <c r="AQ425" s="48"/>
    </row>
    <row r="426" spans="1:43" ht="20" customHeight="1" x14ac:dyDescent="0.45">
      <c r="A426" s="26">
        <v>416</v>
      </c>
      <c r="B426" s="16" t="s">
        <v>642</v>
      </c>
      <c r="C426" s="16" t="s">
        <v>271</v>
      </c>
      <c r="D426" s="46">
        <v>26</v>
      </c>
      <c r="E426" s="46">
        <v>1</v>
      </c>
      <c r="F426" s="13">
        <v>-0.16137220221440959</v>
      </c>
      <c r="G426" s="13">
        <v>-0.11633492718262731</v>
      </c>
      <c r="H426" s="13">
        <v>-1.3772878069784481E-3</v>
      </c>
      <c r="I426" s="13">
        <v>-1.3795379689650829E-2</v>
      </c>
      <c r="J426" s="13">
        <v>-0.70712020310633383</v>
      </c>
      <c r="K426" s="13">
        <v>13.560459770114919</v>
      </c>
      <c r="L426" s="13">
        <v>-0.69714144767930675</v>
      </c>
      <c r="M426" s="13">
        <v>-2.3544805225356522</v>
      </c>
      <c r="N426" s="19">
        <f>(F426-Settings!$D$18)/Settings!$E$18</f>
        <v>-1.2658511199180276</v>
      </c>
      <c r="O426" s="19">
        <f>(G426-Settings!$D$19)/Settings!$E$19</f>
        <v>-0.45699514745933156</v>
      </c>
      <c r="P426" s="19">
        <f>(H426-Settings!$D$20)/Settings!$E$20</f>
        <v>-0.49382110315609662</v>
      </c>
      <c r="Q426" s="19">
        <f>(I426-Settings!$D$21)/Settings!$E$21</f>
        <v>-0.13343690233276861</v>
      </c>
      <c r="R426" s="19">
        <f>(J426-Settings!$D$22)/Settings!$E$22</f>
        <v>-2.5694225049825676</v>
      </c>
      <c r="S426" s="19">
        <f>(K426-Settings!$D$23)/Settings!$E$23</f>
        <v>-0.58854833083399649</v>
      </c>
      <c r="T426" s="19">
        <f>(L426-Settings!$D$24)/Settings!$E$24</f>
        <v>-1.386449187133904</v>
      </c>
      <c r="U426" s="19">
        <f>(M426-Settings!$D$25)/Settings!$E$25</f>
        <v>-1.5519176294164192</v>
      </c>
      <c r="V426" s="31">
        <f>Settings!$B$18*(N426-F$6)^2</f>
        <v>0.34457899650297458</v>
      </c>
      <c r="W426" s="31">
        <f>Settings!$B$19*(O426-G$6)^2</f>
        <v>0.18471915432544014</v>
      </c>
      <c r="X426" s="31">
        <f>Settings!$B$20*(P426-H$6)^2</f>
        <v>1.5183963805526732</v>
      </c>
      <c r="Y426" s="31">
        <f>Settings!$B$21*(Q426-I$6)^2</f>
        <v>0.10550132597626494</v>
      </c>
      <c r="Z426" s="31">
        <f>Settings!$B$22*(R426-J$6)^2</f>
        <v>1.4821717168968751</v>
      </c>
      <c r="AA426" s="31">
        <f>Settings!$B$23*(S426-K$6)^2</f>
        <v>5.3656615236893517</v>
      </c>
      <c r="AB426" s="31">
        <f>Settings!$B$24*(T426-L$6)^2</f>
        <v>8.4836175656170845</v>
      </c>
      <c r="AC426" s="31">
        <f>Settings!$B$25*(U426-M$6)^2</f>
        <v>1.8768526904357306</v>
      </c>
      <c r="AD426" s="19">
        <f t="shared" si="24"/>
        <v>4.4001703778372487</v>
      </c>
      <c r="AE426" s="15">
        <f t="shared" si="25"/>
        <v>1.7416672088418599</v>
      </c>
      <c r="AF426" s="33">
        <f t="shared" si="26"/>
        <v>0.21943431639663133</v>
      </c>
      <c r="AG426" s="47">
        <f t="shared" si="27"/>
        <v>9.4738569046132377E-4</v>
      </c>
      <c r="AH426" s="18">
        <v>-0.50757986567211955</v>
      </c>
      <c r="AI426" s="46">
        <v>1</v>
      </c>
      <c r="AJ426" s="18">
        <v>1.2148625194141529</v>
      </c>
      <c r="AK426" s="46">
        <v>1</v>
      </c>
      <c r="AL426" s="48"/>
      <c r="AM426" s="48"/>
      <c r="AN426" s="48"/>
      <c r="AO426" s="48"/>
      <c r="AP426" s="48"/>
      <c r="AQ426" s="48"/>
    </row>
    <row r="427" spans="1:43" ht="20" customHeight="1" x14ac:dyDescent="0.45">
      <c r="A427" s="26">
        <v>417</v>
      </c>
      <c r="B427" s="16" t="s">
        <v>643</v>
      </c>
      <c r="C427" s="16" t="s">
        <v>214</v>
      </c>
      <c r="D427" s="46">
        <v>26</v>
      </c>
      <c r="E427" s="46">
        <v>1</v>
      </c>
      <c r="F427" s="13">
        <v>-0.35293710242348009</v>
      </c>
      <c r="G427" s="13">
        <v>0.2533767563838345</v>
      </c>
      <c r="H427" s="13">
        <v>2.9665790804181592E-4</v>
      </c>
      <c r="I427" s="13">
        <v>4.5254302671850967E-2</v>
      </c>
      <c r="J427" s="13">
        <v>-0.34813518061279258</v>
      </c>
      <c r="K427" s="13">
        <v>12.06275862068965</v>
      </c>
      <c r="L427" s="13">
        <v>-0.54638020327043735</v>
      </c>
      <c r="M427" s="13">
        <v>-0.78968777159372472</v>
      </c>
      <c r="N427" s="19">
        <f>(F427-Settings!$D$18)/Settings!$E$18</f>
        <v>-1.9514499559268916</v>
      </c>
      <c r="O427" s="19">
        <f>(G427-Settings!$D$19)/Settings!$E$19</f>
        <v>1.0832708483582794</v>
      </c>
      <c r="P427" s="19">
        <f>(H427-Settings!$D$20)/Settings!$E$20</f>
        <v>-0.47865483308131507</v>
      </c>
      <c r="Q427" s="19">
        <f>(I427-Settings!$D$21)/Settings!$E$21</f>
        <v>0.59271520210862227</v>
      </c>
      <c r="R427" s="19">
        <f>(J427-Settings!$D$22)/Settings!$E$22</f>
        <v>-1.6035564007388752</v>
      </c>
      <c r="S427" s="19">
        <f>(K427-Settings!$D$23)/Settings!$E$23</f>
        <v>-1.1086654910609268</v>
      </c>
      <c r="T427" s="19">
        <f>(L427-Settings!$D$24)/Settings!$E$24</f>
        <v>-1.2822196924778297</v>
      </c>
      <c r="U427" s="19">
        <f>(M427-Settings!$D$25)/Settings!$E$25</f>
        <v>-0.49660397029765335</v>
      </c>
      <c r="V427" s="31">
        <f>Settings!$B$18*(N427-F$6)^2</f>
        <v>0.79855247824282294</v>
      </c>
      <c r="W427" s="31">
        <f>Settings!$B$19*(O427-G$6)^2</f>
        <v>6.7100805185844312E-2</v>
      </c>
      <c r="X427" s="31">
        <f>Settings!$B$20*(P427-H$6)^2</f>
        <v>1.5017269996694742</v>
      </c>
      <c r="Y427" s="31">
        <f>Settings!$B$21*(Q427-I$6)^2</f>
        <v>0.4219213992954256</v>
      </c>
      <c r="Z427" s="31">
        <f>Settings!$B$22*(R427-J$6)^2</f>
        <v>0.61700443065524879</v>
      </c>
      <c r="AA427" s="31">
        <f>Settings!$B$23*(S427-K$6)^2</f>
        <v>8.0457715127278728</v>
      </c>
      <c r="AB427" s="31">
        <f>Settings!$B$24*(T427-L$6)^2</f>
        <v>7.8873101452215026</v>
      </c>
      <c r="AC427" s="31">
        <f>Settings!$B$25*(U427-M$6)^2</f>
        <v>9.9016626451781983E-2</v>
      </c>
      <c r="AD427" s="19">
        <f t="shared" si="24"/>
        <v>4.4089005882929557</v>
      </c>
      <c r="AE427" s="15">
        <f t="shared" si="25"/>
        <v>1.7451227844153827</v>
      </c>
      <c r="AF427" s="33">
        <f t="shared" si="26"/>
        <v>0.21811632309085249</v>
      </c>
      <c r="AG427" s="47">
        <f t="shared" si="27"/>
        <v>9.4169538632602292E-4</v>
      </c>
      <c r="AH427" s="48"/>
      <c r="AI427" s="48"/>
      <c r="AJ427" s="48"/>
      <c r="AK427" s="48"/>
      <c r="AL427" s="48"/>
      <c r="AM427" s="48"/>
      <c r="AN427" s="48"/>
      <c r="AO427" s="48"/>
      <c r="AP427" s="48"/>
      <c r="AQ427" s="48"/>
    </row>
    <row r="428" spans="1:43" ht="20" customHeight="1" x14ac:dyDescent="0.45">
      <c r="A428" s="26">
        <v>418</v>
      </c>
      <c r="B428" s="16" t="s">
        <v>644</v>
      </c>
      <c r="C428" s="16" t="s">
        <v>216</v>
      </c>
      <c r="D428" s="46">
        <v>26</v>
      </c>
      <c r="E428" s="46">
        <v>1</v>
      </c>
      <c r="F428" s="13">
        <v>0.33797360462422837</v>
      </c>
      <c r="G428" s="13">
        <v>0.18083498527631109</v>
      </c>
      <c r="H428" s="13">
        <v>2.0006163615560329E-4</v>
      </c>
      <c r="I428" s="13">
        <v>1.906771942675746E-2</v>
      </c>
      <c r="J428" s="13">
        <v>-0.46192362903654732</v>
      </c>
      <c r="K428" s="13">
        <v>11.37055555555556</v>
      </c>
      <c r="L428" s="13">
        <v>-0.25289631755380781</v>
      </c>
      <c r="M428" s="13">
        <v>0.77212654443767093</v>
      </c>
      <c r="N428" s="19">
        <f>(F428-Settings!$D$18)/Settings!$E$18</f>
        <v>0.52127639436481754</v>
      </c>
      <c r="O428" s="19">
        <f>(G428-Settings!$D$19)/Settings!$E$19</f>
        <v>0.78105258401928734</v>
      </c>
      <c r="P428" s="19">
        <f>(H428-Settings!$D$20)/Settings!$E$20</f>
        <v>-0.47953001387989047</v>
      </c>
      <c r="Q428" s="19">
        <f>(I428-Settings!$D$21)/Settings!$E$21</f>
        <v>0.27069073438766322</v>
      </c>
      <c r="R428" s="19">
        <f>(J428-Settings!$D$22)/Settings!$E$22</f>
        <v>-1.9097095784496907</v>
      </c>
      <c r="S428" s="19">
        <f>(K428-Settings!$D$23)/Settings!$E$23</f>
        <v>-1.3490516940601545</v>
      </c>
      <c r="T428" s="19">
        <f>(L428-Settings!$D$24)/Settings!$E$24</f>
        <v>-1.0793182291880665</v>
      </c>
      <c r="U428" s="19">
        <f>(M428-Settings!$D$25)/Settings!$E$25</f>
        <v>0.55670099914512272</v>
      </c>
      <c r="V428" s="31">
        <f>Settings!$B$18*(N428-F$6)^2</f>
        <v>4.5036991578735447E-2</v>
      </c>
      <c r="W428" s="31">
        <f>Settings!$B$19*(O428-G$6)^2</f>
        <v>1.5346778294737965E-2</v>
      </c>
      <c r="X428" s="31">
        <f>Settings!$B$20*(P428-H$6)^2</f>
        <v>1.5026864171282881</v>
      </c>
      <c r="Y428" s="31">
        <f>Settings!$B$21*(Q428-I$6)^2</f>
        <v>0.25557175323722758</v>
      </c>
      <c r="Z428" s="31">
        <f>Settings!$B$22*(R428-J$6)^2</f>
        <v>0.85084419132825717</v>
      </c>
      <c r="AA428" s="31">
        <f>Settings!$B$23*(S428-K$6)^2</f>
        <v>9.4672712963477306</v>
      </c>
      <c r="AB428" s="31">
        <f>Settings!$B$24*(T428-L$6)^2</f>
        <v>6.788807790466028</v>
      </c>
      <c r="AC428" s="31">
        <f>Settings!$B$25*(U428-M$6)^2</f>
        <v>0.54558298528595506</v>
      </c>
      <c r="AD428" s="19">
        <f t="shared" si="24"/>
        <v>4.4126124012501888</v>
      </c>
      <c r="AE428" s="15">
        <f t="shared" si="25"/>
        <v>1.7465919872775102</v>
      </c>
      <c r="AF428" s="33">
        <f t="shared" si="26"/>
        <v>0.21755756756582476</v>
      </c>
      <c r="AG428" s="47">
        <f t="shared" si="27"/>
        <v>9.3928301529140005E-4</v>
      </c>
      <c r="AH428" s="18">
        <v>0.8351521155677466</v>
      </c>
      <c r="AI428" s="46">
        <v>1</v>
      </c>
      <c r="AJ428" s="18">
        <v>0.41265938629143728</v>
      </c>
      <c r="AK428" s="46">
        <v>1</v>
      </c>
      <c r="AL428" s="48"/>
      <c r="AM428" s="48"/>
      <c r="AN428" s="48"/>
      <c r="AO428" s="48"/>
      <c r="AP428" s="48"/>
      <c r="AQ428" s="48"/>
    </row>
    <row r="429" spans="1:43" ht="20" customHeight="1" x14ac:dyDescent="0.45">
      <c r="A429" s="26">
        <v>419</v>
      </c>
      <c r="B429" s="16" t="s">
        <v>645</v>
      </c>
      <c r="C429" s="16" t="s">
        <v>236</v>
      </c>
      <c r="D429" s="46">
        <v>26</v>
      </c>
      <c r="E429" s="46">
        <v>0</v>
      </c>
      <c r="F429" s="13">
        <v>0.1331888458234427</v>
      </c>
      <c r="G429" s="13">
        <v>0.58728596654430731</v>
      </c>
      <c r="H429" s="13">
        <v>8.2439971318694748E-5</v>
      </c>
      <c r="I429" s="13">
        <v>6.218816057514532E-2</v>
      </c>
      <c r="J429" s="13">
        <v>-0.21725458708578599</v>
      </c>
      <c r="K429" s="13">
        <v>13.838398692810459</v>
      </c>
      <c r="L429" s="13">
        <v>-0.1956673166192183</v>
      </c>
      <c r="M429" s="13">
        <v>2.9447767505936371</v>
      </c>
      <c r="N429" s="19">
        <f>(F429-Settings!$D$18)/Settings!$E$18</f>
        <v>-0.21163549143965099</v>
      </c>
      <c r="O429" s="19">
        <f>(G429-Settings!$D$19)/Settings!$E$19</f>
        <v>2.4743791767160901</v>
      </c>
      <c r="P429" s="19">
        <f>(H429-Settings!$D$20)/Settings!$E$20</f>
        <v>-0.4805956887817438</v>
      </c>
      <c r="Q429" s="19">
        <f>(I429-Settings!$D$21)/Settings!$E$21</f>
        <v>0.80095606067089586</v>
      </c>
      <c r="R429" s="19">
        <f>(J429-Settings!$D$22)/Settings!$E$22</f>
        <v>-1.2514160019195724</v>
      </c>
      <c r="S429" s="19">
        <f>(K429-Settings!$D$23)/Settings!$E$23</f>
        <v>-0.49202653591889567</v>
      </c>
      <c r="T429" s="19">
        <f>(L429-Settings!$D$24)/Settings!$E$24</f>
        <v>-1.039752690508198</v>
      </c>
      <c r="U429" s="19">
        <f>(M429-Settings!$D$25)/Settings!$E$25</f>
        <v>2.0219604960743007</v>
      </c>
      <c r="V429" s="31">
        <f>Settings!$B$18*(N429-F$6)^2</f>
        <v>1.3351560586313108E-2</v>
      </c>
      <c r="W429" s="31">
        <f>Settings!$B$19*(O429-G$6)^2</f>
        <v>0.77644433498318688</v>
      </c>
      <c r="X429" s="31">
        <f>Settings!$B$20*(P429-H$6)^2</f>
        <v>1.5038550775227164</v>
      </c>
      <c r="Y429" s="31">
        <f>Settings!$B$21*(Q429-I$6)^2</f>
        <v>0.55157790946742036</v>
      </c>
      <c r="Z429" s="31">
        <f>Settings!$B$22*(R429-J$6)^2</f>
        <v>0.39440198849250646</v>
      </c>
      <c r="AA429" s="31">
        <f>Settings!$B$23*(S429-K$6)^2</f>
        <v>4.9278137857226358</v>
      </c>
      <c r="AB429" s="31">
        <f>Settings!$B$24*(T429-L$6)^2</f>
        <v>6.5841945042523262</v>
      </c>
      <c r="AC429" s="31">
        <f>Settings!$B$25*(U429-M$6)^2</f>
        <v>4.857154898278746</v>
      </c>
      <c r="AD429" s="19">
        <f t="shared" si="24"/>
        <v>4.4281818006158975</v>
      </c>
      <c r="AE429" s="15">
        <f t="shared" si="25"/>
        <v>1.7527546378133165</v>
      </c>
      <c r="AF429" s="33">
        <f t="shared" si="26"/>
        <v>0.21522432769197214</v>
      </c>
      <c r="AG429" s="47">
        <f t="shared" si="27"/>
        <v>9.2920948574870869E-4</v>
      </c>
      <c r="AH429" s="18">
        <v>1.0519392441116471</v>
      </c>
      <c r="AI429" s="46">
        <v>1</v>
      </c>
      <c r="AJ429" s="18">
        <v>0.35045453273524579</v>
      </c>
      <c r="AK429" s="46">
        <v>1</v>
      </c>
      <c r="AL429" s="18">
        <v>0.78036400380137971</v>
      </c>
      <c r="AM429" s="46">
        <v>1</v>
      </c>
      <c r="AN429" s="18">
        <v>-0.27926990356184728</v>
      </c>
      <c r="AO429" s="46">
        <v>1</v>
      </c>
      <c r="AP429" s="18">
        <v>-0.77081783694212058</v>
      </c>
      <c r="AQ429" s="46">
        <v>1</v>
      </c>
    </row>
    <row r="430" spans="1:43" ht="20" customHeight="1" x14ac:dyDescent="0.45">
      <c r="A430" s="26">
        <v>420</v>
      </c>
      <c r="B430" s="16" t="s">
        <v>646</v>
      </c>
      <c r="C430" s="16" t="s">
        <v>229</v>
      </c>
      <c r="D430" s="46">
        <v>26</v>
      </c>
      <c r="E430" s="46">
        <v>1</v>
      </c>
      <c r="F430" s="13">
        <v>0.34694318766683818</v>
      </c>
      <c r="G430" s="13">
        <v>0.30875713202766197</v>
      </c>
      <c r="H430" s="13">
        <v>9.9295712769906645E-5</v>
      </c>
      <c r="I430" s="13">
        <v>7.0057952130193734E-3</v>
      </c>
      <c r="J430" s="13">
        <v>0.33719458937971059</v>
      </c>
      <c r="K430" s="13">
        <v>10.37913385826772</v>
      </c>
      <c r="L430" s="13">
        <v>3.4796556363800517E-2</v>
      </c>
      <c r="M430" s="13">
        <v>-1.1999774175219109</v>
      </c>
      <c r="N430" s="19">
        <f>(F430-Settings!$D$18)/Settings!$E$18</f>
        <v>0.55337797292532964</v>
      </c>
      <c r="O430" s="19">
        <f>(G430-Settings!$D$19)/Settings!$E$19</f>
        <v>1.3139925518677089</v>
      </c>
      <c r="P430" s="19">
        <f>(H430-Settings!$D$20)/Settings!$E$20</f>
        <v>-0.48044297252286761</v>
      </c>
      <c r="Q430" s="19">
        <f>(I430-Settings!$D$21)/Settings!$E$21</f>
        <v>0.12236154274532367</v>
      </c>
      <c r="R430" s="19">
        <f>(J430-Settings!$D$22)/Settings!$E$22</f>
        <v>0.24035561115235649</v>
      </c>
      <c r="S430" s="19">
        <f>(K430-Settings!$D$23)/Settings!$E$23</f>
        <v>-1.69334964560983</v>
      </c>
      <c r="T430" s="19">
        <f>(L430-Settings!$D$24)/Settings!$E$24</f>
        <v>-0.8804204091139457</v>
      </c>
      <c r="U430" s="19">
        <f>(M430-Settings!$D$25)/Settings!$E$25</f>
        <v>-0.77330787711367222</v>
      </c>
      <c r="V430" s="31">
        <f>Settings!$B$18*(N430-F$6)^2</f>
        <v>5.1336443062630611E-2</v>
      </c>
      <c r="W430" s="31">
        <f>Settings!$B$19*(O430-G$6)^2</f>
        <v>0.13120341077910991</v>
      </c>
      <c r="X430" s="31">
        <f>Settings!$B$20*(P430-H$6)^2</f>
        <v>1.5036875750704435</v>
      </c>
      <c r="Y430" s="31">
        <f>Settings!$B$21*(Q430-I$6)^2</f>
        <v>0.19290210271176375</v>
      </c>
      <c r="Z430" s="31">
        <f>Settings!$B$22*(R430-J$6)^2</f>
        <v>1.5308614719365052E-3</v>
      </c>
      <c r="AA430" s="31">
        <f>Settings!$B$23*(S430-K$6)^2</f>
        <v>11.704548375230891</v>
      </c>
      <c r="AB430" s="31">
        <f>Settings!$B$24*(T430-L$6)^2</f>
        <v>5.7918980399517022</v>
      </c>
      <c r="AC430" s="31">
        <f>Settings!$B$25*(U430-M$6)^2</f>
        <v>0.34972200304017242</v>
      </c>
      <c r="AD430" s="19">
        <f t="shared" si="24"/>
        <v>4.4414894811671735</v>
      </c>
      <c r="AE430" s="15">
        <f t="shared" si="25"/>
        <v>1.7580220590383311</v>
      </c>
      <c r="AF430" s="33">
        <f t="shared" si="26"/>
        <v>0.21324345600759603</v>
      </c>
      <c r="AG430" s="47">
        <f t="shared" si="27"/>
        <v>9.2065727058366655E-4</v>
      </c>
      <c r="AH430" s="18">
        <v>0.2396324120853279</v>
      </c>
      <c r="AI430" s="46">
        <v>1</v>
      </c>
      <c r="AJ430" s="18">
        <v>-5.1827219423934923E-2</v>
      </c>
      <c r="AK430" s="46">
        <v>1</v>
      </c>
      <c r="AL430" s="48"/>
      <c r="AM430" s="48"/>
      <c r="AN430" s="48"/>
      <c r="AO430" s="48"/>
      <c r="AP430" s="48"/>
      <c r="AQ430" s="48"/>
    </row>
    <row r="431" spans="1:43" ht="20" customHeight="1" x14ac:dyDescent="0.45">
      <c r="A431" s="26">
        <v>421</v>
      </c>
      <c r="B431" s="16" t="s">
        <v>647</v>
      </c>
      <c r="C431" s="16" t="s">
        <v>214</v>
      </c>
      <c r="D431" s="46">
        <v>26</v>
      </c>
      <c r="E431" s="46">
        <v>1</v>
      </c>
      <c r="F431" s="13">
        <v>8.8457457983756593E-2</v>
      </c>
      <c r="G431" s="13">
        <v>-0.36162578067587231</v>
      </c>
      <c r="H431" s="13">
        <v>-6.4942521938580649E-3</v>
      </c>
      <c r="I431" s="13">
        <v>1.3134182737150741E-3</v>
      </c>
      <c r="J431" s="13">
        <v>-0.54210909087279802</v>
      </c>
      <c r="K431" s="13">
        <v>12.783009708737829</v>
      </c>
      <c r="L431" s="13">
        <v>-0.74835155262146535</v>
      </c>
      <c r="M431" s="13">
        <v>0.96567508318148776</v>
      </c>
      <c r="N431" s="19">
        <f>(F431-Settings!$D$18)/Settings!$E$18</f>
        <v>-0.37172634003706939</v>
      </c>
      <c r="O431" s="19">
        <f>(G431-Settings!$D$19)/Settings!$E$19</f>
        <v>-1.478908106974463</v>
      </c>
      <c r="P431" s="19">
        <f>(H431-Settings!$D$20)/Settings!$E$20</f>
        <v>-0.54018178448411447</v>
      </c>
      <c r="Q431" s="19">
        <f>(I431-Settings!$D$21)/Settings!$E$21</f>
        <v>5.2360632859915546E-2</v>
      </c>
      <c r="R431" s="19">
        <f>(J431-Settings!$D$22)/Settings!$E$22</f>
        <v>-2.1254523386985649</v>
      </c>
      <c r="S431" s="19">
        <f>(K431-Settings!$D$23)/Settings!$E$23</f>
        <v>-0.85853885484265902</v>
      </c>
      <c r="T431" s="19">
        <f>(L431-Settings!$D$24)/Settings!$E$24</f>
        <v>-1.4218535337903293</v>
      </c>
      <c r="U431" s="19">
        <f>(M431-Settings!$D$25)/Settings!$E$25</f>
        <v>0.68723228932133074</v>
      </c>
      <c r="V431" s="31">
        <f>Settings!$B$18*(N431-F$6)^2</f>
        <v>3.5022785863015389E-2</v>
      </c>
      <c r="W431" s="31">
        <f>Settings!$B$19*(O431-G$6)^2</f>
        <v>0.78641961721115106</v>
      </c>
      <c r="X431" s="31">
        <f>Settings!$B$20*(P431-H$6)^2</f>
        <v>1.5699222995931086</v>
      </c>
      <c r="Y431" s="31">
        <f>Settings!$B$21*(Q431-I$6)^2</f>
        <v>0.16638311182695933</v>
      </c>
      <c r="Z431" s="31">
        <f>Settings!$B$22*(R431-J$6)^2</f>
        <v>1.0381475399552373</v>
      </c>
      <c r="AA431" s="31">
        <f>Settings!$B$23*(S431-K$6)^2</f>
        <v>6.6893629773681011</v>
      </c>
      <c r="AB431" s="31">
        <f>Settings!$B$24*(T431-L$6)^2</f>
        <v>8.6911130380734072</v>
      </c>
      <c r="AC431" s="31">
        <f>Settings!$B$25*(U431-M$6)^2</f>
        <v>0.75545159567358378</v>
      </c>
      <c r="AD431" s="19">
        <f t="shared" si="24"/>
        <v>4.4420516617397148</v>
      </c>
      <c r="AE431" s="15">
        <f t="shared" si="25"/>
        <v>1.7582445803010474</v>
      </c>
      <c r="AF431" s="33">
        <f t="shared" si="26"/>
        <v>0.21316004678320072</v>
      </c>
      <c r="AG431" s="47">
        <f t="shared" si="27"/>
        <v>9.2029715960858193E-4</v>
      </c>
      <c r="AH431" s="48"/>
      <c r="AI431" s="48"/>
      <c r="AJ431" s="48"/>
      <c r="AK431" s="48"/>
      <c r="AL431" s="48"/>
      <c r="AM431" s="48"/>
      <c r="AN431" s="48"/>
      <c r="AO431" s="48"/>
      <c r="AP431" s="48"/>
      <c r="AQ431" s="48"/>
    </row>
    <row r="432" spans="1:43" ht="20" customHeight="1" x14ac:dyDescent="0.45">
      <c r="A432" s="26">
        <v>422</v>
      </c>
      <c r="B432" s="16" t="s">
        <v>648</v>
      </c>
      <c r="C432" s="16" t="s">
        <v>214</v>
      </c>
      <c r="D432" s="46">
        <v>26</v>
      </c>
      <c r="E432" s="46">
        <v>1</v>
      </c>
      <c r="F432" s="13">
        <v>4.8307094924660232E-2</v>
      </c>
      <c r="G432" s="13">
        <v>0.1945895827981913</v>
      </c>
      <c r="H432" s="13">
        <v>2.205586725841786E-4</v>
      </c>
      <c r="I432" s="13">
        <v>0</v>
      </c>
      <c r="J432" s="13">
        <v>0.7568827636045643</v>
      </c>
      <c r="K432" s="13">
        <v>9.8990530303030351</v>
      </c>
      <c r="L432" s="13">
        <v>0.65018989656784532</v>
      </c>
      <c r="M432" s="13">
        <v>-1.721637491200678</v>
      </c>
      <c r="N432" s="19">
        <f>(F432-Settings!$D$18)/Settings!$E$18</f>
        <v>-0.51542198651827364</v>
      </c>
      <c r="O432" s="19">
        <f>(G432-Settings!$D$19)/Settings!$E$19</f>
        <v>0.83835599040541731</v>
      </c>
      <c r="P432" s="19">
        <f>(H432-Settings!$D$20)/Settings!$E$20</f>
        <v>-0.47934430678830497</v>
      </c>
      <c r="Q432" s="19">
        <f>(I432-Settings!$D$21)/Settings!$E$21</f>
        <v>3.6209124412652775E-2</v>
      </c>
      <c r="R432" s="19">
        <f>(J432-Settings!$D$22)/Settings!$E$22</f>
        <v>1.3695464030690321</v>
      </c>
      <c r="S432" s="19">
        <f>(K432-Settings!$D$23)/Settings!$E$23</f>
        <v>-1.8600706747124682</v>
      </c>
      <c r="T432" s="19">
        <f>(L432-Settings!$D$24)/Settings!$E$24</f>
        <v>-0.45496533201053979</v>
      </c>
      <c r="U432" s="19">
        <f>(M432-Settings!$D$25)/Settings!$E$25</f>
        <v>-1.1251212407931257</v>
      </c>
      <c r="V432" s="31">
        <f>Settings!$B$18*(N432-F$6)^2</f>
        <v>6.3205179937747685E-2</v>
      </c>
      <c r="W432" s="31">
        <f>Settings!$B$19*(O432-G$6)^2</f>
        <v>2.2352934177089622E-2</v>
      </c>
      <c r="X432" s="31">
        <f>Settings!$B$20*(P432-H$6)^2</f>
        <v>1.5024828100132326</v>
      </c>
      <c r="Y432" s="31">
        <f>Settings!$B$21*(Q432-I$6)^2</f>
        <v>0.16054260815973301</v>
      </c>
      <c r="Z432" s="31">
        <f>Settings!$B$22*(R432-J$6)^2</f>
        <v>0.29606189381153308</v>
      </c>
      <c r="AA432" s="31">
        <f>Settings!$B$23*(S432-K$6)^2</f>
        <v>12.873113270511491</v>
      </c>
      <c r="AB432" s="31">
        <f>Settings!$B$24*(T432-L$6)^2</f>
        <v>3.925078839953231</v>
      </c>
      <c r="AC432" s="31">
        <f>Settings!$B$25*(U432-M$6)^2</f>
        <v>0.8896004814011913</v>
      </c>
      <c r="AD432" s="19">
        <f t="shared" si="24"/>
        <v>4.4421208918674475</v>
      </c>
      <c r="AE432" s="15">
        <f t="shared" si="25"/>
        <v>1.7582719828407181</v>
      </c>
      <c r="AF432" s="33">
        <f t="shared" si="26"/>
        <v>0.21314977682132466</v>
      </c>
      <c r="AG432" s="47">
        <f t="shared" si="27"/>
        <v>9.202528200764489E-4</v>
      </c>
      <c r="AH432" s="48"/>
      <c r="AI432" s="48"/>
      <c r="AJ432" s="48"/>
      <c r="AK432" s="48"/>
      <c r="AL432" s="48"/>
      <c r="AM432" s="48"/>
      <c r="AN432" s="48"/>
      <c r="AO432" s="48"/>
      <c r="AP432" s="48"/>
      <c r="AQ432" s="48"/>
    </row>
    <row r="433" spans="1:43" ht="20" customHeight="1" x14ac:dyDescent="0.45">
      <c r="A433" s="26">
        <v>423</v>
      </c>
      <c r="B433" s="16" t="s">
        <v>649</v>
      </c>
      <c r="C433" s="16" t="s">
        <v>218</v>
      </c>
      <c r="D433" s="46">
        <v>26</v>
      </c>
      <c r="E433" s="46">
        <v>0</v>
      </c>
      <c r="F433" s="13">
        <v>-0.23802520573322519</v>
      </c>
      <c r="G433" s="13">
        <v>-0.39858443583392972</v>
      </c>
      <c r="H433" s="13">
        <v>-2.6480775099915602E-2</v>
      </c>
      <c r="I433" s="13">
        <v>1.2393826651184259E-2</v>
      </c>
      <c r="J433" s="13">
        <v>0.32451575668174532</v>
      </c>
      <c r="K433" s="13">
        <v>12.198557692307689</v>
      </c>
      <c r="L433" s="13">
        <v>-0.28712852280753798</v>
      </c>
      <c r="M433" s="13">
        <v>-2.220838319629431</v>
      </c>
      <c r="N433" s="19">
        <f>(F433-Settings!$D$18)/Settings!$E$18</f>
        <v>-1.5401874410902656</v>
      </c>
      <c r="O433" s="19">
        <f>(G433-Settings!$D$19)/Settings!$E$19</f>
        <v>-1.6328825749760174</v>
      </c>
      <c r="P433" s="19">
        <f>(H433-Settings!$D$20)/Settings!$E$20</f>
        <v>-0.72126352538477867</v>
      </c>
      <c r="Q433" s="19">
        <f>(I433-Settings!$D$21)/Settings!$E$21</f>
        <v>0.18861982240324493</v>
      </c>
      <c r="R433" s="19">
        <f>(J433-Settings!$D$22)/Settings!$E$22</f>
        <v>0.20624261485162199</v>
      </c>
      <c r="S433" s="19">
        <f>(K433-Settings!$D$23)/Settings!$E$23</f>
        <v>-1.0615055970336487</v>
      </c>
      <c r="T433" s="19">
        <f>(L433-Settings!$D$24)/Settings!$E$24</f>
        <v>-1.1029848251262293</v>
      </c>
      <c r="U433" s="19">
        <f>(M433-Settings!$D$25)/Settings!$E$25</f>
        <v>-1.4617878393360644</v>
      </c>
      <c r="V433" s="31">
        <f>Settings!$B$18*(N433-F$6)^2</f>
        <v>0.50366762808121912</v>
      </c>
      <c r="W433" s="31">
        <f>Settings!$B$19*(O433-G$6)^2</f>
        <v>0.91329082776527226</v>
      </c>
      <c r="X433" s="31">
        <f>Settings!$B$20*(P433-H$6)^2</f>
        <v>1.7794162497562978</v>
      </c>
      <c r="Y433" s="31">
        <f>Settings!$B$21*(Q433-I$6)^2</f>
        <v>0.21980890368238348</v>
      </c>
      <c r="Z433" s="31">
        <f>Settings!$B$22*(R433-J$6)^2</f>
        <v>5.6979738698767783E-4</v>
      </c>
      <c r="AA433" s="31">
        <f>Settings!$B$23*(S433-K$6)^2</f>
        <v>7.7804568367310791</v>
      </c>
      <c r="AB433" s="31">
        <f>Settings!$B$24*(T433-L$6)^2</f>
        <v>6.9126961423098034</v>
      </c>
      <c r="AC433" s="31">
        <f>Settings!$B$25*(U433-M$6)^2</f>
        <v>1.63802355710466</v>
      </c>
      <c r="AD433" s="19">
        <f t="shared" si="24"/>
        <v>4.4438643029257436</v>
      </c>
      <c r="AE433" s="15">
        <f t="shared" si="25"/>
        <v>1.7589620565449229</v>
      </c>
      <c r="AF433" s="33">
        <f t="shared" si="26"/>
        <v>0.21289126040026682</v>
      </c>
      <c r="AG433" s="47">
        <f t="shared" si="27"/>
        <v>9.1913670131215871E-4</v>
      </c>
      <c r="AH433" s="48"/>
      <c r="AI433" s="48"/>
      <c r="AJ433" s="48"/>
      <c r="AK433" s="48"/>
      <c r="AL433" s="48"/>
      <c r="AM433" s="48"/>
      <c r="AN433" s="48"/>
      <c r="AO433" s="48"/>
      <c r="AP433" s="48"/>
      <c r="AQ433" s="48"/>
    </row>
    <row r="434" spans="1:43" ht="20" customHeight="1" x14ac:dyDescent="0.45">
      <c r="A434" s="26">
        <v>424</v>
      </c>
      <c r="B434" s="16" t="s">
        <v>650</v>
      </c>
      <c r="C434" s="16" t="s">
        <v>212</v>
      </c>
      <c r="D434" s="46">
        <v>26</v>
      </c>
      <c r="E434" s="46">
        <v>0</v>
      </c>
      <c r="F434" s="13">
        <v>-0.16965372470494111</v>
      </c>
      <c r="G434" s="13">
        <v>3.6390622643410718E-2</v>
      </c>
      <c r="H434" s="13">
        <v>8.6597337455598999E-2</v>
      </c>
      <c r="I434" s="13">
        <v>3.2261903874681287E-2</v>
      </c>
      <c r="J434" s="13">
        <v>-0.67509641132136788</v>
      </c>
      <c r="K434" s="13">
        <v>12.494833333333331</v>
      </c>
      <c r="L434" s="13">
        <v>-0.87614393674401747</v>
      </c>
      <c r="M434" s="13">
        <v>0.89545942455663963</v>
      </c>
      <c r="N434" s="19">
        <f>(F434-Settings!$D$18)/Settings!$E$18</f>
        <v>-1.2954901726552093</v>
      </c>
      <c r="O434" s="19">
        <f>(G434-Settings!$D$19)/Settings!$E$19</f>
        <v>0.17927895894798379</v>
      </c>
      <c r="P434" s="19">
        <f>(H434-Settings!$D$20)/Settings!$E$20</f>
        <v>0.30324591908231502</v>
      </c>
      <c r="Q434" s="19">
        <f>(I434-Settings!$D$21)/Settings!$E$21</f>
        <v>0.43294367835090131</v>
      </c>
      <c r="R434" s="19">
        <f>(J434-Settings!$D$22)/Settings!$E$22</f>
        <v>-2.4832609854862695</v>
      </c>
      <c r="S434" s="19">
        <f>(K434-Settings!$D$23)/Settings!$E$23</f>
        <v>-0.95861588160957767</v>
      </c>
      <c r="T434" s="19">
        <f>(L434-Settings!$D$24)/Settings!$E$24</f>
        <v>-1.5102033989709651</v>
      </c>
      <c r="U434" s="19">
        <f>(M434-Settings!$D$25)/Settings!$E$25</f>
        <v>0.63987806711764383</v>
      </c>
      <c r="V434" s="31">
        <f>Settings!$B$18*(N434-F$6)^2</f>
        <v>0.36031627206006905</v>
      </c>
      <c r="W434" s="31">
        <f>Settings!$B$19*(O434-G$6)^2</f>
        <v>2.109443452302601E-2</v>
      </c>
      <c r="X434" s="31">
        <f>Settings!$B$20*(P434-H$6)^2</f>
        <v>0.76697846407072279</v>
      </c>
      <c r="Y434" s="31">
        <f>Settings!$B$21*(Q434-I$6)^2</f>
        <v>0.33420281551709907</v>
      </c>
      <c r="Z434" s="31">
        <f>Settings!$B$22*(R434-J$6)^2</f>
        <v>1.3898338481851227</v>
      </c>
      <c r="AA434" s="31">
        <f>Settings!$B$23*(S434-K$6)^2</f>
        <v>7.2170528866282728</v>
      </c>
      <c r="AB434" s="31">
        <f>Settings!$B$24*(T434-L$6)^2</f>
        <v>9.2198418003475346</v>
      </c>
      <c r="AC434" s="31">
        <f>Settings!$B$25*(U434-M$6)^2</f>
        <v>0.67537654600231189</v>
      </c>
      <c r="AD434" s="19">
        <f t="shared" si="24"/>
        <v>4.4704247077133692</v>
      </c>
      <c r="AE434" s="15">
        <f t="shared" si="25"/>
        <v>1.7694751462891685</v>
      </c>
      <c r="AF434" s="33">
        <f t="shared" si="26"/>
        <v>0.20897907604057311</v>
      </c>
      <c r="AG434" s="47">
        <f t="shared" si="27"/>
        <v>9.0224623704165182E-4</v>
      </c>
      <c r="AH434" s="18">
        <v>0.96368956152724472</v>
      </c>
      <c r="AI434" s="46">
        <v>0</v>
      </c>
      <c r="AJ434" s="18">
        <v>-3.8767756303942191E-2</v>
      </c>
      <c r="AK434" s="46">
        <v>0</v>
      </c>
      <c r="AL434" s="18">
        <v>0.40446041318587422</v>
      </c>
      <c r="AM434" s="46">
        <v>0</v>
      </c>
      <c r="AN434" s="18">
        <v>-9.934704680357842E-2</v>
      </c>
      <c r="AO434" s="46">
        <v>0</v>
      </c>
      <c r="AP434" s="48"/>
      <c r="AQ434" s="48"/>
    </row>
    <row r="435" spans="1:43" ht="20" customHeight="1" x14ac:dyDescent="0.45">
      <c r="A435" s="26">
        <v>425</v>
      </c>
      <c r="B435" s="16" t="s">
        <v>651</v>
      </c>
      <c r="C435" s="16" t="s">
        <v>260</v>
      </c>
      <c r="D435" s="46">
        <v>26</v>
      </c>
      <c r="E435" s="46">
        <v>1</v>
      </c>
      <c r="F435" s="13">
        <v>-0.38209775479796099</v>
      </c>
      <c r="G435" s="13">
        <v>0.51041338648603973</v>
      </c>
      <c r="H435" s="13">
        <v>-3.9027522830133009E-3</v>
      </c>
      <c r="I435" s="13">
        <v>-7.1292824924904921E-2</v>
      </c>
      <c r="J435" s="13">
        <v>3.2293281508080911E-2</v>
      </c>
      <c r="K435" s="13">
        <v>10.73366336633663</v>
      </c>
      <c r="L435" s="13">
        <v>-8.0576352639310053E-2</v>
      </c>
      <c r="M435" s="13">
        <v>-0.1581092462346837</v>
      </c>
      <c r="N435" s="19">
        <f>(F435-Settings!$D$18)/Settings!$E$18</f>
        <v>-2.0558141129482657</v>
      </c>
      <c r="O435" s="19">
        <f>(G435-Settings!$D$19)/Settings!$E$19</f>
        <v>2.1541182102994543</v>
      </c>
      <c r="P435" s="19">
        <f>(H435-Settings!$D$20)/Settings!$E$20</f>
        <v>-0.51670229695116998</v>
      </c>
      <c r="Q435" s="19">
        <f>(I435-Settings!$D$21)/Settings!$E$21</f>
        <v>-0.8405006694497289</v>
      </c>
      <c r="R435" s="19">
        <f>(J435-Settings!$D$22)/Settings!$E$22</f>
        <v>-0.57999571260816618</v>
      </c>
      <c r="S435" s="19">
        <f>(K435-Settings!$D$23)/Settings!$E$23</f>
        <v>-1.5702297020722202</v>
      </c>
      <c r="T435" s="19">
        <f>(L435-Settings!$D$24)/Settings!$E$24</f>
        <v>-0.96018401181931001</v>
      </c>
      <c r="U435" s="19">
        <f>(M435-Settings!$D$25)/Settings!$E$25</f>
        <v>-7.0660378587968004E-2</v>
      </c>
      <c r="V435" s="31">
        <f>Settings!$B$18*(N435-F$6)^2</f>
        <v>0.8841466104209923</v>
      </c>
      <c r="W435" s="31">
        <f>Settings!$B$19*(O435-G$6)^2</f>
        <v>0.54454914174819213</v>
      </c>
      <c r="X435" s="31">
        <f>Settings!$B$20*(P435-H$6)^2</f>
        <v>1.5437194162572658</v>
      </c>
      <c r="Y435" s="31">
        <f>Settings!$B$21*(Q435-I$6)^2</f>
        <v>7.3979729772994399E-5</v>
      </c>
      <c r="Z435" s="31">
        <f>Settings!$B$22*(R435-J$6)^2</f>
        <v>0.10741746687352416</v>
      </c>
      <c r="AA435" s="31">
        <f>Settings!$B$23*(S435-K$6)^2</f>
        <v>10.877273191628326</v>
      </c>
      <c r="AB435" s="31">
        <f>Settings!$B$24*(T435-L$6)^2</f>
        <v>6.1821842276754575</v>
      </c>
      <c r="AC435" s="31">
        <f>Settings!$B$25*(U435-M$6)^2</f>
        <v>1.2382018178446691E-2</v>
      </c>
      <c r="AD435" s="19">
        <f t="shared" si="24"/>
        <v>4.4890696199225939</v>
      </c>
      <c r="AE435" s="15">
        <f t="shared" si="25"/>
        <v>1.7768551405662316</v>
      </c>
      <c r="AF435" s="33">
        <f t="shared" si="26"/>
        <v>0.20626220179927793</v>
      </c>
      <c r="AG435" s="47">
        <f t="shared" si="27"/>
        <v>8.9051640452842903E-4</v>
      </c>
      <c r="AH435" s="48"/>
      <c r="AI435" s="48"/>
      <c r="AJ435" s="48"/>
      <c r="AK435" s="48"/>
      <c r="AL435" s="18">
        <v>0.48979249722300638</v>
      </c>
      <c r="AM435" s="46">
        <v>1</v>
      </c>
      <c r="AN435" s="18">
        <v>0.94756374076563898</v>
      </c>
      <c r="AO435" s="46">
        <v>1</v>
      </c>
      <c r="AP435" s="18">
        <v>3.7596028757646012E-2</v>
      </c>
      <c r="AQ435" s="46">
        <v>1</v>
      </c>
    </row>
    <row r="436" spans="1:43" ht="20" customHeight="1" x14ac:dyDescent="0.45">
      <c r="A436" s="26">
        <v>426</v>
      </c>
      <c r="B436" s="16" t="s">
        <v>652</v>
      </c>
      <c r="C436" s="16" t="s">
        <v>216</v>
      </c>
      <c r="D436" s="46">
        <v>26</v>
      </c>
      <c r="E436" s="46">
        <v>1</v>
      </c>
      <c r="F436" s="13">
        <v>0.44051187064092678</v>
      </c>
      <c r="G436" s="13">
        <v>-0.20591874730476201</v>
      </c>
      <c r="H436" s="13">
        <v>-4.4819346742909347E-4</v>
      </c>
      <c r="I436" s="13">
        <v>0.13701895045927759</v>
      </c>
      <c r="J436" s="13">
        <v>-0.2161022381276044</v>
      </c>
      <c r="K436" s="13">
        <v>10.666284987277351</v>
      </c>
      <c r="L436" s="13">
        <v>0.55312504357964953</v>
      </c>
      <c r="M436" s="13">
        <v>-1.982734833784179</v>
      </c>
      <c r="N436" s="19">
        <f>(F436-Settings!$D$18)/Settings!$E$18</f>
        <v>0.88825445637247891</v>
      </c>
      <c r="O436" s="19">
        <f>(G436-Settings!$D$19)/Settings!$E$19</f>
        <v>-0.8302127601095437</v>
      </c>
      <c r="P436" s="19">
        <f>(H436-Settings!$D$20)/Settings!$E$20</f>
        <v>-0.48540332977663808</v>
      </c>
      <c r="Q436" s="19">
        <f>(I436-Settings!$D$21)/Settings!$E$21</f>
        <v>1.7211732977207754</v>
      </c>
      <c r="R436" s="19">
        <f>(J436-Settings!$D$22)/Settings!$E$22</f>
        <v>-1.2483155527943219</v>
      </c>
      <c r="S436" s="19">
        <f>(K436-Settings!$D$23)/Settings!$E$23</f>
        <v>-1.5936286633339207</v>
      </c>
      <c r="T436" s="19">
        <f>(L436-Settings!$D$24)/Settings!$E$24</f>
        <v>-0.52207157417174177</v>
      </c>
      <c r="U436" s="19">
        <f>(M436-Settings!$D$25)/Settings!$E$25</f>
        <v>-1.3012081966038036</v>
      </c>
      <c r="V436" s="31">
        <f>Settings!$B$18*(N436-F$6)^2</f>
        <v>0.14162937575339885</v>
      </c>
      <c r="W436" s="31">
        <f>Settings!$B$19*(O436-G$6)^2</f>
        <v>0.35604808950776534</v>
      </c>
      <c r="X436" s="31">
        <f>Settings!$B$20*(P436-H$6)^2</f>
        <v>1.5091329703023781</v>
      </c>
      <c r="Y436" s="31">
        <f>Settings!$B$21*(Q436-I$6)^2</f>
        <v>1.3322158959111559</v>
      </c>
      <c r="Z436" s="31">
        <f>Settings!$B$22*(R436-J$6)^2</f>
        <v>0.39266234820385504</v>
      </c>
      <c r="AA436" s="31">
        <f>Settings!$B$23*(S436-K$6)^2</f>
        <v>11.032163580327721</v>
      </c>
      <c r="AB436" s="31">
        <f>Settings!$B$24*(T436-L$6)^2</f>
        <v>4.1954813348012925</v>
      </c>
      <c r="AC436" s="31">
        <f>Settings!$B$25*(U436-M$6)^2</f>
        <v>1.2527727219156195</v>
      </c>
      <c r="AD436" s="19">
        <f t="shared" si="24"/>
        <v>4.4957876191745516</v>
      </c>
      <c r="AE436" s="15">
        <f t="shared" si="25"/>
        <v>1.7795142464647422</v>
      </c>
      <c r="AF436" s="33">
        <f t="shared" si="26"/>
        <v>0.20528921757235058</v>
      </c>
      <c r="AG436" s="47">
        <f t="shared" si="27"/>
        <v>8.8631564254747523E-4</v>
      </c>
      <c r="AH436" s="18">
        <v>-0.8229873003071051</v>
      </c>
      <c r="AI436" s="46">
        <v>1</v>
      </c>
      <c r="AJ436" s="18">
        <v>6.4244294651386036E-2</v>
      </c>
      <c r="AK436" s="46">
        <v>1</v>
      </c>
      <c r="AL436" s="48"/>
      <c r="AM436" s="48"/>
      <c r="AN436" s="48"/>
      <c r="AO436" s="48"/>
      <c r="AP436" s="48"/>
      <c r="AQ436" s="48"/>
    </row>
    <row r="437" spans="1:43" ht="20" customHeight="1" x14ac:dyDescent="0.45">
      <c r="A437" s="26">
        <v>427</v>
      </c>
      <c r="B437" s="16" t="s">
        <v>653</v>
      </c>
      <c r="C437" s="16" t="s">
        <v>229</v>
      </c>
      <c r="D437" s="46">
        <v>26</v>
      </c>
      <c r="E437" s="46">
        <v>1</v>
      </c>
      <c r="F437" s="13">
        <v>-0.65860498623010855</v>
      </c>
      <c r="G437" s="13">
        <v>-4.3056207192615673E-2</v>
      </c>
      <c r="H437" s="13">
        <v>-5.2369292298925327E-2</v>
      </c>
      <c r="I437" s="13">
        <v>1.439414548155598E-2</v>
      </c>
      <c r="J437" s="13">
        <v>0.23157536879679441</v>
      </c>
      <c r="K437" s="13">
        <v>12.118201754385989</v>
      </c>
      <c r="L437" s="13">
        <v>-0.44201774273581051</v>
      </c>
      <c r="M437" s="13">
        <v>-1.355921040878818</v>
      </c>
      <c r="N437" s="19">
        <f>(F437-Settings!$D$18)/Settings!$E$18</f>
        <v>-3.0454162572399253</v>
      </c>
      <c r="O437" s="19">
        <f>(G437-Settings!$D$19)/Settings!$E$19</f>
        <v>-0.15170666014712272</v>
      </c>
      <c r="P437" s="19">
        <f>(H437-Settings!$D$20)/Settings!$E$20</f>
        <v>-0.95581846952229277</v>
      </c>
      <c r="Q437" s="19">
        <f>(I437-Settings!$D$21)/Settings!$E$21</f>
        <v>0.21321835824863272</v>
      </c>
      <c r="R437" s="19">
        <f>(J437-Settings!$D$22)/Settings!$E$22</f>
        <v>-4.3817874440658329E-2</v>
      </c>
      <c r="S437" s="19">
        <f>(K437-Settings!$D$23)/Settings!$E$23</f>
        <v>-1.0894113659884528</v>
      </c>
      <c r="T437" s="19">
        <f>(L437-Settings!$D$24)/Settings!$E$24</f>
        <v>-1.2100682150524509</v>
      </c>
      <c r="U437" s="19">
        <f>(M437-Settings!$D$25)/Settings!$E$25</f>
        <v>-0.87847799352810074</v>
      </c>
      <c r="V437" s="31">
        <f>Settings!$B$18*(N437-F$6)^2</f>
        <v>1.9122858444815769</v>
      </c>
      <c r="W437" s="31">
        <f>Settings!$B$19*(O437-G$6)^2</f>
        <v>8.6001721336758999E-2</v>
      </c>
      <c r="X437" s="31">
        <f>Settings!$B$20*(P437-H$6)^2</f>
        <v>2.0702714195909184</v>
      </c>
      <c r="Y437" s="31">
        <f>Settings!$B$21*(Q437-I$6)^2</f>
        <v>0.23024510318880856</v>
      </c>
      <c r="Z437" s="31">
        <f>Settings!$B$22*(R437-J$6)^2</f>
        <v>7.7369653604668943E-3</v>
      </c>
      <c r="AA437" s="31">
        <f>Settings!$B$23*(S437-K$6)^2</f>
        <v>7.9369133160094751</v>
      </c>
      <c r="AB437" s="31">
        <f>Settings!$B$24*(T437-L$6)^2</f>
        <v>7.4872504349397673</v>
      </c>
      <c r="AC437" s="31">
        <f>Settings!$B$25*(U437-M$6)^2</f>
        <v>0.48517228700720666</v>
      </c>
      <c r="AD437" s="19">
        <f t="shared" si="24"/>
        <v>4.4962069672019078</v>
      </c>
      <c r="AE437" s="15">
        <f t="shared" si="25"/>
        <v>1.7796802320165785</v>
      </c>
      <c r="AF437" s="33">
        <f t="shared" si="26"/>
        <v>0.20522858667324945</v>
      </c>
      <c r="AG437" s="47">
        <f t="shared" si="27"/>
        <v>8.8605387471119761E-4</v>
      </c>
      <c r="AH437" s="48"/>
      <c r="AI437" s="48"/>
      <c r="AJ437" s="48"/>
      <c r="AK437" s="48"/>
      <c r="AL437" s="48"/>
      <c r="AM437" s="48"/>
      <c r="AN437" s="48"/>
      <c r="AO437" s="48"/>
      <c r="AP437" s="48"/>
      <c r="AQ437" s="48"/>
    </row>
    <row r="438" spans="1:43" ht="20" customHeight="1" x14ac:dyDescent="0.45">
      <c r="A438" s="26">
        <v>428</v>
      </c>
      <c r="B438" s="16" t="s">
        <v>654</v>
      </c>
      <c r="C438" s="16" t="s">
        <v>271</v>
      </c>
      <c r="D438" s="46">
        <v>26</v>
      </c>
      <c r="E438" s="46">
        <v>1</v>
      </c>
      <c r="F438" s="13">
        <v>-0.58608110517184175</v>
      </c>
      <c r="G438" s="13">
        <v>0.18514143277114781</v>
      </c>
      <c r="H438" s="13">
        <v>-1.1613697461876141E-3</v>
      </c>
      <c r="I438" s="13">
        <v>-6.9099561173720141E-3</v>
      </c>
      <c r="J438" s="13">
        <v>-0.22070613619345089</v>
      </c>
      <c r="K438" s="13">
        <v>13.927559912854051</v>
      </c>
      <c r="L438" s="13">
        <v>-0.81737663122682436</v>
      </c>
      <c r="M438" s="13">
        <v>2.1520049841449032</v>
      </c>
      <c r="N438" s="19">
        <f>(F438-Settings!$D$18)/Settings!$E$18</f>
        <v>-2.7858578079513188</v>
      </c>
      <c r="O438" s="19">
        <f>(G438-Settings!$D$19)/Settings!$E$19</f>
        <v>0.79899379316659991</v>
      </c>
      <c r="P438" s="19">
        <f>(H438-Settings!$D$20)/Settings!$E$20</f>
        <v>-0.49186484400468367</v>
      </c>
      <c r="Q438" s="19">
        <f>(I438-Settings!$D$21)/Settings!$E$21</f>
        <v>-4.8764731085995799E-2</v>
      </c>
      <c r="R438" s="19">
        <f>(J438-Settings!$D$22)/Settings!$E$22</f>
        <v>-1.2607025572946955</v>
      </c>
      <c r="S438" s="19">
        <f>(K438-Settings!$D$23)/Settings!$E$23</f>
        <v>-0.46106289501547726</v>
      </c>
      <c r="T438" s="19">
        <f>(L438-Settings!$D$24)/Settings!$E$24</f>
        <v>-1.4695743461903699</v>
      </c>
      <c r="U438" s="19">
        <f>(M438-Settings!$D$25)/Settings!$E$25</f>
        <v>1.4873063872835643</v>
      </c>
      <c r="V438" s="31">
        <f>Settings!$B$18*(N438-F$6)^2</f>
        <v>1.6047218673790438</v>
      </c>
      <c r="W438" s="31">
        <f>Settings!$B$19*(O438-G$6)^2</f>
        <v>1.7399105028248516E-2</v>
      </c>
      <c r="X438" s="31">
        <f>Settings!$B$20*(P438-H$6)^2</f>
        <v>1.5162410704657956</v>
      </c>
      <c r="Y438" s="31">
        <f>Settings!$B$21*(Q438-I$6)^2</f>
        <v>0.13153404250143261</v>
      </c>
      <c r="Z438" s="31">
        <f>Settings!$B$22*(R438-J$6)^2</f>
        <v>0.39963561619115617</v>
      </c>
      <c r="AA438" s="31">
        <f>Settings!$B$23*(S438-K$6)^2</f>
        <v>4.7913021436866465</v>
      </c>
      <c r="AB438" s="31">
        <f>Settings!$B$24*(T438-L$6)^2</f>
        <v>8.9747588451547298</v>
      </c>
      <c r="AC438" s="31">
        <f>Settings!$B$25*(U438-M$6)^2</f>
        <v>2.7863664611155996</v>
      </c>
      <c r="AD438" s="19">
        <f t="shared" si="24"/>
        <v>4.4968832708357747</v>
      </c>
      <c r="AE438" s="15">
        <f t="shared" si="25"/>
        <v>1.779947925255972</v>
      </c>
      <c r="AF438" s="33">
        <f t="shared" si="26"/>
        <v>0.20513082999387935</v>
      </c>
      <c r="AG438" s="47">
        <f t="shared" si="27"/>
        <v>8.8563182003578006E-4</v>
      </c>
      <c r="AH438" s="18">
        <v>1.0895303643758101</v>
      </c>
      <c r="AI438" s="46">
        <v>1</v>
      </c>
      <c r="AJ438" s="18">
        <v>0.61805160024521399</v>
      </c>
      <c r="AK438" s="46">
        <v>1</v>
      </c>
      <c r="AL438" s="18">
        <v>0.73154537358260152</v>
      </c>
      <c r="AM438" s="46">
        <v>1</v>
      </c>
      <c r="AN438" s="48"/>
      <c r="AO438" s="48"/>
      <c r="AP438" s="48"/>
      <c r="AQ438" s="48"/>
    </row>
    <row r="439" spans="1:43" ht="20" customHeight="1" x14ac:dyDescent="0.45">
      <c r="A439" s="26">
        <v>429</v>
      </c>
      <c r="B439" s="16" t="s">
        <v>655</v>
      </c>
      <c r="C439" s="16" t="s">
        <v>216</v>
      </c>
      <c r="D439" s="46">
        <v>26</v>
      </c>
      <c r="E439" s="46">
        <v>1</v>
      </c>
      <c r="F439" s="13">
        <v>-0.32625621745831201</v>
      </c>
      <c r="G439" s="13">
        <v>-0.4627002757394883</v>
      </c>
      <c r="H439" s="13">
        <v>-4.7796074661054302E-2</v>
      </c>
      <c r="I439" s="13">
        <v>-0.12859405189086059</v>
      </c>
      <c r="J439" s="13">
        <v>3.4653380250284888E-2</v>
      </c>
      <c r="K439" s="13">
        <v>15.261882716049421</v>
      </c>
      <c r="L439" s="13">
        <v>-1.7477433581775019</v>
      </c>
      <c r="M439" s="13">
        <v>-0.76180177716738107</v>
      </c>
      <c r="N439" s="19">
        <f>(F439-Settings!$D$18)/Settings!$E$18</f>
        <v>-1.8559607318788449</v>
      </c>
      <c r="O439" s="19">
        <f>(G439-Settings!$D$19)/Settings!$E$19</f>
        <v>-1.8999973359896891</v>
      </c>
      <c r="P439" s="19">
        <f>(H439-Settings!$D$20)/Settings!$E$20</f>
        <v>-0.91438423830179771</v>
      </c>
      <c r="Q439" s="19">
        <f>(I439-Settings!$D$21)/Settings!$E$21</f>
        <v>-1.5451514801631541</v>
      </c>
      <c r="R439" s="19">
        <f>(J439-Settings!$D$22)/Settings!$E$22</f>
        <v>-0.57364575582743726</v>
      </c>
      <c r="S439" s="19">
        <f>(K439-Settings!$D$23)/Settings!$E$23</f>
        <v>2.3167234687118832E-3</v>
      </c>
      <c r="T439" s="19">
        <f>(L439-Settings!$D$24)/Settings!$E$24</f>
        <v>-2.1127877540865287</v>
      </c>
      <c r="U439" s="19">
        <f>(M439-Settings!$D$25)/Settings!$E$25</f>
        <v>-0.47779734507618826</v>
      </c>
      <c r="V439" s="31">
        <f>Settings!$B$18*(N439-F$6)^2</f>
        <v>0.72405388004181692</v>
      </c>
      <c r="W439" s="31">
        <f>Settings!$B$19*(O439-G$6)^2</f>
        <v>1.1558827132267369</v>
      </c>
      <c r="X439" s="31">
        <f>Settings!$B$20*(P439-H$6)^2</f>
        <v>2.0172913677622595</v>
      </c>
      <c r="Y439" s="31">
        <f>Settings!$B$21*(Q439-I$6)^2</f>
        <v>9.3959583759337356E-2</v>
      </c>
      <c r="Z439" s="31">
        <f>Settings!$B$22*(R439-J$6)^2</f>
        <v>0.10556407337308243</v>
      </c>
      <c r="AA439" s="31">
        <f>Settings!$B$23*(S439-K$6)^2</f>
        <v>2.9774355125465362</v>
      </c>
      <c r="AB439" s="31">
        <f>Settings!$B$24*(T439-L$6)^2</f>
        <v>13.242347164431504</v>
      </c>
      <c r="AC439" s="31">
        <f>Settings!$B$25*(U439-M$6)^2</f>
        <v>8.7534588897884541E-2</v>
      </c>
      <c r="AD439" s="19">
        <f t="shared" si="24"/>
        <v>4.517086326830511</v>
      </c>
      <c r="AE439" s="15">
        <f t="shared" si="25"/>
        <v>1.7879446610918519</v>
      </c>
      <c r="AF439" s="33">
        <f t="shared" si="26"/>
        <v>0.20222525976115047</v>
      </c>
      <c r="AG439" s="47">
        <f t="shared" si="27"/>
        <v>8.7308731147248781E-4</v>
      </c>
      <c r="AH439" s="18">
        <v>3.9863277638936927E-2</v>
      </c>
      <c r="AI439" s="46">
        <v>1</v>
      </c>
      <c r="AJ439" s="18">
        <v>0.99242287247862626</v>
      </c>
      <c r="AK439" s="46">
        <v>1</v>
      </c>
      <c r="AL439" s="48"/>
      <c r="AM439" s="48"/>
      <c r="AN439" s="48"/>
      <c r="AO439" s="48"/>
      <c r="AP439" s="48"/>
      <c r="AQ439" s="48"/>
    </row>
    <row r="440" spans="1:43" ht="20" customHeight="1" x14ac:dyDescent="0.45">
      <c r="A440" s="26">
        <v>430</v>
      </c>
      <c r="B440" s="16" t="s">
        <v>656</v>
      </c>
      <c r="C440" s="16" t="s">
        <v>236</v>
      </c>
      <c r="D440" s="46">
        <v>26</v>
      </c>
      <c r="E440" s="46">
        <v>0</v>
      </c>
      <c r="F440" s="13">
        <v>0.29192233925690292</v>
      </c>
      <c r="G440" s="13">
        <v>0.1336628477628467</v>
      </c>
      <c r="H440" s="13">
        <v>-3.4977010194025139E-4</v>
      </c>
      <c r="I440" s="13">
        <v>0.1204011158142137</v>
      </c>
      <c r="J440" s="13">
        <v>-0.45366392706409642</v>
      </c>
      <c r="K440" s="13">
        <v>10.69372549019608</v>
      </c>
      <c r="L440" s="13">
        <v>7.4553794518442254E-2</v>
      </c>
      <c r="M440" s="13">
        <v>0.56191020452991192</v>
      </c>
      <c r="N440" s="19">
        <f>(F440-Settings!$D$18)/Settings!$E$18</f>
        <v>0.35646178637496251</v>
      </c>
      <c r="O440" s="19">
        <f>(G440-Settings!$D$19)/Settings!$E$19</f>
        <v>0.58452744675253365</v>
      </c>
      <c r="P440" s="19">
        <f>(H440-Settings!$D$20)/Settings!$E$20</f>
        <v>-0.48451159515867609</v>
      </c>
      <c r="Q440" s="19">
        <f>(I440-Settings!$D$21)/Settings!$E$21</f>
        <v>1.5168186743563747</v>
      </c>
      <c r="R440" s="19">
        <f>(J440-Settings!$D$22)/Settings!$E$22</f>
        <v>-1.8874864614212121</v>
      </c>
      <c r="S440" s="19">
        <f>(K440-Settings!$D$23)/Settings!$E$23</f>
        <v>-1.5840992078355625</v>
      </c>
      <c r="T440" s="19">
        <f>(L440-Settings!$D$24)/Settings!$E$24</f>
        <v>-0.85293405572101955</v>
      </c>
      <c r="U440" s="19">
        <f>(M440-Settings!$D$25)/Settings!$E$25</f>
        <v>0.41492875822627123</v>
      </c>
      <c r="V440" s="31">
        <f>Settings!$B$18*(N440-F$6)^2</f>
        <v>1.9185538962576024E-2</v>
      </c>
      <c r="W440" s="31">
        <f>Settings!$B$19*(O440-G$6)^2</f>
        <v>1.2955249345414381E-3</v>
      </c>
      <c r="X440" s="31">
        <f>Settings!$B$20*(P440-H$6)^2</f>
        <v>1.5081533136861254</v>
      </c>
      <c r="Y440" s="31">
        <f>Settings!$B$21*(Q440-I$6)^2</f>
        <v>1.1295999703291841</v>
      </c>
      <c r="Z440" s="31">
        <f>Settings!$B$22*(R440-J$6)^2</f>
        <v>0.83260821499536497</v>
      </c>
      <c r="AA440" s="31">
        <f>Settings!$B$23*(S440-K$6)^2</f>
        <v>10.968950787964381</v>
      </c>
      <c r="AB440" s="31">
        <f>Settings!$B$24*(T440-L$6)^2</f>
        <v>5.6603542306615173</v>
      </c>
      <c r="AC440" s="31">
        <f>Settings!$B$25*(U440-M$6)^2</f>
        <v>0.35624622148512614</v>
      </c>
      <c r="AD440" s="19">
        <f t="shared" si="24"/>
        <v>4.5250849498124142</v>
      </c>
      <c r="AE440" s="15">
        <f t="shared" si="25"/>
        <v>1.7911106610798606</v>
      </c>
      <c r="AF440" s="33">
        <f t="shared" si="26"/>
        <v>0.20108276286638391</v>
      </c>
      <c r="AG440" s="47">
        <f t="shared" si="27"/>
        <v>8.6815469552037805E-4</v>
      </c>
      <c r="AH440" s="18">
        <v>0.75802489859530009</v>
      </c>
      <c r="AI440" s="46">
        <v>1</v>
      </c>
      <c r="AJ440" s="18">
        <v>0.44087166043139919</v>
      </c>
      <c r="AK440" s="46">
        <v>1</v>
      </c>
      <c r="AL440" s="18">
        <v>-0.4667311849761786</v>
      </c>
      <c r="AM440" s="46">
        <v>1</v>
      </c>
      <c r="AN440" s="18">
        <v>0.16407055730749559</v>
      </c>
      <c r="AO440" s="46">
        <v>1</v>
      </c>
      <c r="AP440" s="18">
        <v>0.67158973003057842</v>
      </c>
      <c r="AQ440" s="46">
        <v>1</v>
      </c>
    </row>
    <row r="441" spans="1:43" ht="20" customHeight="1" x14ac:dyDescent="0.45">
      <c r="A441" s="26">
        <v>431</v>
      </c>
      <c r="B441" s="16" t="s">
        <v>657</v>
      </c>
      <c r="C441" s="16" t="s">
        <v>214</v>
      </c>
      <c r="D441" s="46">
        <v>26</v>
      </c>
      <c r="E441" s="46">
        <v>1</v>
      </c>
      <c r="F441" s="13">
        <v>-0.40979748863273718</v>
      </c>
      <c r="G441" s="13">
        <v>0.2066376297470115</v>
      </c>
      <c r="H441" s="13">
        <v>8.920045607984867E-4</v>
      </c>
      <c r="I441" s="13">
        <v>-0.20269788145744849</v>
      </c>
      <c r="J441" s="13">
        <v>-0.17997499560200431</v>
      </c>
      <c r="K441" s="13">
        <v>12.706462585034011</v>
      </c>
      <c r="L441" s="13">
        <v>-0.80349948114556125</v>
      </c>
      <c r="M441" s="13">
        <v>1.448963818618521</v>
      </c>
      <c r="N441" s="19">
        <f>(F441-Settings!$D$18)/Settings!$E$18</f>
        <v>-2.1549497335872845</v>
      </c>
      <c r="O441" s="19">
        <f>(G441-Settings!$D$19)/Settings!$E$19</f>
        <v>0.88854968959357372</v>
      </c>
      <c r="P441" s="19">
        <f>(H441-Settings!$D$20)/Settings!$E$20</f>
        <v>-0.47326087792326771</v>
      </c>
      <c r="Q441" s="19">
        <f>(I441-Settings!$D$21)/Settings!$E$21</f>
        <v>-2.4564290626150882</v>
      </c>
      <c r="R441" s="19">
        <f>(J441-Settings!$D$22)/Settings!$E$22</f>
        <v>-1.1511135058874868</v>
      </c>
      <c r="S441" s="19">
        <f>(K441-Settings!$D$23)/Settings!$E$23</f>
        <v>-0.88512191022700437</v>
      </c>
      <c r="T441" s="19">
        <f>(L441-Settings!$D$24)/Settings!$E$24</f>
        <v>-1.4599803132815288</v>
      </c>
      <c r="U441" s="19">
        <f>(M441-Settings!$D$25)/Settings!$E$25</f>
        <v>1.0131675951296746</v>
      </c>
      <c r="V441" s="31">
        <f>Settings!$B$18*(N441-F$6)^2</f>
        <v>0.96948738040995641</v>
      </c>
      <c r="W441" s="31">
        <f>Settings!$B$19*(O441-G$6)^2</f>
        <v>2.9568962780586169E-2</v>
      </c>
      <c r="X441" s="31">
        <f>Settings!$B$20*(P441-H$6)^2</f>
        <v>1.4958206362818656</v>
      </c>
      <c r="Y441" s="31">
        <f>Settings!$B$21*(Q441-I$6)^2</f>
        <v>0.50988739577412012</v>
      </c>
      <c r="Z441" s="31">
        <f>Settings!$B$22*(R441-J$6)^2</f>
        <v>0.34007288207180564</v>
      </c>
      <c r="AA441" s="31">
        <f>Settings!$B$23*(S441-K$6)^2</f>
        <v>6.8275774169108967</v>
      </c>
      <c r="AB441" s="31">
        <f>Settings!$B$24*(T441-L$6)^2</f>
        <v>8.9173674713360498</v>
      </c>
      <c r="AC441" s="31">
        <f>Settings!$B$25*(U441-M$6)^2</f>
        <v>1.4282699638013514</v>
      </c>
      <c r="AD441" s="19">
        <f t="shared" si="24"/>
        <v>4.5296856523788307</v>
      </c>
      <c r="AE441" s="15">
        <f t="shared" si="25"/>
        <v>1.7929317025645091</v>
      </c>
      <c r="AF441" s="33">
        <f t="shared" si="26"/>
        <v>0.20042762999865249</v>
      </c>
      <c r="AG441" s="47">
        <f t="shared" si="27"/>
        <v>8.6532622495829063E-4</v>
      </c>
      <c r="AH441" s="48"/>
      <c r="AI441" s="48"/>
      <c r="AJ441" s="48"/>
      <c r="AK441" s="48"/>
      <c r="AL441" s="48"/>
      <c r="AM441" s="48"/>
      <c r="AN441" s="48"/>
      <c r="AO441" s="48"/>
      <c r="AP441" s="48"/>
      <c r="AQ441" s="48"/>
    </row>
    <row r="442" spans="1:43" ht="20" customHeight="1" x14ac:dyDescent="0.45">
      <c r="A442" s="26">
        <v>432</v>
      </c>
      <c r="B442" s="16" t="s">
        <v>658</v>
      </c>
      <c r="C442" s="16" t="s">
        <v>258</v>
      </c>
      <c r="D442" s="46">
        <v>26</v>
      </c>
      <c r="E442" s="46">
        <v>0</v>
      </c>
      <c r="F442" s="13">
        <v>-0.33820566258408441</v>
      </c>
      <c r="G442" s="13">
        <v>-0.23430737851719111</v>
      </c>
      <c r="H442" s="13">
        <v>-6.2649473337217806E-2</v>
      </c>
      <c r="I442" s="13">
        <v>0.2545588368804596</v>
      </c>
      <c r="J442" s="13">
        <v>-0.1102786486810471</v>
      </c>
      <c r="K442" s="13">
        <v>14.04568965517244</v>
      </c>
      <c r="L442" s="13">
        <v>-0.33899458990507131</v>
      </c>
      <c r="M442" s="13">
        <v>1.754579572713268</v>
      </c>
      <c r="N442" s="19">
        <f>(F442-Settings!$D$18)/Settings!$E$18</f>
        <v>-1.8987270510753169</v>
      </c>
      <c r="O442" s="19">
        <f>(G442-Settings!$D$19)/Settings!$E$19</f>
        <v>-0.94848341605014919</v>
      </c>
      <c r="P442" s="19">
        <f>(H442-Settings!$D$20)/Settings!$E$20</f>
        <v>-1.0489588865892254</v>
      </c>
      <c r="Q442" s="19">
        <f>(I442-Settings!$D$21)/Settings!$E$21</f>
        <v>3.1665974298612327</v>
      </c>
      <c r="R442" s="19">
        <f>(J442-Settings!$D$22)/Settings!$E$22</f>
        <v>-0.96359220315187488</v>
      </c>
      <c r="S442" s="19">
        <f>(K442-Settings!$D$23)/Settings!$E$23</f>
        <v>-0.42003915263766212</v>
      </c>
      <c r="T442" s="19">
        <f>(L442-Settings!$D$24)/Settings!$E$24</f>
        <v>-1.1388426743007343</v>
      </c>
      <c r="U442" s="19">
        <f>(M442-Settings!$D$25)/Settings!$E$25</f>
        <v>1.2192782634874664</v>
      </c>
      <c r="V442" s="31">
        <f>Settings!$B$18*(N442-F$6)^2</f>
        <v>0.756968271353475</v>
      </c>
      <c r="W442" s="31">
        <f>Settings!$B$19*(O442-G$6)^2</f>
        <v>0.4219670364029362</v>
      </c>
      <c r="X442" s="31">
        <f>Settings!$B$20*(P442-H$6)^2</f>
        <v>2.1918726684642986</v>
      </c>
      <c r="Y442" s="31">
        <f>Settings!$B$21*(Q442-I$6)^2</f>
        <v>3.2422680206304215</v>
      </c>
      <c r="Z442" s="31">
        <f>Settings!$B$22*(R442-J$6)^2</f>
        <v>0.24929610213845935</v>
      </c>
      <c r="AA442" s="31">
        <f>Settings!$B$23*(S442-K$6)^2</f>
        <v>4.6133909968942994</v>
      </c>
      <c r="AB442" s="31">
        <f>Settings!$B$24*(T442-L$6)^2</f>
        <v>7.1025368895220282</v>
      </c>
      <c r="AC442" s="31">
        <f>Settings!$B$25*(U442-M$6)^2</f>
        <v>1.9633983177310963</v>
      </c>
      <c r="AD442" s="19">
        <f t="shared" si="24"/>
        <v>4.5322950370796713</v>
      </c>
      <c r="AE442" s="15">
        <f t="shared" si="25"/>
        <v>1.7939645443361818</v>
      </c>
      <c r="AF442" s="33">
        <f t="shared" si="26"/>
        <v>0.20005671189236482</v>
      </c>
      <c r="AG442" s="47">
        <f t="shared" si="27"/>
        <v>8.6372482317209609E-4</v>
      </c>
      <c r="AH442" s="18">
        <v>0.78602688450309421</v>
      </c>
      <c r="AI442" s="46">
        <v>0</v>
      </c>
      <c r="AJ442" s="18">
        <v>0.2275353451552756</v>
      </c>
      <c r="AK442" s="46">
        <v>0</v>
      </c>
      <c r="AL442" s="18">
        <v>3.9386853843792147E-2</v>
      </c>
      <c r="AM442" s="46">
        <v>0</v>
      </c>
      <c r="AN442" s="18">
        <v>-0.37345243874935452</v>
      </c>
      <c r="AO442" s="46">
        <v>0</v>
      </c>
      <c r="AP442" s="18">
        <v>5.8372313351324763E-2</v>
      </c>
      <c r="AQ442" s="46">
        <v>0</v>
      </c>
    </row>
    <row r="443" spans="1:43" ht="20" customHeight="1" x14ac:dyDescent="0.45">
      <c r="A443" s="26">
        <v>433</v>
      </c>
      <c r="B443" s="16" t="s">
        <v>659</v>
      </c>
      <c r="C443" s="16" t="s">
        <v>260</v>
      </c>
      <c r="D443" s="46">
        <v>26</v>
      </c>
      <c r="E443" s="46">
        <v>1</v>
      </c>
      <c r="F443" s="13">
        <v>0.63151048169957691</v>
      </c>
      <c r="G443" s="13">
        <v>-0.22011277905695939</v>
      </c>
      <c r="H443" s="13">
        <v>1.1835672078315371E-3</v>
      </c>
      <c r="I443" s="13">
        <v>1.645108266895523E-3</v>
      </c>
      <c r="J443" s="13">
        <v>-0.14554806376873669</v>
      </c>
      <c r="K443" s="13">
        <v>10.03753387533876</v>
      </c>
      <c r="L443" s="13">
        <v>0.41215128621614727</v>
      </c>
      <c r="M443" s="13">
        <v>1.031499431644499</v>
      </c>
      <c r="N443" s="19">
        <f>(F443-Settings!$D$18)/Settings!$E$18</f>
        <v>1.5718265788135188</v>
      </c>
      <c r="O443" s="19">
        <f>(G443-Settings!$D$19)/Settings!$E$19</f>
        <v>-0.88934690550783191</v>
      </c>
      <c r="P443" s="19">
        <f>(H443-Settings!$D$20)/Settings!$E$20</f>
        <v>-0.47061926427418471</v>
      </c>
      <c r="Q443" s="19">
        <f>(I443-Settings!$D$21)/Settings!$E$21</f>
        <v>5.6439526715696277E-2</v>
      </c>
      <c r="R443" s="19">
        <f>(J443-Settings!$D$22)/Settings!$E$22</f>
        <v>-1.0584862249499942</v>
      </c>
      <c r="S443" s="19">
        <f>(K443-Settings!$D$23)/Settings!$E$23</f>
        <v>-1.811979462461315</v>
      </c>
      <c r="T443" s="19">
        <f>(L443-Settings!$D$24)/Settings!$E$24</f>
        <v>-0.61953444367364263</v>
      </c>
      <c r="U443" s="19">
        <f>(M443-Settings!$D$25)/Settings!$E$25</f>
        <v>0.73162496304364599</v>
      </c>
      <c r="V443" s="31">
        <f>Settings!$B$18*(N443-F$6)^2</f>
        <v>0.4651779227643178</v>
      </c>
      <c r="W443" s="31">
        <f>Settings!$B$19*(O443-G$6)^2</f>
        <v>0.38830750643831996</v>
      </c>
      <c r="X443" s="31">
        <f>Settings!$B$20*(P443-H$6)^2</f>
        <v>1.492932323285266</v>
      </c>
      <c r="Y443" s="31">
        <f>Settings!$B$21*(Q443-I$6)^2</f>
        <v>0.16787457323131552</v>
      </c>
      <c r="Z443" s="31">
        <f>Settings!$B$22*(R443-J$6)^2</f>
        <v>0.29347518789050642</v>
      </c>
      <c r="AA443" s="31">
        <f>Settings!$B$23*(S443-K$6)^2</f>
        <v>12.53033195008331</v>
      </c>
      <c r="AB443" s="31">
        <f>Settings!$B$24*(T443-L$6)^2</f>
        <v>4.604244283810738</v>
      </c>
      <c r="AC443" s="31">
        <f>Settings!$B$25*(U443-M$6)^2</f>
        <v>0.83459161567134144</v>
      </c>
      <c r="AD443" s="19">
        <f t="shared" si="24"/>
        <v>4.5581723709371849</v>
      </c>
      <c r="AE443" s="15">
        <f t="shared" si="25"/>
        <v>1.8042072622224918</v>
      </c>
      <c r="AF443" s="33">
        <f t="shared" si="26"/>
        <v>0.19640392028792089</v>
      </c>
      <c r="AG443" s="47">
        <f t="shared" si="27"/>
        <v>8.4795426115101124E-4</v>
      </c>
      <c r="AH443" s="18">
        <v>0.53190482678387707</v>
      </c>
      <c r="AI443" s="46">
        <v>1</v>
      </c>
      <c r="AJ443" s="18">
        <v>0.99110393456471146</v>
      </c>
      <c r="AK443" s="46">
        <v>1</v>
      </c>
      <c r="AL443" s="18">
        <v>0.46101260615278111</v>
      </c>
      <c r="AM443" s="46">
        <v>1</v>
      </c>
      <c r="AN443" s="18">
        <v>-1.396478786882019</v>
      </c>
      <c r="AO443" s="46">
        <v>1</v>
      </c>
      <c r="AP443" s="18">
        <v>-0.44496861050887698</v>
      </c>
      <c r="AQ443" s="46">
        <v>1</v>
      </c>
    </row>
    <row r="444" spans="1:43" ht="20" customHeight="1" x14ac:dyDescent="0.45">
      <c r="A444" s="26">
        <v>434</v>
      </c>
      <c r="B444" s="16" t="s">
        <v>660</v>
      </c>
      <c r="C444" s="16" t="s">
        <v>271</v>
      </c>
      <c r="D444" s="46">
        <v>26</v>
      </c>
      <c r="E444" s="46">
        <v>1</v>
      </c>
      <c r="F444" s="13">
        <v>-0.48485136235346971</v>
      </c>
      <c r="G444" s="13">
        <v>8.2122360631000729E-2</v>
      </c>
      <c r="H444" s="13">
        <v>-1.0273746455231911E-3</v>
      </c>
      <c r="I444" s="13">
        <v>-3.2101150490973562E-2</v>
      </c>
      <c r="J444" s="13">
        <v>-0.39989775187903293</v>
      </c>
      <c r="K444" s="13">
        <v>11.82298850574713</v>
      </c>
      <c r="L444" s="13">
        <v>-0.52038054788195309</v>
      </c>
      <c r="M444" s="13">
        <v>1.2366612388325799</v>
      </c>
      <c r="N444" s="19">
        <f>(F444-Settings!$D$18)/Settings!$E$18</f>
        <v>-2.423562868899293</v>
      </c>
      <c r="O444" s="19">
        <f>(G444-Settings!$D$19)/Settings!$E$19</f>
        <v>0.36980320820196444</v>
      </c>
      <c r="P444" s="19">
        <f>(H444-Settings!$D$20)/Settings!$E$20</f>
        <v>-0.4906508226256513</v>
      </c>
      <c r="Q444" s="19">
        <f>(I444-Settings!$D$21)/Settings!$E$21</f>
        <v>-0.35854859572722225</v>
      </c>
      <c r="R444" s="19">
        <f>(J444-Settings!$D$22)/Settings!$E$22</f>
        <v>-1.7428260357428245</v>
      </c>
      <c r="S444" s="19">
        <f>(K444-Settings!$D$23)/Settings!$E$23</f>
        <v>-1.1919321369729259</v>
      </c>
      <c r="T444" s="19">
        <f>(L444-Settings!$D$24)/Settings!$E$24</f>
        <v>-1.2642447085686739</v>
      </c>
      <c r="U444" s="19">
        <f>(M444-Settings!$D$25)/Settings!$E$25</f>
        <v>0.86998837080147473</v>
      </c>
      <c r="V444" s="31">
        <f>Settings!$B$18*(N444-F$6)^2</f>
        <v>1.2204790775763596</v>
      </c>
      <c r="W444" s="31">
        <f>Settings!$B$19*(O444-G$6)^2</f>
        <v>3.604104869388316E-3</v>
      </c>
      <c r="X444" s="31">
        <f>Settings!$B$20*(P444-H$6)^2</f>
        <v>1.5149042911967801</v>
      </c>
      <c r="Y444" s="31">
        <f>Settings!$B$21*(Q444-I$6)^2</f>
        <v>5.0237245382445596E-2</v>
      </c>
      <c r="Z444" s="31">
        <f>Settings!$B$22*(R444-J$6)^2</f>
        <v>0.71873019926821202</v>
      </c>
      <c r="AA444" s="31">
        <f>Settings!$B$23*(S444-K$6)^2</f>
        <v>8.5250776818804983</v>
      </c>
      <c r="AB444" s="31">
        <f>Settings!$B$24*(T444-L$6)^2</f>
        <v>7.7866700782227749</v>
      </c>
      <c r="AC444" s="31">
        <f>Settings!$B$25*(U444-M$6)^2</f>
        <v>1.1065425587955466</v>
      </c>
      <c r="AD444" s="19">
        <f t="shared" si="24"/>
        <v>4.5745213123552073</v>
      </c>
      <c r="AE444" s="15">
        <f t="shared" si="25"/>
        <v>1.8106784696353833</v>
      </c>
      <c r="AF444" s="33">
        <f t="shared" si="26"/>
        <v>0.19412009594277663</v>
      </c>
      <c r="AG444" s="47">
        <f t="shared" si="27"/>
        <v>8.3809407820585136E-4</v>
      </c>
      <c r="AH444" s="18">
        <v>0.31445323550433751</v>
      </c>
      <c r="AI444" s="46">
        <v>1</v>
      </c>
      <c r="AJ444" s="18">
        <v>-0.35668506706331121</v>
      </c>
      <c r="AK444" s="46">
        <v>1</v>
      </c>
      <c r="AL444" s="48"/>
      <c r="AM444" s="48"/>
      <c r="AN444" s="48"/>
      <c r="AO444" s="48"/>
      <c r="AP444" s="48"/>
      <c r="AQ444" s="48"/>
    </row>
    <row r="445" spans="1:43" ht="20" customHeight="1" x14ac:dyDescent="0.45">
      <c r="A445" s="26">
        <v>435</v>
      </c>
      <c r="B445" s="16" t="s">
        <v>661</v>
      </c>
      <c r="C445" s="16" t="s">
        <v>216</v>
      </c>
      <c r="D445" s="46">
        <v>26</v>
      </c>
      <c r="E445" s="46">
        <v>1</v>
      </c>
      <c r="F445" s="13">
        <v>0.2512865926010705</v>
      </c>
      <c r="G445" s="13">
        <v>-4.5547936968619793E-2</v>
      </c>
      <c r="H445" s="13">
        <v>-2.2762664414705119E-2</v>
      </c>
      <c r="I445" s="13">
        <v>-0.21482144032881539</v>
      </c>
      <c r="J445" s="13">
        <v>-0.46558136568678921</v>
      </c>
      <c r="K445" s="13">
        <v>13.135496183206079</v>
      </c>
      <c r="L445" s="13">
        <v>-0.58921957258591717</v>
      </c>
      <c r="M445" s="13">
        <v>2.500598429889497</v>
      </c>
      <c r="N445" s="19">
        <f>(F445-Settings!$D$18)/Settings!$E$18</f>
        <v>0.21102898225905142</v>
      </c>
      <c r="O445" s="19">
        <f>(G445-Settings!$D$19)/Settings!$E$19</f>
        <v>-0.16208752398058998</v>
      </c>
      <c r="P445" s="19">
        <f>(H445-Settings!$D$20)/Settings!$E$20</f>
        <v>-0.6875767275908905</v>
      </c>
      <c r="Q445" s="19">
        <f>(I445-Settings!$D$21)/Settings!$E$21</f>
        <v>-2.6055161945977279</v>
      </c>
      <c r="R445" s="19">
        <f>(J445-Settings!$D$22)/Settings!$E$22</f>
        <v>-1.9195508911155474</v>
      </c>
      <c r="S445" s="19">
        <f>(K445-Settings!$D$23)/Settings!$E$23</f>
        <v>-0.73612840988227313</v>
      </c>
      <c r="T445" s="19">
        <f>(L445-Settings!$D$24)/Settings!$E$24</f>
        <v>-1.3118368917298326</v>
      </c>
      <c r="U445" s="19">
        <f>(M445-Settings!$D$25)/Settings!$E$25</f>
        <v>1.7224016895541707</v>
      </c>
      <c r="V445" s="31">
        <f>Settings!$B$18*(N445-F$6)^2</f>
        <v>5.3981855929283208E-3</v>
      </c>
      <c r="W445" s="31">
        <f>Settings!$B$19*(O445-G$6)^2</f>
        <v>8.8746176110005265E-2</v>
      </c>
      <c r="X445" s="31">
        <f>Settings!$B$20*(P445-H$6)^2</f>
        <v>1.739450850599308</v>
      </c>
      <c r="Y445" s="31">
        <f>Settings!$B$21*(Q445-I$6)^2</f>
        <v>0.60955150003090131</v>
      </c>
      <c r="Z445" s="31">
        <f>Settings!$B$22*(R445-J$6)^2</f>
        <v>0.85898294488644555</v>
      </c>
      <c r="AA445" s="31">
        <f>Settings!$B$23*(S445-K$6)^2</f>
        <v>6.0711473714163002</v>
      </c>
      <c r="AB445" s="31">
        <f>Settings!$B$24*(T445-L$6)^2</f>
        <v>8.0545433132708162</v>
      </c>
      <c r="AC445" s="31">
        <f>Settings!$B$25*(U445-M$6)^2</f>
        <v>3.6264978302786082</v>
      </c>
      <c r="AD445" s="19">
        <f t="shared" si="24"/>
        <v>4.5884984659674144</v>
      </c>
      <c r="AE445" s="15">
        <f t="shared" si="25"/>
        <v>1.8162108804351877</v>
      </c>
      <c r="AF445" s="33">
        <f t="shared" si="26"/>
        <v>0.19218228023449999</v>
      </c>
      <c r="AG445" s="47">
        <f t="shared" si="27"/>
        <v>8.2972775290669385E-4</v>
      </c>
      <c r="AH445" s="18">
        <v>0.8745494550784072</v>
      </c>
      <c r="AI445" s="46">
        <v>1</v>
      </c>
      <c r="AJ445" s="18">
        <v>-0.48827366790817611</v>
      </c>
      <c r="AK445" s="46">
        <v>1</v>
      </c>
      <c r="AL445" s="48"/>
      <c r="AM445" s="48"/>
      <c r="AN445" s="48"/>
      <c r="AO445" s="48"/>
      <c r="AP445" s="48"/>
      <c r="AQ445" s="48"/>
    </row>
    <row r="446" spans="1:43" ht="20" customHeight="1" x14ac:dyDescent="0.45">
      <c r="A446" s="26">
        <v>436</v>
      </c>
      <c r="B446" s="16" t="s">
        <v>662</v>
      </c>
      <c r="C446" s="16" t="s">
        <v>246</v>
      </c>
      <c r="D446" s="46">
        <v>26</v>
      </c>
      <c r="E446" s="46">
        <v>1</v>
      </c>
      <c r="F446" s="13">
        <v>4.2638508758525741E-2</v>
      </c>
      <c r="G446" s="13">
        <v>0.62724993157448183</v>
      </c>
      <c r="H446" s="13">
        <v>-4.0006449350508922E-4</v>
      </c>
      <c r="I446" s="13">
        <v>-0.30152894065521202</v>
      </c>
      <c r="J446" s="13">
        <v>-2.8182554518275369E-2</v>
      </c>
      <c r="K446" s="13">
        <v>10.33701298701299</v>
      </c>
      <c r="L446" s="13">
        <v>0.19790367969000669</v>
      </c>
      <c r="M446" s="13">
        <v>-0.13882052861993721</v>
      </c>
      <c r="N446" s="19">
        <f>(F446-Settings!$D$18)/Settings!$E$18</f>
        <v>-0.53570950303657239</v>
      </c>
      <c r="O446" s="19">
        <f>(G446-Settings!$D$19)/Settings!$E$19</f>
        <v>2.6408741486905325</v>
      </c>
      <c r="P446" s="19">
        <f>(H446-Settings!$D$20)/Settings!$E$20</f>
        <v>-0.48496727201777295</v>
      </c>
      <c r="Q446" s="19">
        <f>(I446-Settings!$D$21)/Settings!$E$21</f>
        <v>-3.6717849925805415</v>
      </c>
      <c r="R446" s="19">
        <f>(J446-Settings!$D$22)/Settings!$E$22</f>
        <v>-0.7427087966748086</v>
      </c>
      <c r="S446" s="19">
        <f>(K446-Settings!$D$23)/Settings!$E$23</f>
        <v>-1.7079772553647541</v>
      </c>
      <c r="T446" s="19">
        <f>(L446-Settings!$D$24)/Settings!$E$24</f>
        <v>-0.76765553306270873</v>
      </c>
      <c r="U446" s="19">
        <f>(M446-Settings!$D$25)/Settings!$E$25</f>
        <v>-5.7651852600437946E-2</v>
      </c>
      <c r="V446" s="31">
        <f>Settings!$B$18*(N446-F$6)^2</f>
        <v>6.7849443398837014E-2</v>
      </c>
      <c r="W446" s="31">
        <f>Settings!$B$19*(O446-G$6)^2</f>
        <v>0.91320882646360091</v>
      </c>
      <c r="X446" s="31">
        <f>Settings!$B$20*(P446-H$6)^2</f>
        <v>1.5086538789923358</v>
      </c>
      <c r="Y446" s="31">
        <f>Settings!$B$21*(Q446-I$6)^2</f>
        <v>1.5815268106824665</v>
      </c>
      <c r="Z446" s="31">
        <f>Settings!$B$22*(R446-J$6)^2</f>
        <v>0.16041109858349395</v>
      </c>
      <c r="AA446" s="31">
        <f>Settings!$B$23*(S446-K$6)^2</f>
        <v>11.804850038097559</v>
      </c>
      <c r="AB446" s="31">
        <f>Settings!$B$24*(T446-L$6)^2</f>
        <v>5.2618458803527748</v>
      </c>
      <c r="AC446" s="31">
        <f>Settings!$B$25*(U446-M$6)^2</f>
        <v>1.5446274824348393E-2</v>
      </c>
      <c r="AD446" s="19">
        <f t="shared" si="24"/>
        <v>4.6166862847063177</v>
      </c>
      <c r="AE446" s="15">
        <f t="shared" si="25"/>
        <v>1.8273681301257001</v>
      </c>
      <c r="AF446" s="33">
        <f t="shared" si="26"/>
        <v>0.18831538508109438</v>
      </c>
      <c r="AG446" s="47">
        <f t="shared" si="27"/>
        <v>8.1303282024981175E-4</v>
      </c>
      <c r="AH446" s="18">
        <v>0.28063702083194092</v>
      </c>
      <c r="AI446" s="46">
        <v>1</v>
      </c>
      <c r="AJ446" s="48"/>
      <c r="AK446" s="48"/>
      <c r="AL446" s="48"/>
      <c r="AM446" s="48"/>
      <c r="AN446" s="48"/>
      <c r="AO446" s="48"/>
      <c r="AP446" s="48"/>
      <c r="AQ446" s="48"/>
    </row>
    <row r="447" spans="1:43" ht="20" customHeight="1" x14ac:dyDescent="0.45">
      <c r="A447" s="26">
        <v>437</v>
      </c>
      <c r="B447" s="16" t="s">
        <v>663</v>
      </c>
      <c r="C447" s="16" t="s">
        <v>220</v>
      </c>
      <c r="D447" s="46">
        <v>26</v>
      </c>
      <c r="E447" s="46">
        <v>1</v>
      </c>
      <c r="F447" s="13">
        <v>0.14616194670270169</v>
      </c>
      <c r="G447" s="13">
        <v>9.9271690503630869E-2</v>
      </c>
      <c r="H447" s="13">
        <v>-8.0141938134317909E-4</v>
      </c>
      <c r="I447" s="13">
        <v>-2.4133860111602849E-4</v>
      </c>
      <c r="J447" s="13">
        <v>-0.75352360481120828</v>
      </c>
      <c r="K447" s="13">
        <v>11.998703703703701</v>
      </c>
      <c r="L447" s="13">
        <v>-0.62418162890127515</v>
      </c>
      <c r="M447" s="13">
        <v>1.6156267586777571</v>
      </c>
      <c r="N447" s="19">
        <f>(F447-Settings!$D$18)/Settings!$E$18</f>
        <v>-0.16520557211445933</v>
      </c>
      <c r="O447" s="19">
        <f>(G447-Settings!$D$19)/Settings!$E$19</f>
        <v>0.44124950224131121</v>
      </c>
      <c r="P447" s="19">
        <f>(H447-Settings!$D$20)/Settings!$E$20</f>
        <v>-0.48860362448139655</v>
      </c>
      <c r="Q447" s="19">
        <f>(I447-Settings!$D$21)/Settings!$E$21</f>
        <v>3.3241309412218478E-2</v>
      </c>
      <c r="R447" s="19">
        <f>(J447-Settings!$D$22)/Settings!$E$22</f>
        <v>-2.6942730419688248</v>
      </c>
      <c r="S447" s="19">
        <f>(K447-Settings!$D$23)/Settings!$E$23</f>
        <v>-1.1309102903882748</v>
      </c>
      <c r="T447" s="19">
        <f>(L447-Settings!$D$24)/Settings!$E$24</f>
        <v>-1.3360080736285713</v>
      </c>
      <c r="U447" s="19">
        <f>(M447-Settings!$D$25)/Settings!$E$25</f>
        <v>1.1255669381145728</v>
      </c>
      <c r="V447" s="31">
        <f>Settings!$B$18*(N447-F$6)^2</f>
        <v>8.9841700724774525E-3</v>
      </c>
      <c r="W447" s="31">
        <f>Settings!$B$19*(O447-G$6)^2</f>
        <v>7.8862363050686754E-4</v>
      </c>
      <c r="X447" s="31">
        <f>Settings!$B$20*(P447-H$6)^2</f>
        <v>1.5126514223126994</v>
      </c>
      <c r="Y447" s="31">
        <f>Settings!$B$21*(Q447-I$6)^2</f>
        <v>0.15948077305715891</v>
      </c>
      <c r="Z447" s="31">
        <f>Settings!$B$22*(R447-J$6)^2</f>
        <v>1.6212409564757764</v>
      </c>
      <c r="AA447" s="31">
        <f>Settings!$B$23*(S447-K$6)^2</f>
        <v>8.172461398320344</v>
      </c>
      <c r="AB447" s="31">
        <f>Settings!$B$24*(T447-L$6)^2</f>
        <v>8.1923257369831219</v>
      </c>
      <c r="AC447" s="31">
        <f>Settings!$B$25*(U447-M$6)^2</f>
        <v>1.709561045662662</v>
      </c>
      <c r="AD447" s="19">
        <f t="shared" si="24"/>
        <v>4.6235802281905682</v>
      </c>
      <c r="AE447" s="15">
        <f t="shared" si="25"/>
        <v>1.8300968779411493</v>
      </c>
      <c r="AF447" s="33">
        <f t="shared" si="26"/>
        <v>0.18737800387662434</v>
      </c>
      <c r="AG447" s="47">
        <f t="shared" si="27"/>
        <v>8.0898577075361026E-4</v>
      </c>
      <c r="AH447" s="18">
        <v>1.0531711841831011</v>
      </c>
      <c r="AI447" s="46">
        <v>1</v>
      </c>
      <c r="AJ447" s="18">
        <v>8.0068630440458533E-2</v>
      </c>
      <c r="AK447" s="46">
        <v>1</v>
      </c>
      <c r="AL447" s="18">
        <v>-0.73075308557519625</v>
      </c>
      <c r="AM447" s="46">
        <v>1</v>
      </c>
      <c r="AN447" s="18">
        <v>-0.23832513091592419</v>
      </c>
      <c r="AO447" s="46">
        <v>1</v>
      </c>
      <c r="AP447" s="48"/>
      <c r="AQ447" s="48"/>
    </row>
    <row r="448" spans="1:43" ht="20" customHeight="1" x14ac:dyDescent="0.45">
      <c r="A448" s="26">
        <v>438</v>
      </c>
      <c r="B448" s="16" t="s">
        <v>664</v>
      </c>
      <c r="C448" s="16" t="s">
        <v>260</v>
      </c>
      <c r="D448" s="46">
        <v>26</v>
      </c>
      <c r="E448" s="46">
        <v>1</v>
      </c>
      <c r="F448" s="13">
        <v>-0.74343120922160211</v>
      </c>
      <c r="G448" s="13">
        <v>-6.7312427029261768E-2</v>
      </c>
      <c r="H448" s="13">
        <v>-5.1346730433072781E-3</v>
      </c>
      <c r="I448" s="13">
        <v>0.1072645444125592</v>
      </c>
      <c r="J448" s="13">
        <v>7.6857146293269493E-2</v>
      </c>
      <c r="K448" s="13">
        <v>12.0926282051282</v>
      </c>
      <c r="L448" s="13">
        <v>-0.67546090678182857</v>
      </c>
      <c r="M448" s="13">
        <v>-0.7910203827069322</v>
      </c>
      <c r="N448" s="19">
        <f>(F448-Settings!$D$18)/Settings!$E$18</f>
        <v>-3.3490040213998791</v>
      </c>
      <c r="O448" s="19">
        <f>(G448-Settings!$D$19)/Settings!$E$19</f>
        <v>-0.25276116359439155</v>
      </c>
      <c r="P448" s="19">
        <f>(H448-Settings!$D$20)/Settings!$E$20</f>
        <v>-0.52786373593554148</v>
      </c>
      <c r="Q448" s="19">
        <f>(I448-Settings!$D$21)/Settings!$E$21</f>
        <v>1.3552742157417221</v>
      </c>
      <c r="R448" s="19">
        <f>(J448-Settings!$D$22)/Settings!$E$22</f>
        <v>-0.46009453631079805</v>
      </c>
      <c r="S448" s="19">
        <f>(K448-Settings!$D$23)/Settings!$E$23</f>
        <v>-1.098292471422597</v>
      </c>
      <c r="T448" s="19">
        <f>(L448-Settings!$D$24)/Settings!$E$24</f>
        <v>-1.3714602433209571</v>
      </c>
      <c r="U448" s="19">
        <f>(M448-Settings!$D$25)/Settings!$E$25</f>
        <v>-0.49750269807436037</v>
      </c>
      <c r="V448" s="31">
        <f>Settings!$B$18*(N448-F$6)^2</f>
        <v>2.3062152508822114</v>
      </c>
      <c r="W448" s="31">
        <f>Settings!$B$19*(O448-G$6)^2</f>
        <v>0.11455073689668067</v>
      </c>
      <c r="X448" s="31">
        <f>Settings!$B$20*(P448-H$6)^2</f>
        <v>1.5561479778945695</v>
      </c>
      <c r="Y448" s="31">
        <f>Settings!$B$21*(Q448-I$6)^2</f>
        <v>0.98125176424544314</v>
      </c>
      <c r="Z448" s="31">
        <f>Settings!$B$22*(R448-J$6)^2</f>
        <v>7.5144298547580465E-2</v>
      </c>
      <c r="AA448" s="31">
        <f>Settings!$B$23*(S448-K$6)^2</f>
        <v>7.9870328282732652</v>
      </c>
      <c r="AB448" s="31">
        <f>Settings!$B$24*(T448-L$6)^2</f>
        <v>8.3965266891510009</v>
      </c>
      <c r="AC448" s="31">
        <f>Settings!$B$25*(U448-M$6)^2</f>
        <v>9.9583037838860841E-2</v>
      </c>
      <c r="AD448" s="19">
        <f t="shared" si="24"/>
        <v>4.6385830362007763</v>
      </c>
      <c r="AE448" s="15">
        <f t="shared" si="25"/>
        <v>1.8360352613463784</v>
      </c>
      <c r="AF448" s="33">
        <f t="shared" si="26"/>
        <v>0.18534937146656805</v>
      </c>
      <c r="AG448" s="47">
        <f t="shared" si="27"/>
        <v>8.0022735343742552E-4</v>
      </c>
      <c r="AH448" s="18">
        <v>0.14930529239530621</v>
      </c>
      <c r="AI448" s="46">
        <v>1</v>
      </c>
      <c r="AJ448" s="18">
        <v>0.5293715484851047</v>
      </c>
      <c r="AK448" s="46">
        <v>1</v>
      </c>
      <c r="AL448" s="48"/>
      <c r="AM448" s="48"/>
      <c r="AN448" s="48"/>
      <c r="AO448" s="48"/>
      <c r="AP448" s="48"/>
      <c r="AQ448" s="48"/>
    </row>
    <row r="449" spans="1:43" ht="20" customHeight="1" x14ac:dyDescent="0.45">
      <c r="A449" s="26">
        <v>439</v>
      </c>
      <c r="B449" s="16" t="s">
        <v>665</v>
      </c>
      <c r="C449" s="16" t="s">
        <v>229</v>
      </c>
      <c r="D449" s="46">
        <v>26</v>
      </c>
      <c r="E449" s="46">
        <v>1</v>
      </c>
      <c r="F449" s="13">
        <v>0.70800819269896875</v>
      </c>
      <c r="G449" s="13">
        <v>-1.5908879375590199E-2</v>
      </c>
      <c r="H449" s="13">
        <v>1.818066571441918E-3</v>
      </c>
      <c r="I449" s="13">
        <v>1.8322106002960262E-2</v>
      </c>
      <c r="J449" s="13">
        <v>0.25594275535103889</v>
      </c>
      <c r="K449" s="13">
        <v>10.42929824561403</v>
      </c>
      <c r="L449" s="13">
        <v>-0.1768428492613367</v>
      </c>
      <c r="M449" s="13">
        <v>-1.789853180623634</v>
      </c>
      <c r="N449" s="19">
        <f>(F449-Settings!$D$18)/Settings!$E$18</f>
        <v>1.8456071177394187</v>
      </c>
      <c r="O449" s="19">
        <f>(G449-Settings!$D$19)/Settings!$E$19</f>
        <v>-3.8607432363694842E-2</v>
      </c>
      <c r="P449" s="19">
        <f>(H449-Settings!$D$20)/Settings!$E$20</f>
        <v>-0.46487057802680809</v>
      </c>
      <c r="Q449" s="19">
        <f>(I449-Settings!$D$21)/Settings!$E$21</f>
        <v>0.26152169680545473</v>
      </c>
      <c r="R449" s="19">
        <f>(J449-Settings!$D$22)/Settings!$E$22</f>
        <v>2.1743726314347223E-2</v>
      </c>
      <c r="S449" s="19">
        <f>(K449-Settings!$D$23)/Settings!$E$23</f>
        <v>-1.6759287077270628</v>
      </c>
      <c r="T449" s="19">
        <f>(L449-Settings!$D$24)/Settings!$E$24</f>
        <v>-1.0267383065557776</v>
      </c>
      <c r="U449" s="19">
        <f>(M449-Settings!$D$25)/Settings!$E$25</f>
        <v>-1.1711266614923941</v>
      </c>
      <c r="V449" s="31">
        <f>Settings!$B$18*(N449-F$6)^2</f>
        <v>0.64718470906757364</v>
      </c>
      <c r="W449" s="31">
        <f>Settings!$B$19*(O449-G$6)^2</f>
        <v>5.8894062182801354E-2</v>
      </c>
      <c r="X449" s="31">
        <f>Settings!$B$20*(P449-H$6)^2</f>
        <v>1.4866564159395128</v>
      </c>
      <c r="Y449" s="31">
        <f>Settings!$B$21*(Q449-I$6)^2</f>
        <v>0.25144260686937536</v>
      </c>
      <c r="Z449" s="31">
        <f>Settings!$B$22*(R449-J$6)^2</f>
        <v>3.4386475095575172E-3</v>
      </c>
      <c r="AA449" s="31">
        <f>Settings!$B$23*(S449-K$6)^2</f>
        <v>11.585651149884114</v>
      </c>
      <c r="AB449" s="31">
        <f>Settings!$B$24*(T449-L$6)^2</f>
        <v>6.5175748790864576</v>
      </c>
      <c r="AC449" s="31">
        <f>Settings!$B$25*(U449-M$6)^2</f>
        <v>0.97850034933429697</v>
      </c>
      <c r="AD449" s="19">
        <f t="shared" si="24"/>
        <v>4.6399722865415578</v>
      </c>
      <c r="AE449" s="15">
        <f t="shared" si="25"/>
        <v>1.8365851518178018</v>
      </c>
      <c r="AF449" s="33">
        <f t="shared" si="26"/>
        <v>0.1851623057896655</v>
      </c>
      <c r="AG449" s="47">
        <f t="shared" si="27"/>
        <v>7.9941971610711111E-4</v>
      </c>
      <c r="AH449" s="18">
        <v>-0.5157081337127547</v>
      </c>
      <c r="AI449" s="46">
        <v>1</v>
      </c>
      <c r="AJ449" s="48"/>
      <c r="AK449" s="48"/>
      <c r="AL449" s="48"/>
      <c r="AM449" s="48"/>
      <c r="AN449" s="48"/>
      <c r="AO449" s="48"/>
      <c r="AP449" s="48"/>
      <c r="AQ449" s="48"/>
    </row>
    <row r="450" spans="1:43" ht="20" customHeight="1" x14ac:dyDescent="0.45">
      <c r="A450" s="26">
        <v>440</v>
      </c>
      <c r="B450" s="16" t="s">
        <v>666</v>
      </c>
      <c r="C450" s="16" t="s">
        <v>214</v>
      </c>
      <c r="D450" s="46">
        <v>26</v>
      </c>
      <c r="E450" s="46">
        <v>1</v>
      </c>
      <c r="F450" s="13">
        <v>-0.89157356947656574</v>
      </c>
      <c r="G450" s="13">
        <v>7.952602664992028E-3</v>
      </c>
      <c r="H450" s="13">
        <v>-4.5306102616767013E-4</v>
      </c>
      <c r="I450" s="13">
        <v>-9.4865895139820203E-2</v>
      </c>
      <c r="J450" s="13">
        <v>5.1548716924543006E-3</v>
      </c>
      <c r="K450" s="13">
        <v>11.90641975308642</v>
      </c>
      <c r="L450" s="13">
        <v>-0.7180584637089239</v>
      </c>
      <c r="M450" s="13">
        <v>-0.6564097781037328</v>
      </c>
      <c r="N450" s="19">
        <f>(F450-Settings!$D$18)/Settings!$E$18</f>
        <v>-3.8791962938023983</v>
      </c>
      <c r="O450" s="19">
        <f>(G450-Settings!$D$19)/Settings!$E$19</f>
        <v>6.0802543113356734E-2</v>
      </c>
      <c r="P450" s="19">
        <f>(H450-Settings!$D$20)/Settings!$E$20</f>
        <v>-0.48544743079483221</v>
      </c>
      <c r="Q450" s="19">
        <f>(I450-Settings!$D$21)/Settings!$E$21</f>
        <v>-1.1303859636653921</v>
      </c>
      <c r="R450" s="19">
        <f>(J450-Settings!$D$22)/Settings!$E$22</f>
        <v>-0.65301288190931628</v>
      </c>
      <c r="S450" s="19">
        <f>(K450-Settings!$D$23)/Settings!$E$23</f>
        <v>-1.1629583837932918</v>
      </c>
      <c r="T450" s="19">
        <f>(L450-Settings!$D$24)/Settings!$E$24</f>
        <v>-1.4009102644421232</v>
      </c>
      <c r="U450" s="19">
        <f>(M450-Settings!$D$25)/Settings!$E$25</f>
        <v>-0.40671980710398692</v>
      </c>
      <c r="V450" s="31">
        <f>Settings!$B$18*(N450-F$6)^2</f>
        <v>3.0825948780950121</v>
      </c>
      <c r="W450" s="31">
        <f>Settings!$B$19*(O450-G$6)^2</f>
        <v>3.9292554344848733E-2</v>
      </c>
      <c r="X450" s="31">
        <f>Settings!$B$20*(P450-H$6)^2</f>
        <v>1.5091814277851281</v>
      </c>
      <c r="Y450" s="31">
        <f>Settings!$B$21*(Q450-I$6)^2</f>
        <v>1.465056000477892E-2</v>
      </c>
      <c r="Z450" s="31">
        <f>Settings!$B$22*(R450-J$6)^2</f>
        <v>0.12988838418813139</v>
      </c>
      <c r="AA450" s="31">
        <f>Settings!$B$23*(S450-K$6)^2</f>
        <v>8.3567235629191199</v>
      </c>
      <c r="AB450" s="31">
        <f>Settings!$B$24*(T450-L$6)^2</f>
        <v>8.568067236661113</v>
      </c>
      <c r="AC450" s="31">
        <f>Settings!$B$25*(U450-M$6)^2</f>
        <v>5.0528256354636189E-2</v>
      </c>
      <c r="AD450" s="19">
        <f t="shared" si="24"/>
        <v>4.6637888953460109</v>
      </c>
      <c r="AE450" s="15">
        <f t="shared" si="25"/>
        <v>1.8460121973680057</v>
      </c>
      <c r="AF450" s="33">
        <f t="shared" si="26"/>
        <v>0.18197599132281125</v>
      </c>
      <c r="AG450" s="47">
        <f t="shared" si="27"/>
        <v>7.8566312242214114E-4</v>
      </c>
      <c r="AH450" s="48"/>
      <c r="AI450" s="48"/>
      <c r="AJ450" s="48"/>
      <c r="AK450" s="48"/>
      <c r="AL450" s="48"/>
      <c r="AM450" s="48"/>
      <c r="AN450" s="48"/>
      <c r="AO450" s="48"/>
      <c r="AP450" s="48"/>
      <c r="AQ450" s="48"/>
    </row>
    <row r="451" spans="1:43" ht="20" customHeight="1" x14ac:dyDescent="0.45">
      <c r="A451" s="26">
        <v>441</v>
      </c>
      <c r="B451" s="16" t="s">
        <v>667</v>
      </c>
      <c r="C451" s="16" t="s">
        <v>242</v>
      </c>
      <c r="D451" s="46">
        <v>26</v>
      </c>
      <c r="E451" s="46">
        <v>0</v>
      </c>
      <c r="F451" s="13">
        <v>0.44966027220420263</v>
      </c>
      <c r="G451" s="13">
        <v>-0.19096066889967159</v>
      </c>
      <c r="H451" s="13">
        <v>-8.6661680511054557E-4</v>
      </c>
      <c r="I451" s="13">
        <v>-0.17328524318769231</v>
      </c>
      <c r="J451" s="13">
        <v>-0.1852271989033229</v>
      </c>
      <c r="K451" s="13">
        <v>9.7265392781316375</v>
      </c>
      <c r="L451" s="13">
        <v>-2.7200955767128821E-2</v>
      </c>
      <c r="M451" s="13">
        <v>-0.42706846002219812</v>
      </c>
      <c r="N451" s="19">
        <f>(F451-Settings!$D$18)/Settings!$E$18</f>
        <v>0.92099601527120356</v>
      </c>
      <c r="O451" s="19">
        <f>(G451-Settings!$D$19)/Settings!$E$19</f>
        <v>-0.76789549897275089</v>
      </c>
      <c r="P451" s="19">
        <f>(H451-Settings!$D$20)/Settings!$E$20</f>
        <v>-0.48919432567807425</v>
      </c>
      <c r="Q451" s="19">
        <f>(I451-Settings!$D$21)/Settings!$E$21</f>
        <v>-2.0947328040983533</v>
      </c>
      <c r="R451" s="19">
        <f>(J451-Settings!$D$22)/Settings!$E$22</f>
        <v>-1.1652448061464877</v>
      </c>
      <c r="S451" s="19">
        <f>(K451-Settings!$D$23)/Settings!$E$23</f>
        <v>-1.9199807328131193</v>
      </c>
      <c r="T451" s="19">
        <f>(L451-Settings!$D$24)/Settings!$E$24</f>
        <v>-0.92328268041369366</v>
      </c>
      <c r="U451" s="19">
        <f>(M451-Settings!$D$25)/Settings!$E$25</f>
        <v>-0.25204946790024457</v>
      </c>
      <c r="V451" s="31">
        <f>Settings!$B$18*(N451-F$6)^2</f>
        <v>0.15286477806687168</v>
      </c>
      <c r="W451" s="31">
        <f>Settings!$B$19*(O451-G$6)^2</f>
        <v>0.3235658930500207</v>
      </c>
      <c r="X451" s="31">
        <f>Settings!$B$20*(P451-H$6)^2</f>
        <v>1.5133012959393899</v>
      </c>
      <c r="Y451" s="31">
        <f>Settings!$B$21*(Q451-I$6)^2</f>
        <v>0.30504469632083581</v>
      </c>
      <c r="Z451" s="31">
        <f>Settings!$B$22*(R451-J$6)^2</f>
        <v>0.34748359520123556</v>
      </c>
      <c r="AA451" s="31">
        <f>Settings!$B$23*(S451-K$6)^2</f>
        <v>13.306606530869287</v>
      </c>
      <c r="AB451" s="31">
        <f>Settings!$B$24*(T451-L$6)^2</f>
        <v>6.0000430059897427</v>
      </c>
      <c r="AC451" s="31">
        <f>Settings!$B$25*(U451-M$6)^2</f>
        <v>4.916053222264829E-3</v>
      </c>
      <c r="AD451" s="19">
        <f t="shared" si="24"/>
        <v>4.6854909933388678</v>
      </c>
      <c r="AE451" s="15">
        <f t="shared" si="25"/>
        <v>1.8546022812037617</v>
      </c>
      <c r="AF451" s="33">
        <f t="shared" si="26"/>
        <v>0.17910647622844078</v>
      </c>
      <c r="AG451" s="47">
        <f t="shared" si="27"/>
        <v>7.7327427830873653E-4</v>
      </c>
      <c r="AH451" s="18">
        <v>-1.8186505822851109E-2</v>
      </c>
      <c r="AI451" s="46">
        <v>0</v>
      </c>
      <c r="AJ451" s="18">
        <v>8.0896144177425688E-2</v>
      </c>
      <c r="AK451" s="46">
        <v>0</v>
      </c>
      <c r="AL451" s="18">
        <v>-6.8837162607333163E-2</v>
      </c>
      <c r="AM451" s="46">
        <v>0</v>
      </c>
      <c r="AN451" s="18">
        <v>-0.44635213829473591</v>
      </c>
      <c r="AO451" s="46">
        <v>0</v>
      </c>
      <c r="AP451" s="18">
        <v>0.1663652137803194</v>
      </c>
      <c r="AQ451" s="46">
        <v>0</v>
      </c>
    </row>
    <row r="452" spans="1:43" ht="20" customHeight="1" x14ac:dyDescent="0.45">
      <c r="A452" s="26">
        <v>442</v>
      </c>
      <c r="B452" s="16" t="s">
        <v>668</v>
      </c>
      <c r="C452" s="16" t="s">
        <v>216</v>
      </c>
      <c r="D452" s="46">
        <v>26</v>
      </c>
      <c r="E452" s="46">
        <v>1</v>
      </c>
      <c r="F452" s="13">
        <v>0.21351378433916529</v>
      </c>
      <c r="G452" s="13">
        <v>-0.117348968662632</v>
      </c>
      <c r="H452" s="13">
        <v>-4.441490186389726E-4</v>
      </c>
      <c r="I452" s="13">
        <v>-1.8742680911402721E-3</v>
      </c>
      <c r="J452" s="13">
        <v>0.66681882988842345</v>
      </c>
      <c r="K452" s="13">
        <v>8.9149253731343272</v>
      </c>
      <c r="L452" s="13">
        <v>1.2476911917981459</v>
      </c>
      <c r="M452" s="13">
        <v>-2.7516972378577491</v>
      </c>
      <c r="N452" s="19">
        <f>(F452-Settings!$D$18)/Settings!$E$18</f>
        <v>7.584245618415611E-2</v>
      </c>
      <c r="O452" s="19">
        <f>(G452-Settings!$D$19)/Settings!$E$19</f>
        <v>-0.46121977351099652</v>
      </c>
      <c r="P452" s="19">
        <f>(H452-Settings!$D$20)/Settings!$E$20</f>
        <v>-0.48536668629285945</v>
      </c>
      <c r="Q452" s="19">
        <f>(I452-Settings!$D$21)/Settings!$E$21</f>
        <v>1.3160673273884564E-2</v>
      </c>
      <c r="R452" s="19">
        <f>(J452-Settings!$D$22)/Settings!$E$22</f>
        <v>1.1272251491430798</v>
      </c>
      <c r="S452" s="19">
        <f>(K452-Settings!$D$23)/Settings!$E$23</f>
        <v>-2.2018355739006625</v>
      </c>
      <c r="T452" s="19">
        <f>(L452-Settings!$D$24)/Settings!$E$24</f>
        <v>-4.1880004263404165E-2</v>
      </c>
      <c r="U452" s="19">
        <f>(M452-Settings!$D$25)/Settings!$E$25</f>
        <v>-1.8198050062318913</v>
      </c>
      <c r="V452" s="31">
        <f>Settings!$B$18*(N452-F$6)^2</f>
        <v>1.6939265571026623E-4</v>
      </c>
      <c r="W452" s="31">
        <f>Settings!$B$19*(O452-G$6)^2</f>
        <v>0.18634673581172956</v>
      </c>
      <c r="X452" s="31">
        <f>Settings!$B$20*(P452-H$6)^2</f>
        <v>1.5090927076291121</v>
      </c>
      <c r="Y452" s="31">
        <f>Settings!$B$21*(Q452-I$6)^2</f>
        <v>0.15238881920724975</v>
      </c>
      <c r="Z452" s="31">
        <f>Settings!$B$22*(R452-J$6)^2</f>
        <v>0.18987487254976662</v>
      </c>
      <c r="AA452" s="31">
        <f>Settings!$B$23*(S452-K$6)^2</f>
        <v>15.442361354294839</v>
      </c>
      <c r="AB452" s="31">
        <f>Settings!$B$24*(T452-L$6)^2</f>
        <v>2.4589245796646764</v>
      </c>
      <c r="AC452" s="31">
        <f>Settings!$B$25*(U452-M$6)^2</f>
        <v>2.6826184986803852</v>
      </c>
      <c r="AD452" s="19">
        <f t="shared" si="24"/>
        <v>4.7562355871522453</v>
      </c>
      <c r="AE452" s="15">
        <f t="shared" si="25"/>
        <v>1.8826042740057216</v>
      </c>
      <c r="AF452" s="33">
        <f t="shared" si="26"/>
        <v>0.16997576239351933</v>
      </c>
      <c r="AG452" s="47">
        <f t="shared" si="27"/>
        <v>7.3385333552754349E-4</v>
      </c>
      <c r="AH452" s="18">
        <v>-1.095839610606723</v>
      </c>
      <c r="AI452" s="46">
        <v>1</v>
      </c>
      <c r="AJ452" s="48"/>
      <c r="AK452" s="48"/>
      <c r="AL452" s="48"/>
      <c r="AM452" s="48"/>
      <c r="AN452" s="48"/>
      <c r="AO452" s="48"/>
      <c r="AP452" s="48"/>
      <c r="AQ452" s="48"/>
    </row>
    <row r="453" spans="1:43" ht="20" customHeight="1" x14ac:dyDescent="0.45">
      <c r="A453" s="26">
        <v>443</v>
      </c>
      <c r="B453" s="16" t="s">
        <v>669</v>
      </c>
      <c r="C453" s="16" t="s">
        <v>229</v>
      </c>
      <c r="D453" s="46">
        <v>26</v>
      </c>
      <c r="E453" s="46">
        <v>1</v>
      </c>
      <c r="F453" s="13">
        <v>6.1322001566706313E-3</v>
      </c>
      <c r="G453" s="13">
        <v>0.16284420817245451</v>
      </c>
      <c r="H453" s="13">
        <v>9.380169442233221E-4</v>
      </c>
      <c r="I453" s="13">
        <v>0.17380225098027549</v>
      </c>
      <c r="J453" s="13">
        <v>-0.65628332374637599</v>
      </c>
      <c r="K453" s="13">
        <v>10.880026455026449</v>
      </c>
      <c r="L453" s="13">
        <v>-0.38121733630987159</v>
      </c>
      <c r="M453" s="13">
        <v>1.389121159970585E-2</v>
      </c>
      <c r="N453" s="19">
        <f>(F453-Settings!$D$18)/Settings!$E$18</f>
        <v>-0.66636330577964487</v>
      </c>
      <c r="O453" s="19">
        <f>(G453-Settings!$D$19)/Settings!$E$19</f>
        <v>0.70610071356690851</v>
      </c>
      <c r="P453" s="19">
        <f>(H453-Settings!$D$20)/Settings!$E$20</f>
        <v>-0.47284399688134149</v>
      </c>
      <c r="Q453" s="19">
        <f>(I453-Settings!$D$21)/Settings!$E$21</f>
        <v>2.1735088567522807</v>
      </c>
      <c r="R453" s="19">
        <f>(J453-Settings!$D$22)/Settings!$E$22</f>
        <v>-2.4326434876345875</v>
      </c>
      <c r="S453" s="19">
        <f>(K453-Settings!$D$23)/Settings!$E$23</f>
        <v>-1.5194011679012984</v>
      </c>
      <c r="T453" s="19">
        <f>(L453-Settings!$D$24)/Settings!$E$24</f>
        <v>-1.1680335684063086</v>
      </c>
      <c r="U453" s="19">
        <f>(M453-Settings!$D$25)/Settings!$E$25</f>
        <v>4.5338645831112384E-2</v>
      </c>
      <c r="V453" s="31">
        <f>Settings!$B$18*(N453-F$6)^2</f>
        <v>0.10170321435558245</v>
      </c>
      <c r="W453" s="31">
        <f>Settings!$B$19*(O453-G$6)^2</f>
        <v>8.1654029184299124E-3</v>
      </c>
      <c r="X453" s="31">
        <f>Settings!$B$20*(P453-H$6)^2</f>
        <v>1.4953646373797718</v>
      </c>
      <c r="Y453" s="31">
        <f>Settings!$B$21*(Q453-I$6)^2</f>
        <v>1.8401117404803509</v>
      </c>
      <c r="Z453" s="31">
        <f>Settings!$B$22*(R453-J$6)^2</f>
        <v>1.3369725991638364</v>
      </c>
      <c r="AA453" s="31">
        <f>Settings!$B$23*(S453-K$6)^2</f>
        <v>10.544584489053898</v>
      </c>
      <c r="AB453" s="31">
        <f>Settings!$B$24*(T453-L$6)^2</f>
        <v>7.2589798796263345</v>
      </c>
      <c r="AC453" s="31">
        <f>Settings!$B$25*(U453-M$6)^2</f>
        <v>5.1653262720802069E-2</v>
      </c>
      <c r="AD453" s="19">
        <f t="shared" si="24"/>
        <v>4.7578918888199855</v>
      </c>
      <c r="AE453" s="15">
        <f t="shared" si="25"/>
        <v>1.8832598682338868</v>
      </c>
      <c r="AF453" s="33">
        <f t="shared" si="26"/>
        <v>0.16976606707045333</v>
      </c>
      <c r="AG453" s="47">
        <f t="shared" si="27"/>
        <v>7.3294799696568293E-4</v>
      </c>
      <c r="AH453" s="18">
        <v>0.44046711455987242</v>
      </c>
      <c r="AI453" s="46">
        <v>1</v>
      </c>
      <c r="AJ453" s="18">
        <v>1.1897104261299969</v>
      </c>
      <c r="AK453" s="46">
        <v>1</v>
      </c>
      <c r="AL453" s="18">
        <v>1.1752245734569341E-2</v>
      </c>
      <c r="AM453" s="46">
        <v>1</v>
      </c>
      <c r="AN453" s="48"/>
      <c r="AO453" s="48"/>
      <c r="AP453" s="48"/>
      <c r="AQ453" s="48"/>
    </row>
    <row r="454" spans="1:43" ht="20" customHeight="1" x14ac:dyDescent="0.45">
      <c r="A454" s="26">
        <v>444</v>
      </c>
      <c r="B454" s="16" t="s">
        <v>670</v>
      </c>
      <c r="C454" s="16" t="s">
        <v>234</v>
      </c>
      <c r="D454" s="46">
        <v>26</v>
      </c>
      <c r="E454" s="46">
        <v>1</v>
      </c>
      <c r="F454" s="13">
        <v>0.24976128375352391</v>
      </c>
      <c r="G454" s="13">
        <v>-8.5810439747159642E-2</v>
      </c>
      <c r="H454" s="13">
        <v>9.1067281386370495E-3</v>
      </c>
      <c r="I454" s="13">
        <v>-9.3399769675653213E-4</v>
      </c>
      <c r="J454" s="13">
        <v>-0.65438755066392296</v>
      </c>
      <c r="K454" s="13">
        <v>10.472348484848499</v>
      </c>
      <c r="L454" s="13">
        <v>-0.49515870159763081</v>
      </c>
      <c r="M454" s="13">
        <v>0.6960041289723955</v>
      </c>
      <c r="N454" s="19">
        <f>(F454-Settings!$D$18)/Settings!$E$18</f>
        <v>0.20556999697891579</v>
      </c>
      <c r="O454" s="19">
        <f>(G454-Settings!$D$19)/Settings!$E$19</f>
        <v>-0.32982624226523621</v>
      </c>
      <c r="P454" s="19">
        <f>(H454-Settings!$D$20)/Settings!$E$20</f>
        <v>-0.39883390263173779</v>
      </c>
      <c r="Q454" s="19">
        <f>(I454-Settings!$D$21)/Settings!$E$21</f>
        <v>2.4723467489198347E-2</v>
      </c>
      <c r="R454" s="19">
        <f>(J454-Settings!$D$22)/Settings!$E$22</f>
        <v>-2.4275428209021421</v>
      </c>
      <c r="S454" s="19">
        <f>(K454-Settings!$D$23)/Settings!$E$23</f>
        <v>-1.6609783498493815</v>
      </c>
      <c r="T454" s="19">
        <f>(L454-Settings!$D$24)/Settings!$E$24</f>
        <v>-1.2468074666381248</v>
      </c>
      <c r="U454" s="19">
        <f>(M454-Settings!$D$25)/Settings!$E$25</f>
        <v>0.50536319434173127</v>
      </c>
      <c r="V454" s="31">
        <f>Settings!$B$18*(N454-F$6)^2</f>
        <v>5.045404855392106E-3</v>
      </c>
      <c r="W454" s="31">
        <f>Settings!$B$19*(O454-G$6)^2</f>
        <v>0.13906783439614875</v>
      </c>
      <c r="X454" s="31">
        <f>Settings!$B$20*(P454-H$6)^2</f>
        <v>1.415511506034379</v>
      </c>
      <c r="Y454" s="31">
        <f>Settings!$B$21*(Q454-I$6)^2</f>
        <v>0.15645279675278395</v>
      </c>
      <c r="Z454" s="31">
        <f>Settings!$B$22*(R454-J$6)^2</f>
        <v>1.3317026721780465</v>
      </c>
      <c r="AA454" s="31">
        <f>Settings!$B$23*(S454-K$6)^2</f>
        <v>11.484099499702646</v>
      </c>
      <c r="AB454" s="31">
        <f>Settings!$B$24*(T454-L$6)^2</f>
        <v>7.6896582642309301</v>
      </c>
      <c r="AC454" s="31">
        <f>Settings!$B$25*(U454-M$6)^2</f>
        <v>0.47237866469811635</v>
      </c>
      <c r="AD454" s="19">
        <f t="shared" si="24"/>
        <v>4.7638132460087519</v>
      </c>
      <c r="AE454" s="15">
        <f t="shared" si="25"/>
        <v>1.8856036487609906</v>
      </c>
      <c r="AF454" s="33">
        <f t="shared" si="26"/>
        <v>0.16901791561687365</v>
      </c>
      <c r="AG454" s="47">
        <f t="shared" si="27"/>
        <v>7.29717927972563E-4</v>
      </c>
      <c r="AH454" s="18">
        <v>0.11432932775880909</v>
      </c>
      <c r="AI454" s="46">
        <v>1</v>
      </c>
      <c r="AJ454" s="48"/>
      <c r="AK454" s="48"/>
      <c r="AL454" s="48"/>
      <c r="AM454" s="48"/>
      <c r="AN454" s="18">
        <v>-1.1613650750384441</v>
      </c>
      <c r="AO454" s="46">
        <v>1</v>
      </c>
      <c r="AP454" s="18">
        <v>-1.122200080428384</v>
      </c>
      <c r="AQ454" s="46">
        <v>1</v>
      </c>
    </row>
    <row r="455" spans="1:43" ht="20" customHeight="1" x14ac:dyDescent="0.45">
      <c r="A455" s="26">
        <v>445</v>
      </c>
      <c r="B455" s="16" t="s">
        <v>671</v>
      </c>
      <c r="C455" s="16" t="s">
        <v>234</v>
      </c>
      <c r="D455" s="46">
        <v>26</v>
      </c>
      <c r="E455" s="46">
        <v>1</v>
      </c>
      <c r="F455" s="13">
        <v>0.3628929103053547</v>
      </c>
      <c r="G455" s="13">
        <v>7.090687169948641E-2</v>
      </c>
      <c r="H455" s="13">
        <v>-4.2049756243919441E-2</v>
      </c>
      <c r="I455" s="13">
        <v>-2.3247209516504989E-4</v>
      </c>
      <c r="J455" s="13">
        <v>-0.5239179896560745</v>
      </c>
      <c r="K455" s="13">
        <v>11.963786008230461</v>
      </c>
      <c r="L455" s="13">
        <v>-0.42181278107440939</v>
      </c>
      <c r="M455" s="13">
        <v>2.6042403326254768</v>
      </c>
      <c r="N455" s="19">
        <f>(F455-Settings!$D$18)/Settings!$E$18</f>
        <v>0.61046103596922119</v>
      </c>
      <c r="O455" s="19">
        <f>(G455-Settings!$D$19)/Settings!$E$19</f>
        <v>0.32307805182866073</v>
      </c>
      <c r="P455" s="19">
        <f>(H455-Settings!$D$20)/Settings!$E$20</f>
        <v>-0.86232148843603906</v>
      </c>
      <c r="Q455" s="19">
        <f>(I455-Settings!$D$21)/Settings!$E$21</f>
        <v>3.3350343562748352E-2</v>
      </c>
      <c r="R455" s="19">
        <f>(J455-Settings!$D$22)/Settings!$E$22</f>
        <v>-2.0765083244272855</v>
      </c>
      <c r="S455" s="19">
        <f>(K455-Settings!$D$23)/Settings!$E$23</f>
        <v>-1.1430364028761897</v>
      </c>
      <c r="T455" s="19">
        <f>(L455-Settings!$D$24)/Settings!$E$24</f>
        <v>-1.1960994198772015</v>
      </c>
      <c r="U455" s="19">
        <f>(M455-Settings!$D$25)/Settings!$E$25</f>
        <v>1.7922989430712899</v>
      </c>
      <c r="V455" s="31">
        <f>Settings!$B$18*(N455-F$6)^2</f>
        <v>6.3556321268939828E-2</v>
      </c>
      <c r="W455" s="31">
        <f>Settings!$B$19*(O455-G$6)^2</f>
        <v>6.5497171293043416E-3</v>
      </c>
      <c r="X455" s="31">
        <f>Settings!$B$20*(P455-H$6)^2</f>
        <v>1.9516946584149282</v>
      </c>
      <c r="Y455" s="31">
        <f>Settings!$B$21*(Q455-I$6)^2</f>
        <v>0.15951972133122369</v>
      </c>
      <c r="Z455" s="31">
        <f>Settings!$B$22*(R455-J$6)^2</f>
        <v>0.9940226111961773</v>
      </c>
      <c r="AA455" s="31">
        <f>Settings!$B$23*(S455-K$6)^2</f>
        <v>8.2419395307951788</v>
      </c>
      <c r="AB455" s="31">
        <f>Settings!$B$24*(T455-L$6)^2</f>
        <v>7.411000379140205</v>
      </c>
      <c r="AC455" s="31">
        <f>Settings!$B$25*(U455-M$6)^2</f>
        <v>3.8975992505032355</v>
      </c>
      <c r="AD455" s="19">
        <f t="shared" si="24"/>
        <v>4.7671671031944323</v>
      </c>
      <c r="AE455" s="15">
        <f t="shared" si="25"/>
        <v>1.8869311662391455</v>
      </c>
      <c r="AF455" s="33">
        <f t="shared" si="26"/>
        <v>0.16859521525925408</v>
      </c>
      <c r="AG455" s="47">
        <f t="shared" si="27"/>
        <v>7.2789296150087474E-4</v>
      </c>
      <c r="AH455" s="48"/>
      <c r="AI455" s="48"/>
      <c r="AJ455" s="48"/>
      <c r="AK455" s="48"/>
      <c r="AL455" s="48"/>
      <c r="AM455" s="48"/>
      <c r="AN455" s="18">
        <v>0.56072475593225102</v>
      </c>
      <c r="AO455" s="46">
        <v>1</v>
      </c>
      <c r="AP455" s="18">
        <v>0.39549583219735668</v>
      </c>
      <c r="AQ455" s="46">
        <v>1</v>
      </c>
    </row>
    <row r="456" spans="1:43" ht="20" customHeight="1" x14ac:dyDescent="0.45">
      <c r="A456" s="26">
        <v>446</v>
      </c>
      <c r="B456" s="16" t="s">
        <v>672</v>
      </c>
      <c r="C456" s="16" t="s">
        <v>236</v>
      </c>
      <c r="D456" s="46">
        <v>26</v>
      </c>
      <c r="E456" s="46">
        <v>0</v>
      </c>
      <c r="F456" s="13">
        <v>-0.20688379412203031</v>
      </c>
      <c r="G456" s="13">
        <v>0.20790592084291709</v>
      </c>
      <c r="H456" s="13">
        <v>9.9632926126401174E-4</v>
      </c>
      <c r="I456" s="13">
        <v>-0.17067047267644461</v>
      </c>
      <c r="J456" s="13">
        <v>-0.41354348309734401</v>
      </c>
      <c r="K456" s="13">
        <v>10.23835978835978</v>
      </c>
      <c r="L456" s="13">
        <v>-0.53315195579609265</v>
      </c>
      <c r="M456" s="13">
        <v>-0.52622426828769719</v>
      </c>
      <c r="N456" s="19">
        <f>(F456-Settings!$D$18)/Settings!$E$18</f>
        <v>-1.4287342702379511</v>
      </c>
      <c r="O456" s="19">
        <f>(G456-Settings!$D$19)/Settings!$E$19</f>
        <v>0.89383355195079484</v>
      </c>
      <c r="P456" s="19">
        <f>(H456-Settings!$D$20)/Settings!$E$20</f>
        <v>-0.47231567607560099</v>
      </c>
      <c r="Q456" s="19">
        <f>(I456-Settings!$D$21)/Settings!$E$21</f>
        <v>-2.0625781669616137</v>
      </c>
      <c r="R456" s="19">
        <f>(J456-Settings!$D$22)/Settings!$E$22</f>
        <v>-1.7795405180346975</v>
      </c>
      <c r="S456" s="19">
        <f>(K456-Settings!$D$23)/Settings!$E$23</f>
        <v>-1.7422372421121108</v>
      </c>
      <c r="T456" s="19">
        <f>(L456-Settings!$D$24)/Settings!$E$24</f>
        <v>-1.2730742814350744</v>
      </c>
      <c r="U456" s="19">
        <f>(M456-Settings!$D$25)/Settings!$E$25</f>
        <v>-0.31892124934258204</v>
      </c>
      <c r="V456" s="31">
        <f>Settings!$B$18*(N456-F$6)^2</f>
        <v>0.43540475975743509</v>
      </c>
      <c r="W456" s="31">
        <f>Settings!$B$19*(O456-G$6)^2</f>
        <v>3.0387217194893203E-2</v>
      </c>
      <c r="X456" s="31">
        <f>Settings!$B$20*(P456-H$6)^2</f>
        <v>1.4947868416836723</v>
      </c>
      <c r="Y456" s="31">
        <f>Settings!$B$21*(Q456-I$6)^2</f>
        <v>0.28936709761980173</v>
      </c>
      <c r="Z456" s="31">
        <f>Settings!$B$22*(R456-J$6)^2</f>
        <v>0.74683954104700789</v>
      </c>
      <c r="AA456" s="31">
        <f>Settings!$B$23*(S456-K$6)^2</f>
        <v>12.041445990037301</v>
      </c>
      <c r="AB456" s="31">
        <f>Settings!$B$24*(T456-L$6)^2</f>
        <v>7.8360251890847339</v>
      </c>
      <c r="AC456" s="31">
        <f>Settings!$B$25*(U456-M$6)^2</f>
        <v>1.8765261059754415E-2</v>
      </c>
      <c r="AD456" s="19">
        <f t="shared" si="24"/>
        <v>4.784665285836053</v>
      </c>
      <c r="AE456" s="15">
        <f t="shared" si="25"/>
        <v>1.8938572641636118</v>
      </c>
      <c r="AF456" s="33">
        <f t="shared" si="26"/>
        <v>0.16640217687274841</v>
      </c>
      <c r="AG456" s="47">
        <f t="shared" si="27"/>
        <v>7.1842473784230869E-4</v>
      </c>
      <c r="AH456" s="18">
        <v>-5.1798792192649823E-2</v>
      </c>
      <c r="AI456" s="46">
        <v>1</v>
      </c>
      <c r="AJ456" s="18">
        <v>0.38871682083257247</v>
      </c>
      <c r="AK456" s="46">
        <v>1</v>
      </c>
      <c r="AL456" s="48"/>
      <c r="AM456" s="48"/>
      <c r="AN456" s="48"/>
      <c r="AO456" s="48"/>
      <c r="AP456" s="48"/>
      <c r="AQ456" s="48"/>
    </row>
    <row r="457" spans="1:43" ht="20" customHeight="1" x14ac:dyDescent="0.45">
      <c r="A457" s="26">
        <v>447</v>
      </c>
      <c r="B457" s="16" t="s">
        <v>673</v>
      </c>
      <c r="C457" s="16" t="s">
        <v>260</v>
      </c>
      <c r="D457" s="46">
        <v>26</v>
      </c>
      <c r="E457" s="46">
        <v>1</v>
      </c>
      <c r="F457" s="13">
        <v>0.28119767144195762</v>
      </c>
      <c r="G457" s="13">
        <v>0.15782469551846851</v>
      </c>
      <c r="H457" s="13">
        <v>3.8795745427917442E-4</v>
      </c>
      <c r="I457" s="13">
        <v>8.1528064360470581E-3</v>
      </c>
      <c r="J457" s="13">
        <v>0.55243686914924772</v>
      </c>
      <c r="K457" s="13">
        <v>9.1243055555555568</v>
      </c>
      <c r="L457" s="13">
        <v>0.3381168985497931</v>
      </c>
      <c r="M457" s="13">
        <v>-2.0683986079206358</v>
      </c>
      <c r="N457" s="19">
        <f>(F457-Settings!$D$18)/Settings!$E$18</f>
        <v>0.31807886882334691</v>
      </c>
      <c r="O457" s="19">
        <f>(G457-Settings!$D$19)/Settings!$E$19</f>
        <v>0.68518878408193995</v>
      </c>
      <c r="P457" s="19">
        <f>(H457-Settings!$D$20)/Settings!$E$20</f>
        <v>-0.47782764163566893</v>
      </c>
      <c r="Q457" s="19">
        <f>(I457-Settings!$D$21)/Settings!$E$21</f>
        <v>0.13646669251260624</v>
      </c>
      <c r="R457" s="19">
        <f>(J457-Settings!$D$22)/Settings!$E$22</f>
        <v>0.81947509860471701</v>
      </c>
      <c r="S457" s="19">
        <f>(K457-Settings!$D$23)/Settings!$E$23</f>
        <v>-2.1291226525474829</v>
      </c>
      <c r="T457" s="19">
        <f>(L457-Settings!$D$24)/Settings!$E$24</f>
        <v>-0.67071846542865277</v>
      </c>
      <c r="U457" s="19">
        <f>(M457-Settings!$D$25)/Settings!$E$25</f>
        <v>-1.3589807999619481</v>
      </c>
      <c r="V457" s="31">
        <f>Settings!$B$18*(N457-F$6)^2</f>
        <v>1.472497559551797E-2</v>
      </c>
      <c r="W457" s="31">
        <f>Settings!$B$19*(O457-G$6)^2</f>
        <v>6.5627043277899011E-3</v>
      </c>
      <c r="X457" s="31">
        <f>Settings!$B$20*(P457-H$6)^2</f>
        <v>1.5008204722042366</v>
      </c>
      <c r="Y457" s="31">
        <f>Settings!$B$21*(Q457-I$6)^2</f>
        <v>0.19848293236926132</v>
      </c>
      <c r="Z457" s="31">
        <f>Settings!$B$22*(R457-J$6)^2</f>
        <v>8.8873348042785752E-2</v>
      </c>
      <c r="AA457" s="31">
        <f>Settings!$B$23*(S457-K$6)^2</f>
        <v>14.876171933383281</v>
      </c>
      <c r="AB457" s="31">
        <f>Settings!$B$24*(T457-L$6)^2</f>
        <v>4.8265203463881292</v>
      </c>
      <c r="AC457" s="31">
        <f>Settings!$B$25*(U457-M$6)^2</f>
        <v>1.3854370605290021</v>
      </c>
      <c r="AD457" s="19">
        <f t="shared" si="24"/>
        <v>4.7851430253274563</v>
      </c>
      <c r="AE457" s="15">
        <f t="shared" si="25"/>
        <v>1.8940463621155315</v>
      </c>
      <c r="AF457" s="33">
        <f t="shared" si="26"/>
        <v>0.16634259186687284</v>
      </c>
      <c r="AG457" s="47">
        <f t="shared" si="27"/>
        <v>7.1816748554531361E-4</v>
      </c>
      <c r="AH457" s="48"/>
      <c r="AI457" s="48"/>
      <c r="AJ457" s="48"/>
      <c r="AK457" s="48"/>
      <c r="AL457" s="48"/>
      <c r="AM457" s="48"/>
      <c r="AN457" s="48"/>
      <c r="AO457" s="48"/>
      <c r="AP457" s="48"/>
      <c r="AQ457" s="48"/>
    </row>
    <row r="458" spans="1:43" ht="20" customHeight="1" x14ac:dyDescent="0.45">
      <c r="A458" s="26">
        <v>448</v>
      </c>
      <c r="B458" s="16" t="s">
        <v>674</v>
      </c>
      <c r="C458" s="16" t="s">
        <v>246</v>
      </c>
      <c r="D458" s="46">
        <v>26</v>
      </c>
      <c r="E458" s="46">
        <v>1</v>
      </c>
      <c r="F458" s="13">
        <v>-0.36838414096856459</v>
      </c>
      <c r="G458" s="13">
        <v>-0.34161538095519361</v>
      </c>
      <c r="H458" s="13">
        <v>-1.1214496527498119E-3</v>
      </c>
      <c r="I458" s="13">
        <v>-3.6207894686869302E-2</v>
      </c>
      <c r="J458" s="13">
        <v>-0.25267113373662281</v>
      </c>
      <c r="K458" s="13">
        <v>11.176956521739131</v>
      </c>
      <c r="L458" s="13">
        <v>-0.95492879902349725</v>
      </c>
      <c r="M458" s="13">
        <v>-0.69366723612012504</v>
      </c>
      <c r="N458" s="19">
        <f>(F458-Settings!$D$18)/Settings!$E$18</f>
        <v>-2.0067339439368856</v>
      </c>
      <c r="O458" s="19">
        <f>(G458-Settings!$D$19)/Settings!$E$19</f>
        <v>-1.3955422312867962</v>
      </c>
      <c r="P458" s="19">
        <f>(H458-Settings!$D$20)/Settings!$E$20</f>
        <v>-0.49150316028157626</v>
      </c>
      <c r="Q458" s="19">
        <f>(I458-Settings!$D$21)/Settings!$E$21</f>
        <v>-0.40905049211331346</v>
      </c>
      <c r="R458" s="19">
        <f>(J458-Settings!$D$22)/Settings!$E$22</f>
        <v>-1.3467058881153793</v>
      </c>
      <c r="S458" s="19">
        <f>(K458-Settings!$D$23)/Settings!$E$23</f>
        <v>-1.4162841854887143</v>
      </c>
      <c r="T458" s="19">
        <f>(L458-Settings!$D$24)/Settings!$E$24</f>
        <v>-1.5646716836693066</v>
      </c>
      <c r="U458" s="19">
        <f>(M458-Settings!$D$25)/Settings!$E$25</f>
        <v>-0.43184665174528208</v>
      </c>
      <c r="V458" s="31">
        <f>Settings!$B$18*(N458-F$6)^2</f>
        <v>0.84335090201312313</v>
      </c>
      <c r="W458" s="31">
        <f>Settings!$B$19*(O458-G$6)^2</f>
        <v>0.7216853836961552</v>
      </c>
      <c r="X458" s="31">
        <f>Settings!$B$20*(P458-H$6)^2</f>
        <v>1.5158427528066238</v>
      </c>
      <c r="Y458" s="31">
        <f>Settings!$B$21*(Q458-I$6)^2</f>
        <v>4.062302008744284E-2</v>
      </c>
      <c r="Z458" s="31">
        <f>Settings!$B$22*(R458-J$6)^2</f>
        <v>0.44974359699829858</v>
      </c>
      <c r="AA458" s="31">
        <f>Settings!$B$23*(S458-K$6)^2</f>
        <v>9.8855258854195398</v>
      </c>
      <c r="AB458" s="31">
        <f>Settings!$B$24*(T458-L$6)^2</f>
        <v>9.5535856896287399</v>
      </c>
      <c r="AC458" s="31">
        <f>Settings!$B$25*(U458-M$6)^2</f>
        <v>6.2455885764873965E-2</v>
      </c>
      <c r="AD458" s="19">
        <f t="shared" si="24"/>
        <v>4.8034168168518123</v>
      </c>
      <c r="AE458" s="15">
        <f t="shared" si="25"/>
        <v>1.9012794600972569</v>
      </c>
      <c r="AF458" s="33">
        <f t="shared" si="26"/>
        <v>0.1640749747207193</v>
      </c>
      <c r="AG458" s="47">
        <f t="shared" si="27"/>
        <v>7.0837727555907106E-4</v>
      </c>
      <c r="AH458" s="18">
        <v>0.10442369789957109</v>
      </c>
      <c r="AI458" s="46">
        <v>1</v>
      </c>
      <c r="AJ458" s="48"/>
      <c r="AK458" s="48"/>
      <c r="AL458" s="48"/>
      <c r="AM458" s="48"/>
      <c r="AN458" s="48"/>
      <c r="AO458" s="48"/>
      <c r="AP458" s="48"/>
      <c r="AQ458" s="48"/>
    </row>
    <row r="459" spans="1:43" ht="20" customHeight="1" x14ac:dyDescent="0.45">
      <c r="A459" s="26">
        <v>449</v>
      </c>
      <c r="B459" s="16" t="s">
        <v>675</v>
      </c>
      <c r="C459" s="16" t="s">
        <v>210</v>
      </c>
      <c r="D459" s="46">
        <v>26</v>
      </c>
      <c r="E459" s="46">
        <v>0</v>
      </c>
      <c r="F459" s="13">
        <v>0.14316574292138129</v>
      </c>
      <c r="G459" s="13">
        <v>-4.6700912176681937E-3</v>
      </c>
      <c r="H459" s="13">
        <v>1.370705366093101E-2</v>
      </c>
      <c r="I459" s="13">
        <v>0.1031023609825612</v>
      </c>
      <c r="J459" s="13">
        <v>-0.7353547512174583</v>
      </c>
      <c r="K459" s="13">
        <v>11.31804597701149</v>
      </c>
      <c r="L459" s="13">
        <v>-0.94315860321130374</v>
      </c>
      <c r="M459" s="13">
        <v>-0.77772484438010914</v>
      </c>
      <c r="N459" s="19">
        <f>(F459-Settings!$D$18)/Settings!$E$18</f>
        <v>-0.17592879866941127</v>
      </c>
      <c r="O459" s="19">
        <f>(G459-Settings!$D$19)/Settings!$E$19</f>
        <v>8.2147915564562204E-3</v>
      </c>
      <c r="P459" s="19">
        <f>(H459-Settings!$D$20)/Settings!$E$20</f>
        <v>-0.35715406876557437</v>
      </c>
      <c r="Q459" s="19">
        <f>(I459-Settings!$D$21)/Settings!$E$21</f>
        <v>1.3040905660438091</v>
      </c>
      <c r="R459" s="19">
        <f>(J459-Settings!$D$22)/Settings!$E$22</f>
        <v>-2.6453888859745867</v>
      </c>
      <c r="S459" s="19">
        <f>(K459-Settings!$D$23)/Settings!$E$23</f>
        <v>-1.3672870629036216</v>
      </c>
      <c r="T459" s="19">
        <f>(L459-Settings!$D$24)/Settings!$E$24</f>
        <v>-1.5565343034936638</v>
      </c>
      <c r="U459" s="19">
        <f>(M459-Settings!$D$25)/Settings!$E$25</f>
        <v>-0.48853603894765657</v>
      </c>
      <c r="V459" s="31">
        <f>Settings!$B$18*(N459-F$6)^2</f>
        <v>9.916262984167739E-3</v>
      </c>
      <c r="W459" s="31">
        <f>Settings!$B$19*(O459-G$6)^2</f>
        <v>4.9169272155280275E-2</v>
      </c>
      <c r="X459" s="31">
        <f>Settings!$B$20*(P459-H$6)^2</f>
        <v>1.3715054703839349</v>
      </c>
      <c r="Y459" s="31">
        <f>Settings!$B$21*(Q459-I$6)^2</f>
        <v>0.93642684750619898</v>
      </c>
      <c r="Z459" s="31">
        <f>Settings!$B$22*(R459-J$6)^2</f>
        <v>1.5660468790561921</v>
      </c>
      <c r="AA459" s="31">
        <f>Settings!$B$23*(S459-K$6)^2</f>
        <v>9.5798203870397121</v>
      </c>
      <c r="AB459" s="31">
        <f>Settings!$B$24*(T459-L$6)^2</f>
        <v>9.5033484528494778</v>
      </c>
      <c r="AC459" s="31">
        <f>Settings!$B$25*(U459-M$6)^2</f>
        <v>9.4004260985853558E-2</v>
      </c>
      <c r="AD459" s="19">
        <f t="shared" ref="AD459:AD522" si="28">SQRT(SUM(V459:AC459))</f>
        <v>4.8073108733428942</v>
      </c>
      <c r="AE459" s="15">
        <f t="shared" ref="AE459:AE522" si="29">AD459/Yardstick</f>
        <v>1.9028207982540828</v>
      </c>
      <c r="AF459" s="33">
        <f t="shared" ref="AF459:AF481" si="30">EXP(-(AD459^2)/(2*Yardstick^2))</f>
        <v>0.16359466013068771</v>
      </c>
      <c r="AG459" s="47">
        <f t="shared" ref="AG459:AG522" si="31">AF459/$E$7</f>
        <v>7.0630356540749559E-4</v>
      </c>
      <c r="AH459" s="18">
        <v>0.1171293521644068</v>
      </c>
      <c r="AI459" s="46">
        <v>0</v>
      </c>
      <c r="AJ459" s="18">
        <v>0.53970213378097065</v>
      </c>
      <c r="AK459" s="46">
        <v>0</v>
      </c>
      <c r="AL459" s="18">
        <v>-2.684053969963468E-2</v>
      </c>
      <c r="AM459" s="46">
        <v>0</v>
      </c>
      <c r="AN459" s="18">
        <v>-0.1164486757294922</v>
      </c>
      <c r="AO459" s="46">
        <v>0</v>
      </c>
      <c r="AP459" s="18">
        <v>0.35626252101891748</v>
      </c>
      <c r="AQ459" s="46">
        <v>0</v>
      </c>
    </row>
    <row r="460" spans="1:43" ht="20" customHeight="1" x14ac:dyDescent="0.45">
      <c r="A460" s="26">
        <v>450</v>
      </c>
      <c r="B460" s="16" t="s">
        <v>676</v>
      </c>
      <c r="C460" s="16" t="s">
        <v>246</v>
      </c>
      <c r="D460" s="46">
        <v>26</v>
      </c>
      <c r="E460" s="46">
        <v>1</v>
      </c>
      <c r="F460" s="13">
        <v>0.18540259749665061</v>
      </c>
      <c r="G460" s="13">
        <v>-7.3809104910420392E-2</v>
      </c>
      <c r="H460" s="13">
        <v>-3.8905636453739963E-2</v>
      </c>
      <c r="I460" s="13">
        <v>-1.5776589040307769E-4</v>
      </c>
      <c r="J460" s="13">
        <v>-0.7017248952487859</v>
      </c>
      <c r="K460" s="13">
        <v>11.02991452991454</v>
      </c>
      <c r="L460" s="13">
        <v>-0.80725765456483578</v>
      </c>
      <c r="M460" s="13">
        <v>-1.1931777951142559</v>
      </c>
      <c r="N460" s="19">
        <f>(F460-Settings!$D$18)/Settings!$E$18</f>
        <v>-2.4765729120258029E-2</v>
      </c>
      <c r="O460" s="19">
        <f>(G460-Settings!$D$19)/Settings!$E$19</f>
        <v>-0.27982715168976152</v>
      </c>
      <c r="P460" s="19">
        <f>(H460-Settings!$D$20)/Settings!$E$20</f>
        <v>-0.83383515852853052</v>
      </c>
      <c r="Q460" s="19">
        <f>(I460-Settings!$D$21)/Settings!$E$21</f>
        <v>3.426902873823548E-2</v>
      </c>
      <c r="R460" s="19">
        <f>(J460-Settings!$D$22)/Settings!$E$22</f>
        <v>-2.5549061751775852</v>
      </c>
      <c r="S460" s="19">
        <f>(K460-Settings!$D$23)/Settings!$E$23</f>
        <v>-1.4673484871027349</v>
      </c>
      <c r="T460" s="19">
        <f>(L460-Settings!$D$24)/Settings!$E$24</f>
        <v>-1.4625785441322807</v>
      </c>
      <c r="U460" s="19">
        <f>(M460-Settings!$D$25)/Settings!$E$25</f>
        <v>-0.76872213603113659</v>
      </c>
      <c r="V460" s="31">
        <f>Settings!$B$18*(N460-F$6)^2</f>
        <v>1.0226087868292191E-3</v>
      </c>
      <c r="W460" s="31">
        <f>Settings!$B$19*(O460-G$6)^2</f>
        <v>0.12289071960354728</v>
      </c>
      <c r="X460" s="31">
        <f>Settings!$B$20*(P460-H$6)^2</f>
        <v>1.9162620810751936</v>
      </c>
      <c r="Y460" s="31">
        <f>Settings!$B$21*(Q460-I$6)^2</f>
        <v>0.15984807525290673</v>
      </c>
      <c r="Z460" s="31">
        <f>Settings!$B$22*(R460-J$6)^2</f>
        <v>1.4664068024199466</v>
      </c>
      <c r="AA460" s="31">
        <f>Settings!$B$23*(S460-K$6)^2</f>
        <v>10.209238605793258</v>
      </c>
      <c r="AB460" s="31">
        <f>Settings!$B$24*(T460-L$6)^2</f>
        <v>8.9328918760880605</v>
      </c>
      <c r="AC460" s="31">
        <f>Settings!$B$25*(U460-M$6)^2</f>
        <v>0.34431926531032936</v>
      </c>
      <c r="AD460" s="19">
        <f t="shared" si="28"/>
        <v>4.8117439701557343</v>
      </c>
      <c r="AE460" s="15">
        <f t="shared" si="29"/>
        <v>1.9045754983428416</v>
      </c>
      <c r="AF460" s="33">
        <f t="shared" si="30"/>
        <v>0.16304909708098259</v>
      </c>
      <c r="AG460" s="47">
        <f t="shared" si="31"/>
        <v>7.039481515641984E-4</v>
      </c>
      <c r="AH460" s="18">
        <v>0.67899955963165992</v>
      </c>
      <c r="AI460" s="46">
        <v>1</v>
      </c>
      <c r="AJ460" s="48"/>
      <c r="AK460" s="48"/>
      <c r="AL460" s="48"/>
      <c r="AM460" s="48"/>
      <c r="AN460" s="48"/>
      <c r="AO460" s="48"/>
      <c r="AP460" s="48"/>
      <c r="AQ460" s="48"/>
    </row>
    <row r="461" spans="1:43" ht="20" customHeight="1" x14ac:dyDescent="0.45">
      <c r="A461" s="26">
        <v>451</v>
      </c>
      <c r="B461" s="16" t="s">
        <v>677</v>
      </c>
      <c r="C461" s="16" t="s">
        <v>229</v>
      </c>
      <c r="D461" s="46">
        <v>26</v>
      </c>
      <c r="E461" s="46">
        <v>1</v>
      </c>
      <c r="F461" s="13">
        <v>-0.52722482865919496</v>
      </c>
      <c r="G461" s="13">
        <v>0.27793980510640098</v>
      </c>
      <c r="H461" s="13">
        <v>2.0404311348199131E-2</v>
      </c>
      <c r="I461" s="13">
        <v>-3.9384272665750369E-4</v>
      </c>
      <c r="J461" s="13">
        <v>-0.17403721215954729</v>
      </c>
      <c r="K461" s="13">
        <v>10.93840579710146</v>
      </c>
      <c r="L461" s="13">
        <v>-0.66345939041267887</v>
      </c>
      <c r="M461" s="13">
        <v>1.249798296848105</v>
      </c>
      <c r="N461" s="19">
        <f>(F461-Settings!$D$18)/Settings!$E$18</f>
        <v>-2.5752148633155985</v>
      </c>
      <c r="O461" s="19">
        <f>(G461-Settings!$D$19)/Settings!$E$19</f>
        <v>1.1856036400515639</v>
      </c>
      <c r="P461" s="19">
        <f>(H461-Settings!$D$20)/Settings!$E$20</f>
        <v>-0.29647562624852669</v>
      </c>
      <c r="Q461" s="19">
        <f>(I461-Settings!$D$21)/Settings!$E$21</f>
        <v>3.1365919278534445E-2</v>
      </c>
      <c r="R461" s="19">
        <f>(J461-Settings!$D$22)/Settings!$E$22</f>
        <v>-1.1351376199812389</v>
      </c>
      <c r="S461" s="19">
        <f>(K461-Settings!$D$23)/Settings!$E$23</f>
        <v>-1.4991273651953161</v>
      </c>
      <c r="T461" s="19">
        <f>(L461-Settings!$D$24)/Settings!$E$24</f>
        <v>-1.3631629385914301</v>
      </c>
      <c r="U461" s="19">
        <f>(M461-Settings!$D$25)/Settings!$E$25</f>
        <v>0.87884814904116426</v>
      </c>
      <c r="V461" s="31">
        <f>Settings!$B$18*(N461-F$6)^2</f>
        <v>1.3749292750526905</v>
      </c>
      <c r="W461" s="31">
        <f>Settings!$B$19*(O461-G$6)^2</f>
        <v>9.2904775440884477E-2</v>
      </c>
      <c r="X461" s="31">
        <f>Settings!$B$20*(P461-H$6)^2</f>
        <v>1.3086826789838188</v>
      </c>
      <c r="Y461" s="31">
        <f>Settings!$B$21*(Q461-I$6)^2</f>
        <v>0.15881160607679701</v>
      </c>
      <c r="Z461" s="31">
        <f>Settings!$B$22*(R461-J$6)^2</f>
        <v>0.33179103217970601</v>
      </c>
      <c r="AA461" s="31">
        <f>Settings!$B$23*(S461-K$6)^2</f>
        <v>10.413327604597001</v>
      </c>
      <c r="AB461" s="31">
        <f>Settings!$B$24*(T461-L$6)^2</f>
        <v>8.3485097314600445</v>
      </c>
      <c r="AC461" s="31">
        <f>Settings!$B$25*(U461-M$6)^2</f>
        <v>1.1252606682003359</v>
      </c>
      <c r="AD461" s="19">
        <f t="shared" si="28"/>
        <v>4.8118829341528331</v>
      </c>
      <c r="AE461" s="15">
        <f t="shared" si="29"/>
        <v>1.9046305028122539</v>
      </c>
      <c r="AF461" s="33">
        <f t="shared" si="30"/>
        <v>0.16303201667876088</v>
      </c>
      <c r="AG461" s="47">
        <f t="shared" si="31"/>
        <v>7.0387440863775976E-4</v>
      </c>
      <c r="AH461" s="18">
        <v>0.1194640318867064</v>
      </c>
      <c r="AI461" s="46">
        <v>1</v>
      </c>
      <c r="AJ461" s="48"/>
      <c r="AK461" s="48"/>
      <c r="AL461" s="48"/>
      <c r="AM461" s="48"/>
      <c r="AN461" s="48"/>
      <c r="AO461" s="48"/>
      <c r="AP461" s="48"/>
      <c r="AQ461" s="48"/>
    </row>
    <row r="462" spans="1:43" ht="20" customHeight="1" x14ac:dyDescent="0.45">
      <c r="A462" s="26">
        <v>452</v>
      </c>
      <c r="B462" s="16" t="s">
        <v>678</v>
      </c>
      <c r="C462" s="16" t="s">
        <v>246</v>
      </c>
      <c r="D462" s="46">
        <v>26</v>
      </c>
      <c r="E462" s="46">
        <v>1</v>
      </c>
      <c r="F462" s="13">
        <v>-0.36435756868409092</v>
      </c>
      <c r="G462" s="13">
        <v>-0.43756171225645751</v>
      </c>
      <c r="H462" s="13">
        <v>8.6638349056162786E-3</v>
      </c>
      <c r="I462" s="13">
        <v>-8.3907403616629867E-3</v>
      </c>
      <c r="J462" s="13">
        <v>-0.18102614379217249</v>
      </c>
      <c r="K462" s="13">
        <v>10.39471544715447</v>
      </c>
      <c r="L462" s="13">
        <v>-0.42867629305399468</v>
      </c>
      <c r="M462" s="13">
        <v>0.47243317440306831</v>
      </c>
      <c r="N462" s="19">
        <f>(F462-Settings!$D$18)/Settings!$E$18</f>
        <v>-1.9923230927406184</v>
      </c>
      <c r="O462" s="19">
        <f>(G462-Settings!$D$19)/Settings!$E$19</f>
        <v>-1.7952668764513335</v>
      </c>
      <c r="P462" s="19">
        <f>(H462-Settings!$D$20)/Settings!$E$20</f>
        <v>-0.40284660049046422</v>
      </c>
      <c r="Q462" s="19">
        <f>(I462-Settings!$D$21)/Settings!$E$21</f>
        <v>-6.6974390346018903E-2</v>
      </c>
      <c r="R462" s="19">
        <f>(J462-Settings!$D$22)/Settings!$E$22</f>
        <v>-1.1539416695818059</v>
      </c>
      <c r="S462" s="19">
        <f>(K462-Settings!$D$23)/Settings!$E$23</f>
        <v>-1.68793851818517</v>
      </c>
      <c r="T462" s="19">
        <f>(L462-Settings!$D$24)/Settings!$E$24</f>
        <v>-1.2008445411316928</v>
      </c>
      <c r="U462" s="19">
        <f>(M462-Settings!$D$25)/Settings!$E$25</f>
        <v>0.35458445255806093</v>
      </c>
      <c r="V462" s="31">
        <f>Settings!$B$18*(N462-F$6)^2</f>
        <v>0.83155551458526744</v>
      </c>
      <c r="W462" s="31">
        <f>Settings!$B$19*(O462-G$6)^2</f>
        <v>1.0573658757833864</v>
      </c>
      <c r="X462" s="31">
        <f>Settings!$B$20*(P462-H$6)^2</f>
        <v>1.4197848274638258</v>
      </c>
      <c r="Y462" s="31">
        <f>Settings!$B$21*(Q462-I$6)^2</f>
        <v>0.12569337544973264</v>
      </c>
      <c r="Z462" s="31">
        <f>Settings!$B$22*(R462-J$6)^2</f>
        <v>0.34154962957866269</v>
      </c>
      <c r="AA462" s="31">
        <f>Settings!$B$23*(S462-K$6)^2</f>
        <v>11.66755265382338</v>
      </c>
      <c r="AB462" s="31">
        <f>Settings!$B$24*(T462-L$6)^2</f>
        <v>7.4368583273267452</v>
      </c>
      <c r="AC462" s="31">
        <f>Settings!$B$25*(U462-M$6)^2</f>
        <v>0.28785301115135248</v>
      </c>
      <c r="AD462" s="19">
        <f t="shared" si="28"/>
        <v>4.813337014500684</v>
      </c>
      <c r="AE462" s="15">
        <f t="shared" si="29"/>
        <v>1.9052060541758167</v>
      </c>
      <c r="AF462" s="33">
        <f t="shared" si="30"/>
        <v>0.16285336986154772</v>
      </c>
      <c r="AG462" s="47">
        <f t="shared" si="31"/>
        <v>7.0310311889122668E-4</v>
      </c>
      <c r="AH462" s="18">
        <v>0.28523350318332541</v>
      </c>
      <c r="AI462" s="46">
        <v>1</v>
      </c>
      <c r="AJ462" s="48"/>
      <c r="AK462" s="48"/>
      <c r="AL462" s="48"/>
      <c r="AM462" s="48"/>
      <c r="AN462" s="48"/>
      <c r="AO462" s="48"/>
      <c r="AP462" s="48"/>
      <c r="AQ462" s="48"/>
    </row>
    <row r="463" spans="1:43" ht="20" customHeight="1" x14ac:dyDescent="0.45">
      <c r="A463" s="26">
        <v>453</v>
      </c>
      <c r="B463" s="16" t="s">
        <v>679</v>
      </c>
      <c r="C463" s="16" t="s">
        <v>224</v>
      </c>
      <c r="D463" s="46">
        <v>26</v>
      </c>
      <c r="E463" s="46">
        <v>0</v>
      </c>
      <c r="F463" s="13">
        <v>0.13633363714108029</v>
      </c>
      <c r="G463" s="13">
        <v>-0.36339203660626618</v>
      </c>
      <c r="H463" s="13">
        <v>-7.9279291677289386E-3</v>
      </c>
      <c r="I463" s="13">
        <v>-9.3518593440511291E-2</v>
      </c>
      <c r="J463" s="13">
        <v>-0.39882780364441328</v>
      </c>
      <c r="K463" s="13">
        <v>12.161014492753621</v>
      </c>
      <c r="L463" s="13">
        <v>-1.4555459005204221</v>
      </c>
      <c r="M463" s="13">
        <v>0.60771214262714413</v>
      </c>
      <c r="N463" s="19">
        <f>(F463-Settings!$D$18)/Settings!$E$18</f>
        <v>-0.20038047935492134</v>
      </c>
      <c r="O463" s="19">
        <f>(G463-Settings!$D$19)/Settings!$E$19</f>
        <v>-1.4862665543009128</v>
      </c>
      <c r="P463" s="19">
        <f>(H463-Settings!$D$20)/Settings!$E$20</f>
        <v>-0.55317117356084322</v>
      </c>
      <c r="Q463" s="19">
        <f>(I463-Settings!$D$21)/Settings!$E$21</f>
        <v>-1.1138177803129194</v>
      </c>
      <c r="R463" s="19">
        <f>(J463-Settings!$D$22)/Settings!$E$22</f>
        <v>-1.7399472896437918</v>
      </c>
      <c r="S463" s="19">
        <f>(K463-Settings!$D$23)/Settings!$E$23</f>
        <v>-1.0745434866990125</v>
      </c>
      <c r="T463" s="19">
        <f>(L463-Settings!$D$24)/Settings!$E$24</f>
        <v>-1.9107756688798665</v>
      </c>
      <c r="U463" s="19">
        <f>(M463-Settings!$D$25)/Settings!$E$25</f>
        <v>0.44581809539825507</v>
      </c>
      <c r="V463" s="31">
        <f>Settings!$B$18*(N463-F$6)^2</f>
        <v>1.2213688732723077E-2</v>
      </c>
      <c r="W463" s="31">
        <f>Settings!$B$19*(O463-G$6)^2</f>
        <v>0.79226702529081983</v>
      </c>
      <c r="X463" s="31">
        <f>Settings!$B$20*(P463-H$6)^2</f>
        <v>1.5845130751508856</v>
      </c>
      <c r="Y463" s="31">
        <f>Settings!$B$21*(Q463-I$6)^2</f>
        <v>1.291177254966494E-2</v>
      </c>
      <c r="Z463" s="31">
        <f>Settings!$B$22*(R463-J$6)^2</f>
        <v>0.71654896946226265</v>
      </c>
      <c r="AA463" s="31">
        <f>Settings!$B$23*(S463-K$6)^2</f>
        <v>7.8533612208494636</v>
      </c>
      <c r="AB463" s="31">
        <f>Settings!$B$24*(T463-L$6)^2</f>
        <v>11.812910638399591</v>
      </c>
      <c r="AC463" s="31">
        <f>Settings!$B$25*(U463-M$6)^2</f>
        <v>0.39407381794524504</v>
      </c>
      <c r="AD463" s="19">
        <f t="shared" si="28"/>
        <v>4.8144366449648759</v>
      </c>
      <c r="AE463" s="15">
        <f t="shared" si="29"/>
        <v>1.9056413078493957</v>
      </c>
      <c r="AF463" s="33">
        <f t="shared" si="30"/>
        <v>0.16271836460565106</v>
      </c>
      <c r="AG463" s="47">
        <f t="shared" si="31"/>
        <v>7.0252024721612191E-4</v>
      </c>
      <c r="AH463" s="18">
        <v>0.3690533760632948</v>
      </c>
      <c r="AI463" s="46">
        <v>0</v>
      </c>
      <c r="AJ463" s="18">
        <v>0.26901940444656902</v>
      </c>
      <c r="AK463" s="46">
        <v>1</v>
      </c>
      <c r="AL463" s="18">
        <v>1.028124377009213</v>
      </c>
      <c r="AM463" s="46">
        <v>1</v>
      </c>
      <c r="AN463" s="18">
        <v>-0.14256971752912151</v>
      </c>
      <c r="AO463" s="46">
        <v>1</v>
      </c>
      <c r="AP463" s="18">
        <v>-0.74939538091022251</v>
      </c>
      <c r="AQ463" s="46">
        <v>1</v>
      </c>
    </row>
    <row r="464" spans="1:43" ht="20" customHeight="1" x14ac:dyDescent="0.45">
      <c r="A464" s="26">
        <v>454</v>
      </c>
      <c r="B464" s="16" t="s">
        <v>680</v>
      </c>
      <c r="C464" s="16" t="s">
        <v>216</v>
      </c>
      <c r="D464" s="46">
        <v>26</v>
      </c>
      <c r="E464" s="46">
        <v>1</v>
      </c>
      <c r="F464" s="13">
        <v>8.8163429199891369E-2</v>
      </c>
      <c r="G464" s="13">
        <v>0.66653951032655645</v>
      </c>
      <c r="H464" s="13">
        <v>1.8116194717304451E-3</v>
      </c>
      <c r="I464" s="13">
        <v>1.6450615931521951E-3</v>
      </c>
      <c r="J464" s="13">
        <v>-0.2418403794086697</v>
      </c>
      <c r="K464" s="13">
        <v>9.0104477611940297</v>
      </c>
      <c r="L464" s="13">
        <v>0.55315938951636223</v>
      </c>
      <c r="M464" s="13">
        <v>-1.5050593678341671</v>
      </c>
      <c r="N464" s="19">
        <f>(F464-Settings!$D$18)/Settings!$E$18</f>
        <v>-0.3727786507252544</v>
      </c>
      <c r="O464" s="19">
        <f>(G464-Settings!$D$19)/Settings!$E$19</f>
        <v>2.804559541475637</v>
      </c>
      <c r="P464" s="19">
        <f>(H464-Settings!$D$20)/Settings!$E$20</f>
        <v>-0.46492898998995946</v>
      </c>
      <c r="Q464" s="19">
        <f>(I464-Settings!$D$21)/Settings!$E$21</f>
        <v>5.6438952754320294E-2</v>
      </c>
      <c r="R464" s="19">
        <f>(J464-Settings!$D$22)/Settings!$E$22</f>
        <v>-1.317565233677773</v>
      </c>
      <c r="S464" s="19">
        <f>(K464-Settings!$D$23)/Settings!$E$23</f>
        <v>-2.1686628456599366</v>
      </c>
      <c r="T464" s="19">
        <f>(L464-Settings!$D$24)/Settings!$E$24</f>
        <v>-0.52204782894702517</v>
      </c>
      <c r="U464" s="19">
        <f>(M464-Settings!$D$25)/Settings!$E$25</f>
        <v>-0.97905854225531119</v>
      </c>
      <c r="V464" s="31">
        <f>Settings!$B$18*(N464-F$6)^2</f>
        <v>3.5199149900828557E-2</v>
      </c>
      <c r="W464" s="31">
        <f>Settings!$B$19*(O464-G$6)^2</f>
        <v>1.0584745769624673</v>
      </c>
      <c r="X464" s="31">
        <f>Settings!$B$20*(P464-H$6)^2</f>
        <v>1.4867201184800742</v>
      </c>
      <c r="Y464" s="31">
        <f>Settings!$B$21*(Q464-I$6)^2</f>
        <v>0.16787436289222762</v>
      </c>
      <c r="Z464" s="31">
        <f>Settings!$B$22*(R464-J$6)^2</f>
        <v>0.43243402176120838</v>
      </c>
      <c r="AA464" s="31">
        <f>Settings!$B$23*(S464-K$6)^2</f>
        <v>15.18274556955115</v>
      </c>
      <c r="AB464" s="31">
        <f>Settings!$B$24*(T464-L$6)^2</f>
        <v>4.1953840612752167</v>
      </c>
      <c r="AC464" s="31">
        <f>Settings!$B$25*(U464-M$6)^2</f>
        <v>0.63540610775486084</v>
      </c>
      <c r="AD464" s="19">
        <f t="shared" si="28"/>
        <v>4.8160396560429231</v>
      </c>
      <c r="AE464" s="15">
        <f t="shared" si="29"/>
        <v>1.9062758086960234</v>
      </c>
      <c r="AF464" s="33">
        <f t="shared" si="30"/>
        <v>0.16252170296706667</v>
      </c>
      <c r="AG464" s="47">
        <f t="shared" si="31"/>
        <v>7.016711802820296E-4</v>
      </c>
      <c r="AH464" s="18">
        <v>-0.67033108813403008</v>
      </c>
      <c r="AI464" s="46">
        <v>1</v>
      </c>
      <c r="AJ464" s="18">
        <v>0.11781618917979279</v>
      </c>
      <c r="AK464" s="46">
        <v>1</v>
      </c>
      <c r="AL464" s="48"/>
      <c r="AM464" s="48"/>
      <c r="AN464" s="48"/>
      <c r="AO464" s="48"/>
      <c r="AP464" s="48"/>
      <c r="AQ464" s="48"/>
    </row>
    <row r="465" spans="1:43" ht="20" customHeight="1" x14ac:dyDescent="0.45">
      <c r="A465" s="26">
        <v>455</v>
      </c>
      <c r="B465" s="16" t="s">
        <v>681</v>
      </c>
      <c r="C465" s="16" t="s">
        <v>234</v>
      </c>
      <c r="D465" s="46">
        <v>26</v>
      </c>
      <c r="E465" s="46">
        <v>1</v>
      </c>
      <c r="F465" s="13">
        <v>-0.15968209462083929</v>
      </c>
      <c r="G465" s="13">
        <v>-0.46303754100918859</v>
      </c>
      <c r="H465" s="13">
        <v>-0.10001306113471629</v>
      </c>
      <c r="I465" s="13">
        <v>-9.6776728063315538E-5</v>
      </c>
      <c r="J465" s="13">
        <v>0.27717052650719243</v>
      </c>
      <c r="K465" s="13">
        <v>11.20797101449276</v>
      </c>
      <c r="L465" s="13">
        <v>-9.2983198684004176E-2</v>
      </c>
      <c r="M465" s="13">
        <v>2.1913932098326798</v>
      </c>
      <c r="N465" s="19">
        <f>(F465-Settings!$D$18)/Settings!$E$18</f>
        <v>-1.2598023301991543</v>
      </c>
      <c r="O465" s="19">
        <f>(G465-Settings!$D$19)/Settings!$E$19</f>
        <v>-1.9014024260898408</v>
      </c>
      <c r="P465" s="19">
        <f>(H465-Settings!$D$20)/Settings!$E$20</f>
        <v>-1.3874801769841263</v>
      </c>
      <c r="Q465" s="19">
        <f>(I465-Settings!$D$21)/Settings!$E$21</f>
        <v>3.5019031224447154E-2</v>
      </c>
      <c r="R465" s="19">
        <f>(J465-Settings!$D$22)/Settings!$E$22</f>
        <v>7.88580440258599E-2</v>
      </c>
      <c r="S465" s="19">
        <f>(K465-Settings!$D$23)/Settings!$E$23</f>
        <v>-1.4055135655268571</v>
      </c>
      <c r="T465" s="19">
        <f>(L465-Settings!$D$24)/Settings!$E$24</f>
        <v>-0.96876154312441853</v>
      </c>
      <c r="U465" s="19">
        <f>(M465-Settings!$D$25)/Settings!$E$25</f>
        <v>1.5138702453738719</v>
      </c>
      <c r="V465" s="31">
        <f>Settings!$B$18*(N465-F$6)^2</f>
        <v>0.34141047943498753</v>
      </c>
      <c r="W465" s="31">
        <f>Settings!$B$19*(O465-G$6)^2</f>
        <v>1.157234265817177</v>
      </c>
      <c r="X465" s="31">
        <f>Settings!$B$20*(P465-H$6)^2</f>
        <v>2.6630609346880694</v>
      </c>
      <c r="Y465" s="31">
        <f>Settings!$B$21*(Q465-I$6)^2</f>
        <v>0.1601163893769959</v>
      </c>
      <c r="Z465" s="31">
        <f>Settings!$B$22*(R465-J$6)^2</f>
        <v>1.0954566065527825E-3</v>
      </c>
      <c r="AA465" s="31">
        <f>Settings!$B$23*(S465-K$6)^2</f>
        <v>9.8179135274422595</v>
      </c>
      <c r="AB465" s="31">
        <f>Settings!$B$24*(T465-L$6)^2</f>
        <v>6.2249121468664335</v>
      </c>
      <c r="AC465" s="31">
        <f>Settings!$B$25*(U465-M$6)^2</f>
        <v>2.8757550767963163</v>
      </c>
      <c r="AD465" s="19">
        <f t="shared" si="28"/>
        <v>4.8209437122858834</v>
      </c>
      <c r="AE465" s="15">
        <f t="shared" si="29"/>
        <v>1.9082169230655264</v>
      </c>
      <c r="AF465" s="33">
        <f t="shared" si="30"/>
        <v>0.16192113022921795</v>
      </c>
      <c r="AG465" s="47">
        <f t="shared" si="31"/>
        <v>6.9907826761794734E-4</v>
      </c>
      <c r="AH465" s="18">
        <v>1.39633925647844</v>
      </c>
      <c r="AI465" s="46">
        <v>1</v>
      </c>
      <c r="AJ465" s="18">
        <v>0.37794987752957421</v>
      </c>
      <c r="AK465" s="46">
        <v>1</v>
      </c>
      <c r="AL465" s="48"/>
      <c r="AM465" s="48"/>
      <c r="AN465" s="48"/>
      <c r="AO465" s="48"/>
      <c r="AP465" s="48"/>
      <c r="AQ465" s="48"/>
    </row>
    <row r="466" spans="1:43" ht="20" customHeight="1" x14ac:dyDescent="0.45">
      <c r="A466" s="26">
        <v>456</v>
      </c>
      <c r="B466" s="16" t="s">
        <v>682</v>
      </c>
      <c r="C466" s="16" t="s">
        <v>224</v>
      </c>
      <c r="D466" s="46">
        <v>26</v>
      </c>
      <c r="E466" s="46">
        <v>0</v>
      </c>
      <c r="F466" s="13">
        <v>-0.52587718694364305</v>
      </c>
      <c r="G466" s="13">
        <v>0.25936071729652521</v>
      </c>
      <c r="H466" s="13">
        <v>-1.6025613732656731E-3</v>
      </c>
      <c r="I466" s="13">
        <v>8.3042869280737508E-2</v>
      </c>
      <c r="J466" s="13">
        <v>-0.13011666510582851</v>
      </c>
      <c r="K466" s="13">
        <v>10.26834733893557</v>
      </c>
      <c r="L466" s="13">
        <v>-0.32032315290137869</v>
      </c>
      <c r="M466" s="13">
        <v>-1.203413053143717</v>
      </c>
      <c r="N466" s="19">
        <f>(F466-Settings!$D$18)/Settings!$E$18</f>
        <v>-2.5703917376253962</v>
      </c>
      <c r="O466" s="19">
        <f>(G466-Settings!$D$19)/Settings!$E$19</f>
        <v>1.1082007922140089</v>
      </c>
      <c r="P466" s="19">
        <f>(H466-Settings!$D$20)/Settings!$E$20</f>
        <v>-0.49586212498635346</v>
      </c>
      <c r="Q466" s="19">
        <f>(I466-Settings!$D$21)/Settings!$E$21</f>
        <v>1.0574128273875798</v>
      </c>
      <c r="R466" s="19">
        <f>(J466-Settings!$D$22)/Settings!$E$22</f>
        <v>-1.0169673203281653</v>
      </c>
      <c r="S466" s="19">
        <f>(K466-Settings!$D$23)/Settings!$E$23</f>
        <v>-1.7318232555476842</v>
      </c>
      <c r="T466" s="19">
        <f>(L466-Settings!$D$24)/Settings!$E$24</f>
        <v>-1.1259340886026772</v>
      </c>
      <c r="U466" s="19">
        <f>(M466-Settings!$D$25)/Settings!$E$25</f>
        <v>-0.77562490804141937</v>
      </c>
      <c r="V466" s="31">
        <f>Settings!$B$18*(N466-F$6)^2</f>
        <v>1.3698755207592019</v>
      </c>
      <c r="W466" s="31">
        <f>Settings!$B$19*(O466-G$6)^2</f>
        <v>7.3001145174972873E-2</v>
      </c>
      <c r="X466" s="31">
        <f>Settings!$B$20*(P466-H$6)^2</f>
        <v>1.5206467096964045</v>
      </c>
      <c r="Y466" s="31">
        <f>Settings!$B$21*(Q466-I$6)^2</f>
        <v>0.73508994588003562</v>
      </c>
      <c r="Z466" s="31">
        <f>Settings!$B$22*(R466-J$6)^2</f>
        <v>0.27370233294673135</v>
      </c>
      <c r="AA466" s="31">
        <f>Settings!$B$23*(S466-K$6)^2</f>
        <v>11.969279735817537</v>
      </c>
      <c r="AB466" s="31">
        <f>Settings!$B$24*(T466-L$6)^2</f>
        <v>7.0338992486387637</v>
      </c>
      <c r="AC466" s="31">
        <f>Settings!$B$25*(U466-M$6)^2</f>
        <v>0.35246783064761661</v>
      </c>
      <c r="AD466" s="19">
        <f t="shared" si="28"/>
        <v>4.8299029461844531</v>
      </c>
      <c r="AE466" s="15">
        <f t="shared" si="29"/>
        <v>1.9117631502698358</v>
      </c>
      <c r="AF466" s="33">
        <f t="shared" si="30"/>
        <v>0.16082810239567716</v>
      </c>
      <c r="AG466" s="47">
        <f t="shared" si="31"/>
        <v>6.9435922938465317E-4</v>
      </c>
      <c r="AH466" s="48"/>
      <c r="AI466" s="48"/>
      <c r="AJ466" s="48"/>
      <c r="AK466" s="48"/>
      <c r="AL466" s="48"/>
      <c r="AM466" s="48"/>
      <c r="AN466" s="48"/>
      <c r="AO466" s="48"/>
      <c r="AP466" s="48"/>
      <c r="AQ466" s="48"/>
    </row>
    <row r="467" spans="1:43" ht="20" customHeight="1" x14ac:dyDescent="0.45">
      <c r="A467" s="26">
        <v>457</v>
      </c>
      <c r="B467" s="16" t="s">
        <v>683</v>
      </c>
      <c r="C467" s="16" t="s">
        <v>220</v>
      </c>
      <c r="D467" s="46">
        <v>26</v>
      </c>
      <c r="E467" s="46">
        <v>1</v>
      </c>
      <c r="F467" s="13">
        <v>-0.44582162209484871</v>
      </c>
      <c r="G467" s="13">
        <v>-9.1148161276307059E-3</v>
      </c>
      <c r="H467" s="13">
        <v>-6.6361017742947034E-4</v>
      </c>
      <c r="I467" s="13">
        <v>-3.9676746459499659E-2</v>
      </c>
      <c r="J467" s="13">
        <v>-0.50472320514059144</v>
      </c>
      <c r="K467" s="13">
        <v>10.34246031746031</v>
      </c>
      <c r="L467" s="13">
        <v>-0.54600858013322673</v>
      </c>
      <c r="M467" s="13">
        <v>-0.76159850720063416</v>
      </c>
      <c r="N467" s="19">
        <f>(F467-Settings!$D$18)/Settings!$E$18</f>
        <v>-2.2838778615632158</v>
      </c>
      <c r="O467" s="19">
        <f>(G467-Settings!$D$19)/Settings!$E$19</f>
        <v>-1.0302498926596791E-2</v>
      </c>
      <c r="P467" s="19">
        <f>(H467-Settings!$D$20)/Settings!$E$20</f>
        <v>-0.48735504659348061</v>
      </c>
      <c r="Q467" s="19">
        <f>(I467-Settings!$D$21)/Settings!$E$21</f>
        <v>-0.45170802918980452</v>
      </c>
      <c r="R467" s="19">
        <f>(J467-Settings!$D$22)/Settings!$E$22</f>
        <v>-2.0248638529866967</v>
      </c>
      <c r="S467" s="19">
        <f>(K467-Settings!$D$23)/Settings!$E$23</f>
        <v>-1.7060855227956999</v>
      </c>
      <c r="T467" s="19">
        <f>(L467-Settings!$D$24)/Settings!$E$24</f>
        <v>-1.2819627690758917</v>
      </c>
      <c r="U467" s="19">
        <f>(M467-Settings!$D$25)/Settings!$E$25</f>
        <v>-0.47766025754669433</v>
      </c>
      <c r="V467" s="31">
        <f>Settings!$B$18*(N467-F$6)^2</f>
        <v>1.0863557579946288</v>
      </c>
      <c r="W467" s="31">
        <f>Settings!$B$19*(O467-G$6)^2</f>
        <v>5.2910413741453416E-2</v>
      </c>
      <c r="X467" s="31">
        <f>Settings!$B$20*(P467-H$6)^2</f>
        <v>1.511278229677042</v>
      </c>
      <c r="Y467" s="31">
        <f>Settings!$B$21*(Q467-I$6)^2</f>
        <v>3.3296943718803471E-2</v>
      </c>
      <c r="Z467" s="31">
        <f>Settings!$B$22*(R467-J$6)^2</f>
        <v>0.9485020833089991</v>
      </c>
      <c r="AA467" s="31">
        <f>Settings!$B$23*(S467-K$6)^2</f>
        <v>11.791854316533067</v>
      </c>
      <c r="AB467" s="31">
        <f>Settings!$B$24*(T467-L$6)^2</f>
        <v>7.8858671056084093</v>
      </c>
      <c r="AC467" s="31">
        <f>Settings!$B$25*(U467-M$6)^2</f>
        <v>8.7453489586389835E-2</v>
      </c>
      <c r="AD467" s="19">
        <f t="shared" si="28"/>
        <v>4.8370981321623807</v>
      </c>
      <c r="AE467" s="15">
        <f t="shared" si="29"/>
        <v>1.9146111353256861</v>
      </c>
      <c r="AF467" s="33">
        <f t="shared" si="30"/>
        <v>0.15995417680170093</v>
      </c>
      <c r="AG467" s="47">
        <f t="shared" si="31"/>
        <v>6.9058614313334652E-4</v>
      </c>
      <c r="AH467" s="48"/>
      <c r="AI467" s="48"/>
      <c r="AJ467" s="48"/>
      <c r="AK467" s="48"/>
      <c r="AL467" s="48"/>
      <c r="AM467" s="48"/>
      <c r="AN467" s="48"/>
      <c r="AO467" s="48"/>
      <c r="AP467" s="48"/>
      <c r="AQ467" s="48"/>
    </row>
    <row r="468" spans="1:43" ht="20" customHeight="1" x14ac:dyDescent="0.45">
      <c r="A468" s="26">
        <v>458</v>
      </c>
      <c r="B468" s="16" t="s">
        <v>684</v>
      </c>
      <c r="C468" s="16" t="s">
        <v>232</v>
      </c>
      <c r="D468" s="46">
        <v>26</v>
      </c>
      <c r="E468" s="46">
        <v>0</v>
      </c>
      <c r="F468" s="13">
        <v>-0.2409382339532371</v>
      </c>
      <c r="G468" s="13">
        <v>0.55583648691080811</v>
      </c>
      <c r="H468" s="13">
        <v>-1.671814669131276E-3</v>
      </c>
      <c r="I468" s="13">
        <v>0.1097404614018159</v>
      </c>
      <c r="J468" s="13">
        <v>9.1813003065007642E-2</v>
      </c>
      <c r="K468" s="13">
        <v>9.7345628415300567</v>
      </c>
      <c r="L468" s="13">
        <v>-0.1272550655576743</v>
      </c>
      <c r="M468" s="13">
        <v>-1.100632033090966</v>
      </c>
      <c r="N468" s="19">
        <f>(F468-Settings!$D$18)/Settings!$E$18</f>
        <v>-1.5506129874963217</v>
      </c>
      <c r="O468" s="19">
        <f>(G468-Settings!$D$19)/Settings!$E$19</f>
        <v>2.3433566361289211</v>
      </c>
      <c r="P468" s="19">
        <f>(H468-Settings!$D$20)/Settings!$E$20</f>
        <v>-0.49648957316417791</v>
      </c>
      <c r="Q468" s="19">
        <f>(I468-Settings!$D$21)/Settings!$E$21</f>
        <v>1.3857213284148142</v>
      </c>
      <c r="R468" s="19">
        <f>(J468-Settings!$D$22)/Settings!$E$22</f>
        <v>-0.41985509953595246</v>
      </c>
      <c r="S468" s="19">
        <f>(K468-Settings!$D$23)/Settings!$E$23</f>
        <v>-1.9171943337966746</v>
      </c>
      <c r="T468" s="19">
        <f>(L468-Settings!$D$24)/Settings!$E$24</f>
        <v>-0.99245555930987217</v>
      </c>
      <c r="U468" s="19">
        <f>(M468-Settings!$D$25)/Settings!$E$25</f>
        <v>-0.70630824339395304</v>
      </c>
      <c r="V468" s="31">
        <f>Settings!$B$18*(N468-F$6)^2</f>
        <v>0.51030720001726115</v>
      </c>
      <c r="W468" s="31">
        <f>Settings!$B$19*(O468-G$6)^2</f>
        <v>0.67661437509545475</v>
      </c>
      <c r="X468" s="31">
        <f>Settings!$B$20*(P468-H$6)^2</f>
        <v>1.5213388377115211</v>
      </c>
      <c r="Y468" s="31">
        <f>Settings!$B$21*(Q468-I$6)^2</f>
        <v>1.0084134043881388</v>
      </c>
      <c r="Z468" s="31">
        <f>Settings!$B$22*(R468-J$6)^2</f>
        <v>6.5602054832640963E-2</v>
      </c>
      <c r="AA468" s="31">
        <f>Settings!$B$23*(S468-K$6)^2</f>
        <v>13.286285718715998</v>
      </c>
      <c r="AB468" s="31">
        <f>Settings!$B$24*(T468-L$6)^2</f>
        <v>6.3437056223089554</v>
      </c>
      <c r="AC468" s="31">
        <f>Settings!$B$25*(U468-M$6)^2</f>
        <v>0.27496740767784084</v>
      </c>
      <c r="AD468" s="19">
        <f t="shared" si="28"/>
        <v>4.8669533201734954</v>
      </c>
      <c r="AE468" s="15">
        <f t="shared" si="29"/>
        <v>1.9264283600028642</v>
      </c>
      <c r="AF468" s="33">
        <f t="shared" si="30"/>
        <v>0.15636486677225148</v>
      </c>
      <c r="AG468" s="47">
        <f t="shared" si="31"/>
        <v>6.7508965645628855E-4</v>
      </c>
      <c r="AH468" s="48"/>
      <c r="AI468" s="48"/>
      <c r="AJ468" s="48"/>
      <c r="AK468" s="48"/>
      <c r="AL468" s="48"/>
      <c r="AM468" s="48"/>
      <c r="AN468" s="48"/>
      <c r="AO468" s="48"/>
      <c r="AP468" s="48"/>
      <c r="AQ468" s="48"/>
    </row>
    <row r="469" spans="1:43" ht="20" customHeight="1" x14ac:dyDescent="0.45">
      <c r="A469" s="26">
        <v>459</v>
      </c>
      <c r="B469" s="16" t="s">
        <v>685</v>
      </c>
      <c r="C469" s="16" t="s">
        <v>229</v>
      </c>
      <c r="D469" s="46">
        <v>26</v>
      </c>
      <c r="E469" s="46">
        <v>1</v>
      </c>
      <c r="F469" s="13">
        <v>-0.52767197201474825</v>
      </c>
      <c r="G469" s="13">
        <v>-3.2359492085582121E-3</v>
      </c>
      <c r="H469" s="13">
        <v>-5.7863028914809697E-4</v>
      </c>
      <c r="I469" s="13">
        <v>0.12686882779759681</v>
      </c>
      <c r="J469" s="13">
        <v>-0.34164462068994877</v>
      </c>
      <c r="K469" s="13">
        <v>11.660027100271</v>
      </c>
      <c r="L469" s="13">
        <v>-0.98516305250687897</v>
      </c>
      <c r="M469" s="13">
        <v>1.102364285874933</v>
      </c>
      <c r="N469" s="19">
        <f>(F469-Settings!$D$18)/Settings!$E$18</f>
        <v>-2.5768151615109458</v>
      </c>
      <c r="O469" s="19">
        <f>(G469-Settings!$D$19)/Settings!$E$19</f>
        <v>1.4189609956828894E-2</v>
      </c>
      <c r="P469" s="19">
        <f>(H469-Settings!$D$20)/Settings!$E$20</f>
        <v>-0.48658511246417435</v>
      </c>
      <c r="Q469" s="19">
        <f>(I469-Settings!$D$21)/Settings!$E$21</f>
        <v>1.5963541177293337</v>
      </c>
      <c r="R469" s="19">
        <f>(J469-Settings!$D$22)/Settings!$E$22</f>
        <v>-1.5860932436871065</v>
      </c>
      <c r="S469" s="19">
        <f>(K469-Settings!$D$23)/Settings!$E$23</f>
        <v>-1.2485248847820329</v>
      </c>
      <c r="T469" s="19">
        <f>(L469-Settings!$D$24)/Settings!$E$24</f>
        <v>-1.5855742768671321</v>
      </c>
      <c r="U469" s="19">
        <f>(M469-Settings!$D$25)/Settings!$E$25</f>
        <v>0.77941700999415786</v>
      </c>
      <c r="V469" s="31">
        <f>Settings!$B$18*(N469-F$6)^2</f>
        <v>1.3766081509844472</v>
      </c>
      <c r="W469" s="31">
        <f>Settings!$B$19*(O469-G$6)^2</f>
        <v>4.7991416641089253E-2</v>
      </c>
      <c r="X469" s="31">
        <f>Settings!$B$20*(P469-H$6)^2</f>
        <v>1.5104317628300497</v>
      </c>
      <c r="Y469" s="31">
        <f>Settings!$B$21*(Q469-I$6)^2</f>
        <v>1.2064731974520115</v>
      </c>
      <c r="Z469" s="31">
        <f>Settings!$B$22*(R469-J$6)^2</f>
        <v>0.60479634595464637</v>
      </c>
      <c r="AA469" s="31">
        <f>Settings!$B$23*(S469-K$6)^2</f>
        <v>8.8587564392459264</v>
      </c>
      <c r="AB469" s="31">
        <f>Settings!$B$24*(T469-L$6)^2</f>
        <v>9.6832377371243581</v>
      </c>
      <c r="AC469" s="31">
        <f>Settings!$B$25*(U469-M$6)^2</f>
        <v>0.92419748675398039</v>
      </c>
      <c r="AD469" s="19">
        <f t="shared" si="28"/>
        <v>4.9206191213084667</v>
      </c>
      <c r="AE469" s="15">
        <f t="shared" si="29"/>
        <v>1.9476702570311673</v>
      </c>
      <c r="AF469" s="33">
        <f t="shared" si="30"/>
        <v>0.15006155309941946</v>
      </c>
      <c r="AG469" s="47">
        <f t="shared" si="31"/>
        <v>6.4787573078508057E-4</v>
      </c>
      <c r="AH469" s="48"/>
      <c r="AI469" s="48"/>
      <c r="AJ469" s="48"/>
      <c r="AK469" s="48"/>
      <c r="AL469" s="48"/>
      <c r="AM469" s="48"/>
      <c r="AN469" s="48"/>
      <c r="AO469" s="48"/>
      <c r="AP469" s="48"/>
      <c r="AQ469" s="48"/>
    </row>
    <row r="470" spans="1:43" ht="20" customHeight="1" x14ac:dyDescent="0.45">
      <c r="A470" s="26">
        <v>460</v>
      </c>
      <c r="B470" s="16" t="s">
        <v>686</v>
      </c>
      <c r="C470" s="16" t="s">
        <v>214</v>
      </c>
      <c r="D470" s="46">
        <v>26</v>
      </c>
      <c r="E470" s="46">
        <v>1</v>
      </c>
      <c r="F470" s="13">
        <v>-0.54336294447104583</v>
      </c>
      <c r="G470" s="13">
        <v>5.096767013958229E-2</v>
      </c>
      <c r="H470" s="13">
        <v>1.087550594443188E-4</v>
      </c>
      <c r="I470" s="13">
        <v>9.1128767839191783E-4</v>
      </c>
      <c r="J470" s="13">
        <v>-0.40464934265153568</v>
      </c>
      <c r="K470" s="13">
        <v>10.137023809523811</v>
      </c>
      <c r="L470" s="13">
        <v>-0.71921248101186963</v>
      </c>
      <c r="M470" s="13">
        <v>-0.30622601990819259</v>
      </c>
      <c r="N470" s="19">
        <f>(F470-Settings!$D$18)/Settings!$E$18</f>
        <v>-2.6329721737827345</v>
      </c>
      <c r="O470" s="19">
        <f>(G470-Settings!$D$19)/Settings!$E$19</f>
        <v>0.24000879675343442</v>
      </c>
      <c r="P470" s="19">
        <f>(H470-Settings!$D$20)/Settings!$E$20</f>
        <v>-0.48035726902298231</v>
      </c>
      <c r="Q470" s="19">
        <f>(I470-Settings!$D$21)/Settings!$E$21</f>
        <v>4.7415509255922077E-2</v>
      </c>
      <c r="R470" s="19">
        <f>(J470-Settings!$D$22)/Settings!$E$22</f>
        <v>-1.7556104144239162</v>
      </c>
      <c r="S470" s="19">
        <f>(K470-Settings!$D$23)/Settings!$E$23</f>
        <v>-1.7774288967096963</v>
      </c>
      <c r="T470" s="19">
        <f>(L470-Settings!$D$24)/Settings!$E$24</f>
        <v>-1.4017080997265294</v>
      </c>
      <c r="U470" s="19">
        <f>(M470-Settings!$D$25)/Settings!$E$25</f>
        <v>-0.17055198040435302</v>
      </c>
      <c r="V470" s="31">
        <f>Settings!$B$18*(N470-F$6)^2</f>
        <v>1.4361712767664292</v>
      </c>
      <c r="W470" s="31">
        <f>Settings!$B$19*(O470-G$6)^2</f>
        <v>1.3942891812557699E-2</v>
      </c>
      <c r="X470" s="31">
        <f>Settings!$B$20*(P470-H$6)^2</f>
        <v>1.5035935777292169</v>
      </c>
      <c r="Y470" s="31">
        <f>Settings!$B$21*(Q470-I$6)^2</f>
        <v>0.16458383554681433</v>
      </c>
      <c r="Z470" s="31">
        <f>Settings!$B$22*(R470-J$6)^2</f>
        <v>0.72845698891928867</v>
      </c>
      <c r="AA470" s="31">
        <f>Settings!$B$23*(S470-K$6)^2</f>
        <v>12.286920062695264</v>
      </c>
      <c r="AB470" s="31">
        <f>Settings!$B$24*(T470-L$6)^2</f>
        <v>8.572738602179772</v>
      </c>
      <c r="AC470" s="31">
        <f>Settings!$B$25*(U470-M$6)^2</f>
        <v>1.2957076266671016E-4</v>
      </c>
      <c r="AD470" s="19">
        <f t="shared" si="28"/>
        <v>4.9705670507912885</v>
      </c>
      <c r="AE470" s="15">
        <f t="shared" si="29"/>
        <v>1.967440553056053</v>
      </c>
      <c r="AF470" s="33">
        <f t="shared" si="30"/>
        <v>0.14436489883907039</v>
      </c>
      <c r="AG470" s="47">
        <f t="shared" si="31"/>
        <v>6.2328099638626758E-4</v>
      </c>
      <c r="AH470" s="48"/>
      <c r="AI470" s="48"/>
      <c r="AJ470" s="48"/>
      <c r="AK470" s="48"/>
      <c r="AL470" s="48"/>
      <c r="AM470" s="48"/>
      <c r="AN470" s="48"/>
      <c r="AO470" s="48"/>
      <c r="AP470" s="48"/>
      <c r="AQ470" s="48"/>
    </row>
    <row r="471" spans="1:43" ht="20" customHeight="1" x14ac:dyDescent="0.45">
      <c r="A471" s="26">
        <v>461</v>
      </c>
      <c r="B471" s="16" t="s">
        <v>687</v>
      </c>
      <c r="C471" s="16" t="s">
        <v>224</v>
      </c>
      <c r="D471" s="46">
        <v>26</v>
      </c>
      <c r="E471" s="46">
        <v>0</v>
      </c>
      <c r="F471" s="13">
        <v>1.490780447793234E-2</v>
      </c>
      <c r="G471" s="13">
        <v>0.1403183351443226</v>
      </c>
      <c r="H471" s="13">
        <v>1.321390979205363E-3</v>
      </c>
      <c r="I471" s="13">
        <v>4.9896804621836867E-4</v>
      </c>
      <c r="J471" s="13">
        <v>-0.84295350135232139</v>
      </c>
      <c r="K471" s="13">
        <v>10.062919896640819</v>
      </c>
      <c r="L471" s="13">
        <v>-0.72189810843718905</v>
      </c>
      <c r="M471" s="13">
        <v>-0.58226389069325335</v>
      </c>
      <c r="N471" s="19">
        <f>(F471-Settings!$D$18)/Settings!$E$18</f>
        <v>-0.63495596497052453</v>
      </c>
      <c r="O471" s="19">
        <f>(G471-Settings!$D$19)/Settings!$E$19</f>
        <v>0.61225505546749515</v>
      </c>
      <c r="P471" s="19">
        <f>(H471-Settings!$D$20)/Settings!$E$20</f>
        <v>-0.46937055440227882</v>
      </c>
      <c r="Q471" s="19">
        <f>(I471-Settings!$D$21)/Settings!$E$21</f>
        <v>4.234508793219071E-2</v>
      </c>
      <c r="R471" s="19">
        <f>(J471-Settings!$D$22)/Settings!$E$22</f>
        <v>-2.9348883890245236</v>
      </c>
      <c r="S471" s="19">
        <f>(K471-Settings!$D$23)/Settings!$E$23</f>
        <v>-1.8031634811728221</v>
      </c>
      <c r="T471" s="19">
        <f>(L471-Settings!$D$24)/Settings!$E$24</f>
        <v>-1.403564820865129</v>
      </c>
      <c r="U471" s="19">
        <f>(M471-Settings!$D$25)/Settings!$E$25</f>
        <v>-0.35671499483433644</v>
      </c>
      <c r="V471" s="31">
        <f>Settings!$B$18*(N471-F$6)^2</f>
        <v>9.2941829372251039E-2</v>
      </c>
      <c r="W471" s="31">
        <f>Settings!$B$19*(O471-G$6)^2</f>
        <v>2.3419371190747285E-3</v>
      </c>
      <c r="X471" s="31">
        <f>Settings!$B$20*(P471-H$6)^2</f>
        <v>1.4915679684251253</v>
      </c>
      <c r="Y471" s="31">
        <f>Settings!$B$21*(Q471-I$6)^2</f>
        <v>0.16274912647378018</v>
      </c>
      <c r="Z471" s="31">
        <f>Settings!$B$22*(R471-J$6)^2</f>
        <v>1.9068463135938079</v>
      </c>
      <c r="AA471" s="31">
        <f>Settings!$B$23*(S471-K$6)^2</f>
        <v>12.467995682105828</v>
      </c>
      <c r="AB471" s="31">
        <f>Settings!$B$24*(T471-L$6)^2</f>
        <v>8.5836147261387605</v>
      </c>
      <c r="AC471" s="31">
        <f>Settings!$B$25*(U471-M$6)^2</f>
        <v>3.0548083022102962E-2</v>
      </c>
      <c r="AD471" s="19">
        <f t="shared" si="28"/>
        <v>4.9737918800700474</v>
      </c>
      <c r="AE471" s="15">
        <f t="shared" si="29"/>
        <v>1.9687169989494251</v>
      </c>
      <c r="AF471" s="33">
        <f t="shared" si="30"/>
        <v>0.14400268827900151</v>
      </c>
      <c r="AG471" s="47">
        <f t="shared" si="31"/>
        <v>6.217171885590406E-4</v>
      </c>
      <c r="AH471" s="18">
        <v>0.23565582780197519</v>
      </c>
      <c r="AI471" s="46">
        <v>0</v>
      </c>
      <c r="AJ471" s="18">
        <v>0.7014447862066886</v>
      </c>
      <c r="AK471" s="46">
        <v>1</v>
      </c>
      <c r="AL471" s="18">
        <v>0.18185770403159171</v>
      </c>
      <c r="AM471" s="46">
        <v>1</v>
      </c>
      <c r="AN471" s="18">
        <v>1.813841380147063E-3</v>
      </c>
      <c r="AO471" s="46">
        <v>1</v>
      </c>
      <c r="AP471" s="18">
        <v>-0.49272892583155092</v>
      </c>
      <c r="AQ471" s="46">
        <v>1</v>
      </c>
    </row>
    <row r="472" spans="1:43" ht="20" customHeight="1" x14ac:dyDescent="0.45">
      <c r="A472" s="26">
        <v>462</v>
      </c>
      <c r="B472" s="16" t="s">
        <v>688</v>
      </c>
      <c r="C472" s="16" t="s">
        <v>236</v>
      </c>
      <c r="D472" s="46">
        <v>26</v>
      </c>
      <c r="E472" s="46">
        <v>0</v>
      </c>
      <c r="F472" s="13">
        <v>-0.45443669516824181</v>
      </c>
      <c r="G472" s="13">
        <v>6.1654251183009122E-2</v>
      </c>
      <c r="H472" s="13">
        <v>8.4293006984077843E-4</v>
      </c>
      <c r="I472" s="13">
        <v>-4.7062171790770407E-2</v>
      </c>
      <c r="J472" s="13">
        <v>0.43600395178813778</v>
      </c>
      <c r="K472" s="13">
        <v>9.7929999999999993</v>
      </c>
      <c r="L472" s="13">
        <v>-0.2697765522657386</v>
      </c>
      <c r="M472" s="13">
        <v>2.1695299214085</v>
      </c>
      <c r="N472" s="19">
        <f>(F472-Settings!$D$18)/Settings!$E$18</f>
        <v>-2.3147106710434673</v>
      </c>
      <c r="O472" s="19">
        <f>(G472-Settings!$D$19)/Settings!$E$19</f>
        <v>0.28453045545232819</v>
      </c>
      <c r="P472" s="19">
        <f>(H472-Settings!$D$20)/Settings!$E$20</f>
        <v>-0.47370550224827934</v>
      </c>
      <c r="Q472" s="19">
        <f>(I472-Settings!$D$21)/Settings!$E$21</f>
        <v>-0.54252887584000509</v>
      </c>
      <c r="R472" s="19">
        <f>(J472-Settings!$D$22)/Settings!$E$22</f>
        <v>0.50620685271480292</v>
      </c>
      <c r="S472" s="19">
        <f>(K472-Settings!$D$23)/Settings!$E$23</f>
        <v>-1.8969004527865805</v>
      </c>
      <c r="T472" s="19">
        <f>(L472-Settings!$D$24)/Settings!$E$24</f>
        <v>-1.0909884587659604</v>
      </c>
      <c r="U472" s="19">
        <f>(M472-Settings!$D$25)/Settings!$E$25</f>
        <v>1.4991254001581706</v>
      </c>
      <c r="V472" s="31">
        <f>Settings!$B$18*(N472-F$6)^2</f>
        <v>1.1152896868341935</v>
      </c>
      <c r="W472" s="31">
        <f>Settings!$B$19*(O472-G$6)^2</f>
        <v>9.6372177167926634E-3</v>
      </c>
      <c r="X472" s="31">
        <f>Settings!$B$20*(P472-H$6)^2</f>
        <v>1.4963070583557885</v>
      </c>
      <c r="Y472" s="31">
        <f>Settings!$B$21*(Q472-I$6)^2</f>
        <v>2.0123744419162266E-2</v>
      </c>
      <c r="Z472" s="31">
        <f>Settings!$B$22*(R472-J$6)^2</f>
        <v>2.4969850915013025E-2</v>
      </c>
      <c r="AA472" s="31">
        <f>Settings!$B$23*(S472-K$6)^2</f>
        <v>13.138753716189962</v>
      </c>
      <c r="AB472" s="31">
        <f>Settings!$B$24*(T472-L$6)^2</f>
        <v>6.8497583462666736</v>
      </c>
      <c r="AC472" s="31">
        <f>Settings!$B$25*(U472-M$6)^2</f>
        <v>2.8259637186118609</v>
      </c>
      <c r="AD472" s="19">
        <f t="shared" si="28"/>
        <v>5.0478513586782094</v>
      </c>
      <c r="AE472" s="15">
        <f t="shared" si="29"/>
        <v>1.9980310832506698</v>
      </c>
      <c r="AF472" s="33">
        <f t="shared" si="30"/>
        <v>0.13586899836026703</v>
      </c>
      <c r="AG472" s="47">
        <f t="shared" si="31"/>
        <v>5.8660079671023647E-4</v>
      </c>
      <c r="AH472" s="18">
        <v>0.31265034051218549</v>
      </c>
      <c r="AI472" s="46">
        <v>1</v>
      </c>
      <c r="AJ472" s="18">
        <v>-0.15397516659785659</v>
      </c>
      <c r="AK472" s="46">
        <v>1</v>
      </c>
      <c r="AL472" s="18">
        <v>-5.6035526613339708E-2</v>
      </c>
      <c r="AM472" s="46">
        <v>1</v>
      </c>
      <c r="AN472" s="18">
        <v>-0.58571574765147805</v>
      </c>
      <c r="AO472" s="46">
        <v>1</v>
      </c>
      <c r="AP472" s="18">
        <v>0.23471383547503311</v>
      </c>
      <c r="AQ472" s="46">
        <v>1</v>
      </c>
    </row>
    <row r="473" spans="1:43" ht="20" customHeight="1" x14ac:dyDescent="0.45">
      <c r="A473" s="26">
        <v>463</v>
      </c>
      <c r="B473" s="16" t="s">
        <v>689</v>
      </c>
      <c r="C473" s="16" t="s">
        <v>246</v>
      </c>
      <c r="D473" s="46">
        <v>26</v>
      </c>
      <c r="E473" s="46">
        <v>1</v>
      </c>
      <c r="F473" s="13">
        <v>0.62613381576319238</v>
      </c>
      <c r="G473" s="13">
        <v>-0.15754308414677001</v>
      </c>
      <c r="H473" s="13">
        <v>-1.425359006533101E-2</v>
      </c>
      <c r="I473" s="13">
        <v>-8.6534638269439579E-3</v>
      </c>
      <c r="J473" s="13">
        <v>0.19341604619776259</v>
      </c>
      <c r="K473" s="13">
        <v>7.9366255144032962</v>
      </c>
      <c r="L473" s="13">
        <v>9.7588475761863955E-2</v>
      </c>
      <c r="M473" s="13">
        <v>0.59496036516062589</v>
      </c>
      <c r="N473" s="19">
        <f>(F473-Settings!$D$18)/Settings!$E$18</f>
        <v>1.5525838265996703</v>
      </c>
      <c r="O473" s="19">
        <f>(G473-Settings!$D$19)/Settings!$E$19</f>
        <v>-0.6286735816107738</v>
      </c>
      <c r="P473" s="19">
        <f>(H473-Settings!$D$20)/Settings!$E$20</f>
        <v>-0.61048287770613385</v>
      </c>
      <c r="Q473" s="19">
        <f>(I473-Settings!$D$21)/Settings!$E$21</f>
        <v>-7.0205181597900235E-2</v>
      </c>
      <c r="R473" s="19">
        <f>(J473-Settings!$D$22)/Settings!$E$22</f>
        <v>-0.14648732845657975</v>
      </c>
      <c r="S473" s="19">
        <f>(K473-Settings!$D$23)/Settings!$E$23</f>
        <v>-2.5415766127379835</v>
      </c>
      <c r="T473" s="19">
        <f>(L473-Settings!$D$24)/Settings!$E$24</f>
        <v>-0.83700892061763532</v>
      </c>
      <c r="U473" s="19">
        <f>(M473-Settings!$D$25)/Settings!$E$25</f>
        <v>0.43721815465187885</v>
      </c>
      <c r="V473" s="31">
        <f>Settings!$B$18*(N473-F$6)^2</f>
        <v>0.45351323284548939</v>
      </c>
      <c r="W473" s="31">
        <f>Settings!$B$19*(O473-G$6)^2</f>
        <v>0.25660971283435707</v>
      </c>
      <c r="X473" s="31">
        <f>Settings!$B$20*(P473-H$6)^2</f>
        <v>1.6496962221610556</v>
      </c>
      <c r="Y473" s="31">
        <f>Settings!$B$21*(Q473-I$6)^2</f>
        <v>0.12467096747852016</v>
      </c>
      <c r="Z473" s="31">
        <f>Settings!$B$22*(R473-J$6)^2</f>
        <v>1.7922568386376053E-2</v>
      </c>
      <c r="AA473" s="31">
        <f>Settings!$B$23*(S473-K$6)^2</f>
        <v>18.227930422906063</v>
      </c>
      <c r="AB473" s="31">
        <f>Settings!$B$24*(T473-L$6)^2</f>
        <v>5.5848312735193275</v>
      </c>
      <c r="AC473" s="31">
        <f>Settings!$B$25*(U473-M$6)^2</f>
        <v>0.38335049987093511</v>
      </c>
      <c r="AD473" s="19">
        <f t="shared" si="28"/>
        <v>5.1670615343734898</v>
      </c>
      <c r="AE473" s="15">
        <f t="shared" si="29"/>
        <v>2.0452166320227145</v>
      </c>
      <c r="AF473" s="33">
        <f t="shared" si="30"/>
        <v>0.12350723570187955</v>
      </c>
      <c r="AG473" s="47">
        <f t="shared" si="31"/>
        <v>5.3323012413837242E-4</v>
      </c>
      <c r="AH473" s="48"/>
      <c r="AI473" s="48"/>
      <c r="AJ473" s="48"/>
      <c r="AK473" s="48"/>
      <c r="AL473" s="48"/>
      <c r="AM473" s="48"/>
      <c r="AN473" s="48"/>
      <c r="AO473" s="48"/>
      <c r="AP473" s="48"/>
      <c r="AQ473" s="48"/>
    </row>
    <row r="474" spans="1:43" ht="20" customHeight="1" x14ac:dyDescent="0.45">
      <c r="A474" s="26">
        <v>464</v>
      </c>
      <c r="B474" s="16" t="s">
        <v>690</v>
      </c>
      <c r="C474" s="16" t="s">
        <v>234</v>
      </c>
      <c r="D474" s="46">
        <v>26</v>
      </c>
      <c r="E474" s="46">
        <v>1</v>
      </c>
      <c r="F474" s="13">
        <v>-0.20258219287769211</v>
      </c>
      <c r="G474" s="13">
        <v>-0.38808484663118642</v>
      </c>
      <c r="H474" s="13">
        <v>-8.4841566259030735E-2</v>
      </c>
      <c r="I474" s="13">
        <v>-4.329254575707246E-4</v>
      </c>
      <c r="J474" s="13">
        <v>-0.32405846877451999</v>
      </c>
      <c r="K474" s="13">
        <v>9.7506249999999994</v>
      </c>
      <c r="L474" s="13">
        <v>-0.89086816496061827</v>
      </c>
      <c r="M474" s="13">
        <v>0.56792553257229506</v>
      </c>
      <c r="N474" s="19">
        <f>(F474-Settings!$D$18)/Settings!$E$18</f>
        <v>-1.4133391075391795</v>
      </c>
      <c r="O474" s="19">
        <f>(G474-Settings!$D$19)/Settings!$E$19</f>
        <v>-1.5891399481186974</v>
      </c>
      <c r="P474" s="19">
        <f>(H474-Settings!$D$20)/Settings!$E$20</f>
        <v>-1.2500235159597117</v>
      </c>
      <c r="Q474" s="19">
        <f>(I474-Settings!$D$21)/Settings!$E$21</f>
        <v>3.0885306916791169E-2</v>
      </c>
      <c r="R474" s="19">
        <f>(J474-Settings!$D$22)/Settings!$E$22</f>
        <v>-1.5387768739923275</v>
      </c>
      <c r="S474" s="19">
        <f>(K474-Settings!$D$23)/Settings!$E$23</f>
        <v>-1.9116163156094632</v>
      </c>
      <c r="T474" s="19">
        <f>(L474-Settings!$D$24)/Settings!$E$24</f>
        <v>-1.5203830633285693</v>
      </c>
      <c r="U474" s="19">
        <f>(M474-Settings!$D$25)/Settings!$E$25</f>
        <v>0.41898556245378688</v>
      </c>
      <c r="V474" s="31">
        <f>Settings!$B$18*(N474-F$6)^2</f>
        <v>0.42636609647719875</v>
      </c>
      <c r="W474" s="31">
        <f>Settings!$B$19*(O474-G$6)^2</f>
        <v>0.87628360282041862</v>
      </c>
      <c r="X474" s="31">
        <f>Settings!$B$20*(P474-H$6)^2</f>
        <v>2.4662072779212938</v>
      </c>
      <c r="Y474" s="31">
        <f>Settings!$B$21*(Q474-I$6)^2</f>
        <v>0.15864034293147025</v>
      </c>
      <c r="Z474" s="31">
        <f>Settings!$B$22*(R474-J$6)^2</f>
        <v>0.57233160485132029</v>
      </c>
      <c r="AA474" s="31">
        <f>Settings!$B$23*(S474-K$6)^2</f>
        <v>13.245652681436891</v>
      </c>
      <c r="AB474" s="31">
        <f>Settings!$B$24*(T474-L$6)^2</f>
        <v>9.2817648833359847</v>
      </c>
      <c r="AC474" s="31">
        <f>Settings!$B$25*(U474-M$6)^2</f>
        <v>0.36110539713539019</v>
      </c>
      <c r="AD474" s="19">
        <f t="shared" si="28"/>
        <v>5.2333881842368584</v>
      </c>
      <c r="AE474" s="15">
        <f t="shared" si="29"/>
        <v>2.0714699225137396</v>
      </c>
      <c r="AF474" s="33">
        <f t="shared" si="30"/>
        <v>0.11701024078479839</v>
      </c>
      <c r="AG474" s="47">
        <f t="shared" si="31"/>
        <v>5.0517999908720644E-4</v>
      </c>
      <c r="AH474" s="18">
        <v>-0.1386153093337035</v>
      </c>
      <c r="AI474" s="46">
        <v>1</v>
      </c>
      <c r="AJ474" s="18">
        <v>0.29972267964488419</v>
      </c>
      <c r="AK474" s="46">
        <v>1</v>
      </c>
      <c r="AL474" s="18">
        <v>1.6016158075277871</v>
      </c>
      <c r="AM474" s="46">
        <v>1</v>
      </c>
      <c r="AN474" s="48"/>
      <c r="AO474" s="48"/>
      <c r="AP474" s="48"/>
      <c r="AQ474" s="48"/>
    </row>
    <row r="475" spans="1:43" ht="20" customHeight="1" x14ac:dyDescent="0.45">
      <c r="A475" s="26">
        <v>465</v>
      </c>
      <c r="B475" s="16" t="s">
        <v>691</v>
      </c>
      <c r="C475" s="16" t="s">
        <v>214</v>
      </c>
      <c r="D475" s="46">
        <v>26</v>
      </c>
      <c r="E475" s="46">
        <v>1</v>
      </c>
      <c r="F475" s="13">
        <v>2.789274938287541E-2</v>
      </c>
      <c r="G475" s="13">
        <v>-0.1037917908202107</v>
      </c>
      <c r="H475" s="13">
        <v>3.620633993395142E-3</v>
      </c>
      <c r="I475" s="13">
        <v>1.0561144534544591E-2</v>
      </c>
      <c r="J475" s="13">
        <v>-0.85413368126897415</v>
      </c>
      <c r="K475" s="13">
        <v>8.4959876543210004</v>
      </c>
      <c r="L475" s="13">
        <v>-0.33575507958975298</v>
      </c>
      <c r="M475" s="13">
        <v>0.50320131709291704</v>
      </c>
      <c r="N475" s="19">
        <f>(F475-Settings!$D$18)/Settings!$E$18</f>
        <v>-0.58848365661574653</v>
      </c>
      <c r="O475" s="19">
        <f>(G475-Settings!$D$19)/Settings!$E$19</f>
        <v>-0.40473884267187232</v>
      </c>
      <c r="P475" s="19">
        <f>(H475-Settings!$D$20)/Settings!$E$20</f>
        <v>-0.44853897055349501</v>
      </c>
      <c r="Q475" s="19">
        <f>(I475-Settings!$D$21)/Settings!$E$21</f>
        <v>0.16608276678247441</v>
      </c>
      <c r="R475" s="19">
        <f>(J475-Settings!$D$22)/Settings!$E$22</f>
        <v>-2.9649691894596879</v>
      </c>
      <c r="S475" s="19">
        <f>(K475-Settings!$D$23)/Settings!$E$23</f>
        <v>-2.3473230075617453</v>
      </c>
      <c r="T475" s="19">
        <f>(L475-Settings!$D$24)/Settings!$E$24</f>
        <v>-1.1366030236237803</v>
      </c>
      <c r="U475" s="19">
        <f>(M475-Settings!$D$25)/Settings!$E$25</f>
        <v>0.37533483066836798</v>
      </c>
      <c r="V475" s="31">
        <f>Settings!$B$18*(N475-F$6)^2</f>
        <v>8.0701773722410622E-2</v>
      </c>
      <c r="W475" s="31">
        <f>Settings!$B$19*(O475-G$6)^2</f>
        <v>0.16517716188813181</v>
      </c>
      <c r="X475" s="31">
        <f>Settings!$B$20*(P475-H$6)^2</f>
        <v>1.4688991322797078</v>
      </c>
      <c r="Y475" s="31">
        <f>Settings!$B$21*(Q475-I$6)^2</f>
        <v>0.21045976933440569</v>
      </c>
      <c r="Z475" s="31">
        <f>Settings!$B$22*(R475-J$6)^2</f>
        <v>1.944180142507326</v>
      </c>
      <c r="AA475" s="31">
        <f>Settings!$B$23*(S475-K$6)^2</f>
        <v>16.606965192451511</v>
      </c>
      <c r="AB475" s="31">
        <f>Settings!$B$24*(T475-L$6)^2</f>
        <v>7.0906043053417349</v>
      </c>
      <c r="AC475" s="31">
        <f>Settings!$B$25*(U475-M$6)^2</f>
        <v>0.31054954802649037</v>
      </c>
      <c r="AD475" s="19">
        <f t="shared" si="28"/>
        <v>5.2799182783023939</v>
      </c>
      <c r="AE475" s="15">
        <f t="shared" si="29"/>
        <v>2.0898873773165016</v>
      </c>
      <c r="AF475" s="33">
        <f t="shared" si="30"/>
        <v>0.11261114100856312</v>
      </c>
      <c r="AG475" s="47">
        <f t="shared" si="31"/>
        <v>4.8618732625756649E-4</v>
      </c>
      <c r="AH475" s="48"/>
      <c r="AI475" s="48"/>
      <c r="AJ475" s="48"/>
      <c r="AK475" s="48"/>
      <c r="AL475" s="48"/>
      <c r="AM475" s="48"/>
      <c r="AN475" s="48"/>
      <c r="AO475" s="48"/>
      <c r="AP475" s="48"/>
      <c r="AQ475" s="48"/>
    </row>
    <row r="476" spans="1:43" ht="20" customHeight="1" x14ac:dyDescent="0.45">
      <c r="A476" s="26">
        <v>466</v>
      </c>
      <c r="B476" s="16" t="s">
        <v>692</v>
      </c>
      <c r="C476" s="16" t="s">
        <v>236</v>
      </c>
      <c r="D476" s="46">
        <v>26</v>
      </c>
      <c r="E476" s="46">
        <v>0</v>
      </c>
      <c r="F476" s="13">
        <v>0.12822446130389681</v>
      </c>
      <c r="G476" s="13">
        <v>-0.24009807880023279</v>
      </c>
      <c r="H476" s="13">
        <v>5.0040746974346182E-4</v>
      </c>
      <c r="I476" s="13">
        <v>1.202386159961036E-4</v>
      </c>
      <c r="J476" s="13">
        <v>-0.63105681381013068</v>
      </c>
      <c r="K476" s="13">
        <v>9.8228395061728406</v>
      </c>
      <c r="L476" s="13">
        <v>-1.1612942816736851</v>
      </c>
      <c r="M476" s="13">
        <v>1.4210488960924661</v>
      </c>
      <c r="N476" s="19">
        <f>(F476-Settings!$D$18)/Settings!$E$18</f>
        <v>-0.22940271416357635</v>
      </c>
      <c r="O476" s="19">
        <f>(G476-Settings!$D$19)/Settings!$E$19</f>
        <v>-0.97260821149047816</v>
      </c>
      <c r="P476" s="19">
        <f>(H476-Settings!$D$20)/Settings!$E$20</f>
        <v>-0.47680882287163029</v>
      </c>
      <c r="Q476" s="19">
        <f>(I476-Settings!$D$21)/Settings!$E$21</f>
        <v>3.7687735652357168E-2</v>
      </c>
      <c r="R476" s="19">
        <f>(J476-Settings!$D$22)/Settings!$E$22</f>
        <v>-2.3647703749722773</v>
      </c>
      <c r="S476" s="19">
        <f>(K476-Settings!$D$23)/Settings!$E$23</f>
        <v>-1.8865378786380944</v>
      </c>
      <c r="T476" s="19">
        <f>(L476-Settings!$D$24)/Settings!$E$24</f>
        <v>-1.7073434296834993</v>
      </c>
      <c r="U476" s="19">
        <f>(M476-Settings!$D$25)/Settings!$E$25</f>
        <v>0.99434146047557737</v>
      </c>
      <c r="V476" s="31">
        <f>Settings!$B$18*(N476-F$6)^2</f>
        <v>1.5250940127704216E-2</v>
      </c>
      <c r="W476" s="31">
        <f>Settings!$B$19*(O476-G$6)^2</f>
        <v>0.43610020590111209</v>
      </c>
      <c r="X476" s="31">
        <f>Settings!$B$20*(P476-H$6)^2</f>
        <v>1.4997043145740723</v>
      </c>
      <c r="Y476" s="31">
        <f>Settings!$B$21*(Q476-I$6)^2</f>
        <v>0.16107294570380198</v>
      </c>
      <c r="Z476" s="31">
        <f>Settings!$B$22*(R476-J$6)^2</f>
        <v>1.2676993010027147</v>
      </c>
      <c r="AA476" s="31">
        <f>Settings!$B$23*(S476-K$6)^2</f>
        <v>13.063737786075771</v>
      </c>
      <c r="AB476" s="31">
        <f>Settings!$B$24*(T476-L$6)^2</f>
        <v>10.455905556471235</v>
      </c>
      <c r="AC476" s="31">
        <f>Settings!$B$25*(U476-M$6)^2</f>
        <v>1.3836260663083808</v>
      </c>
      <c r="AD476" s="19">
        <f t="shared" si="28"/>
        <v>5.3181855097546933</v>
      </c>
      <c r="AE476" s="15">
        <f t="shared" si="29"/>
        <v>2.105034241294617</v>
      </c>
      <c r="AF476" s="33">
        <f t="shared" si="30"/>
        <v>0.10908972409658302</v>
      </c>
      <c r="AG476" s="47">
        <f t="shared" si="31"/>
        <v>4.7098396131747063E-4</v>
      </c>
      <c r="AH476" s="48"/>
      <c r="AI476" s="48"/>
      <c r="AJ476" s="48"/>
      <c r="AK476" s="48"/>
      <c r="AL476" s="48"/>
      <c r="AM476" s="48"/>
      <c r="AN476" s="48"/>
      <c r="AO476" s="48"/>
      <c r="AP476" s="48"/>
      <c r="AQ476" s="48"/>
    </row>
    <row r="477" spans="1:43" ht="20" customHeight="1" x14ac:dyDescent="0.45">
      <c r="A477" s="26">
        <v>467</v>
      </c>
      <c r="B477" s="16" t="s">
        <v>693</v>
      </c>
      <c r="C477" s="16" t="s">
        <v>229</v>
      </c>
      <c r="D477" s="46">
        <v>26</v>
      </c>
      <c r="E477" s="46">
        <v>1</v>
      </c>
      <c r="F477" s="13">
        <v>-6.9980340201355962E-2</v>
      </c>
      <c r="G477" s="13">
        <v>-0.40597397972780108</v>
      </c>
      <c r="H477" s="13">
        <v>-4.0681782476634711E-2</v>
      </c>
      <c r="I477" s="13">
        <v>-9.3266786492867684E-5</v>
      </c>
      <c r="J477" s="13">
        <v>-0.48327063080771537</v>
      </c>
      <c r="K477" s="13">
        <v>10.353435114503821</v>
      </c>
      <c r="L477" s="13">
        <v>-1.57925950648768</v>
      </c>
      <c r="M477" s="13">
        <v>4.9155883355567642E-2</v>
      </c>
      <c r="N477" s="19">
        <f>(F477-Settings!$D$18)/Settings!$E$18</f>
        <v>-0.9387653429909999</v>
      </c>
      <c r="O477" s="19">
        <f>(G477-Settings!$D$19)/Settings!$E$19</f>
        <v>-1.6636683566817385</v>
      </c>
      <c r="P477" s="19">
        <f>(H477-Settings!$D$20)/Settings!$E$20</f>
        <v>-0.84992738304558713</v>
      </c>
      <c r="Q477" s="19">
        <f>(I477-Settings!$D$21)/Settings!$E$21</f>
        <v>3.5062194055404373E-2</v>
      </c>
      <c r="R477" s="19">
        <f>(J477-Settings!$D$22)/Settings!$E$22</f>
        <v>-1.9671446917443471</v>
      </c>
      <c r="S477" s="19">
        <f>(K477-Settings!$D$23)/Settings!$E$23</f>
        <v>-1.7022742282163184</v>
      </c>
      <c r="T477" s="19">
        <f>(L477-Settings!$D$24)/Settings!$E$24</f>
        <v>-1.9963056516191793</v>
      </c>
      <c r="U477" s="19">
        <f>(M477-Settings!$D$25)/Settings!$E$25</f>
        <v>6.9121533223643394E-2</v>
      </c>
      <c r="V477" s="31">
        <f>Settings!$B$18*(N477-F$6)^2</f>
        <v>0.19424408630150697</v>
      </c>
      <c r="W477" s="31">
        <f>Settings!$B$19*(O477-G$6)^2</f>
        <v>0.93979515964001215</v>
      </c>
      <c r="X477" s="31">
        <f>Settings!$B$20*(P477-H$6)^2</f>
        <v>1.9362384233829371</v>
      </c>
      <c r="Y477" s="31">
        <f>Settings!$B$21*(Q477-I$6)^2</f>
        <v>0.16013183776910206</v>
      </c>
      <c r="Z477" s="31">
        <f>Settings!$B$22*(R477-J$6)^2</f>
        <v>0.89888967095955763</v>
      </c>
      <c r="AA477" s="31">
        <f>Settings!$B$23*(S477-K$6)^2</f>
        <v>11.765693428137743</v>
      </c>
      <c r="AB477" s="31">
        <f>Settings!$B$24*(T477-L$6)^2</f>
        <v>12.408157665362754</v>
      </c>
      <c r="AC477" s="31">
        <f>Settings!$B$25*(U477-M$6)^2</f>
        <v>6.3029330548860049E-2</v>
      </c>
      <c r="AD477" s="19">
        <f t="shared" si="28"/>
        <v>5.325990950246017</v>
      </c>
      <c r="AE477" s="15">
        <f t="shared" si="29"/>
        <v>2.1081237761505345</v>
      </c>
      <c r="AF477" s="33">
        <f t="shared" si="30"/>
        <v>0.10838203551024275</v>
      </c>
      <c r="AG477" s="47">
        <f t="shared" si="31"/>
        <v>4.6792858670236388E-4</v>
      </c>
      <c r="AH477" s="18">
        <v>0.69936372941426661</v>
      </c>
      <c r="AI477" s="46">
        <v>1</v>
      </c>
      <c r="AJ477" s="18">
        <v>0.972447656074241</v>
      </c>
      <c r="AK477" s="46">
        <v>1</v>
      </c>
      <c r="AL477" s="48"/>
      <c r="AM477" s="48"/>
      <c r="AN477" s="48"/>
      <c r="AO477" s="48"/>
      <c r="AP477" s="48"/>
      <c r="AQ477" s="48"/>
    </row>
    <row r="478" spans="1:43" ht="20" customHeight="1" x14ac:dyDescent="0.45">
      <c r="A478" s="26">
        <v>468</v>
      </c>
      <c r="B478" s="16" t="s">
        <v>694</v>
      </c>
      <c r="C478" s="16" t="s">
        <v>232</v>
      </c>
      <c r="D478" s="46">
        <v>26</v>
      </c>
      <c r="E478" s="46">
        <v>0</v>
      </c>
      <c r="F478" s="13">
        <v>-0.39973283706591489</v>
      </c>
      <c r="G478" s="13">
        <v>-0.31708979891535111</v>
      </c>
      <c r="H478" s="13">
        <v>-9.5330724409777002E-4</v>
      </c>
      <c r="I478" s="13">
        <v>-1.398691591900527E-4</v>
      </c>
      <c r="J478" s="13">
        <v>-0.28208418761544618</v>
      </c>
      <c r="K478" s="13">
        <v>9.4248511904761951</v>
      </c>
      <c r="L478" s="13">
        <v>-0.70421799822599129</v>
      </c>
      <c r="M478" s="13">
        <v>-2.7263525403436888</v>
      </c>
      <c r="N478" s="19">
        <f>(F478-Settings!$D$18)/Settings!$E$18</f>
        <v>-2.1189289730433782</v>
      </c>
      <c r="O478" s="19">
        <f>(G478-Settings!$D$19)/Settings!$E$19</f>
        <v>-1.2933655305691039</v>
      </c>
      <c r="P478" s="19">
        <f>(H478-Settings!$D$20)/Settings!$E$20</f>
        <v>-0.48997975772571123</v>
      </c>
      <c r="Q478" s="19">
        <f>(I478-Settings!$D$21)/Settings!$E$21</f>
        <v>3.4489110346014505E-2</v>
      </c>
      <c r="R478" s="19">
        <f>(J478-Settings!$D$22)/Settings!$E$22</f>
        <v>-1.425843094360133</v>
      </c>
      <c r="S478" s="19">
        <f>(K478-Settings!$D$23)/Settings!$E$23</f>
        <v>-2.024750066458791</v>
      </c>
      <c r="T478" s="19">
        <f>(L478-Settings!$D$24)/Settings!$E$24</f>
        <v>-1.3913415936026958</v>
      </c>
      <c r="U478" s="19">
        <f>(M478-Settings!$D$25)/Settings!$E$25</f>
        <v>-1.8027122599517713</v>
      </c>
      <c r="V478" s="31">
        <f>Settings!$B$18*(N478-F$6)^2</f>
        <v>0.93802426652907378</v>
      </c>
      <c r="W478" s="31">
        <f>Settings!$B$19*(O478-G$6)^2</f>
        <v>0.64613602781550905</v>
      </c>
      <c r="X478" s="31">
        <f>Settings!$B$20*(P478-H$6)^2</f>
        <v>1.5141656234016461</v>
      </c>
      <c r="Y478" s="31">
        <f>Settings!$B$21*(Q478-I$6)^2</f>
        <v>0.15992678633849758</v>
      </c>
      <c r="Z478" s="31">
        <f>Settings!$B$22*(R478-J$6)^2</f>
        <v>0.49846493095531069</v>
      </c>
      <c r="AA478" s="31">
        <f>Settings!$B$23*(S478-K$6)^2</f>
        <v>14.081942938635112</v>
      </c>
      <c r="AB478" s="31">
        <f>Settings!$B$24*(T478-L$6)^2</f>
        <v>8.5121413837074389</v>
      </c>
      <c r="AC478" s="31">
        <f>Settings!$B$25*(U478-M$6)^2</f>
        <v>2.6269192641806156</v>
      </c>
      <c r="AD478" s="19">
        <f t="shared" si="28"/>
        <v>5.3830958770546902</v>
      </c>
      <c r="AE478" s="15">
        <f t="shared" si="29"/>
        <v>2.1307269414704342</v>
      </c>
      <c r="AF478" s="33">
        <f t="shared" si="30"/>
        <v>0.10331231960071727</v>
      </c>
      <c r="AG478" s="47">
        <f t="shared" si="31"/>
        <v>4.4604059586182871E-4</v>
      </c>
      <c r="AH478" s="18">
        <v>-0.51727595816957006</v>
      </c>
      <c r="AI478" s="46">
        <v>0</v>
      </c>
      <c r="AJ478" s="18">
        <v>0.98832384759303249</v>
      </c>
      <c r="AK478" s="46">
        <v>0</v>
      </c>
      <c r="AL478" s="48"/>
      <c r="AM478" s="48"/>
      <c r="AN478" s="48"/>
      <c r="AO478" s="48"/>
      <c r="AP478" s="48"/>
      <c r="AQ478" s="48"/>
    </row>
    <row r="479" spans="1:43" ht="20" customHeight="1" x14ac:dyDescent="0.45">
      <c r="A479" s="26">
        <v>469</v>
      </c>
      <c r="B479" s="16" t="s">
        <v>695</v>
      </c>
      <c r="C479" s="16" t="s">
        <v>258</v>
      </c>
      <c r="D479" s="46">
        <v>26</v>
      </c>
      <c r="E479" s="46">
        <v>0</v>
      </c>
      <c r="F479" s="13">
        <v>-8.349093036524341E-2</v>
      </c>
      <c r="G479" s="13">
        <v>0.32334622090816217</v>
      </c>
      <c r="H479" s="13">
        <v>1.5368186901992879E-4</v>
      </c>
      <c r="I479" s="13">
        <v>-7.1557676410055021E-5</v>
      </c>
      <c r="J479" s="13">
        <v>0.59293760918116434</v>
      </c>
      <c r="K479" s="13">
        <v>6.8454692556634278</v>
      </c>
      <c r="L479" s="13">
        <v>0.26667683626755312</v>
      </c>
      <c r="M479" s="13">
        <v>0.49869206746261457</v>
      </c>
      <c r="N479" s="19">
        <f>(F479-Settings!$D$18)/Settings!$E$18</f>
        <v>-0.98711890295968274</v>
      </c>
      <c r="O479" s="19">
        <f>(G479-Settings!$D$19)/Settings!$E$19</f>
        <v>1.3747725556150228</v>
      </c>
      <c r="P479" s="19">
        <f>(H479-Settings!$D$20)/Settings!$E$20</f>
        <v>-0.47995022348888405</v>
      </c>
      <c r="Q479" s="19">
        <f>(I479-Settings!$D$21)/Settings!$E$21</f>
        <v>3.5329157658623718E-2</v>
      </c>
      <c r="R479" s="19">
        <f>(J479-Settings!$D$22)/Settings!$E$22</f>
        <v>0.92844424645911716</v>
      </c>
      <c r="S479" s="19">
        <f>(K479-Settings!$D$23)/Settings!$E$23</f>
        <v>-2.9205100834623714</v>
      </c>
      <c r="T479" s="19">
        <f>(L479-Settings!$D$24)/Settings!$E$24</f>
        <v>-0.72010888814022234</v>
      </c>
      <c r="U479" s="19">
        <f>(M479-Settings!$D$25)/Settings!$E$25</f>
        <v>0.37229374249591191</v>
      </c>
      <c r="V479" s="31">
        <f>Settings!$B$18*(N479-F$6)^2</f>
        <v>0.21377277290436739</v>
      </c>
      <c r="W479" s="31">
        <f>Settings!$B$19*(O479-G$6)^2</f>
        <v>0.1516337289189397</v>
      </c>
      <c r="X479" s="31">
        <f>Settings!$B$20*(P479-H$6)^2</f>
        <v>1.5031471810233381</v>
      </c>
      <c r="Y479" s="31">
        <f>Settings!$B$21*(Q479-I$6)^2</f>
        <v>0.16022740316739986</v>
      </c>
      <c r="Z479" s="31">
        <f>Settings!$B$22*(R479-J$6)^2</f>
        <v>0.12030410218727466</v>
      </c>
      <c r="AA479" s="31">
        <f>Settings!$B$23*(S479-K$6)^2</f>
        <v>21.607171791890725</v>
      </c>
      <c r="AB479" s="31">
        <f>Settings!$B$24*(T479-L$6)^2</f>
        <v>5.0459747883634458</v>
      </c>
      <c r="AC479" s="31">
        <f>Settings!$B$25*(U479-M$6)^2</f>
        <v>0.30716938349576495</v>
      </c>
      <c r="AD479" s="19">
        <f t="shared" si="28"/>
        <v>5.3953128873079503</v>
      </c>
      <c r="AE479" s="15">
        <f t="shared" si="29"/>
        <v>2.1355626556180867</v>
      </c>
      <c r="AF479" s="33">
        <f t="shared" si="30"/>
        <v>0.10225210187505079</v>
      </c>
      <c r="AG479" s="47">
        <f t="shared" si="31"/>
        <v>4.4146321198421161E-4</v>
      </c>
      <c r="AH479" s="18">
        <v>-0.16182510863734209</v>
      </c>
      <c r="AI479" s="46">
        <v>0</v>
      </c>
      <c r="AJ479" s="18">
        <v>-0.47288481473814598</v>
      </c>
      <c r="AK479" s="46">
        <v>0</v>
      </c>
      <c r="AL479" s="18">
        <v>-0.1108458334789512</v>
      </c>
      <c r="AM479" s="46">
        <v>0</v>
      </c>
      <c r="AN479" s="18">
        <v>0.53764236236387775</v>
      </c>
      <c r="AO479" s="46">
        <v>0</v>
      </c>
      <c r="AP479" s="18">
        <v>0.1285832465647605</v>
      </c>
      <c r="AQ479" s="46">
        <v>0</v>
      </c>
    </row>
    <row r="480" spans="1:43" ht="20" customHeight="1" x14ac:dyDescent="0.45">
      <c r="A480" s="26">
        <v>470</v>
      </c>
      <c r="B480" s="16" t="s">
        <v>696</v>
      </c>
      <c r="C480" s="16" t="s">
        <v>246</v>
      </c>
      <c r="D480" s="46">
        <v>26</v>
      </c>
      <c r="E480" s="46">
        <v>1</v>
      </c>
      <c r="F480" s="13">
        <v>-0.65562521114908856</v>
      </c>
      <c r="G480" s="13">
        <v>0.2087098577526284</v>
      </c>
      <c r="H480" s="13">
        <v>2.2619731359836741E-4</v>
      </c>
      <c r="I480" s="13">
        <v>1.102189420430087E-3</v>
      </c>
      <c r="J480" s="13">
        <v>-0.1343365443642546</v>
      </c>
      <c r="K480" s="13">
        <v>7.2215116279069766</v>
      </c>
      <c r="L480" s="13">
        <v>-0.82338794947309002</v>
      </c>
      <c r="M480" s="13">
        <v>-0.6272777073484157</v>
      </c>
      <c r="N480" s="19">
        <f>(F480-Settings!$D$18)/Settings!$E$18</f>
        <v>-3.0347518279792105</v>
      </c>
      <c r="O480" s="19">
        <f>(G480-Settings!$D$19)/Settings!$E$19</f>
        <v>0.89718285558346844</v>
      </c>
      <c r="P480" s="19">
        <f>(H480-Settings!$D$20)/Settings!$E$20</f>
        <v>-0.47929321961641608</v>
      </c>
      <c r="Q480" s="19">
        <f>(I480-Settings!$D$21)/Settings!$E$21</f>
        <v>4.9763086688665754E-2</v>
      </c>
      <c r="R480" s="19">
        <f>(J480-Settings!$D$22)/Settings!$E$22</f>
        <v>-1.0283211041473441</v>
      </c>
      <c r="S480" s="19">
        <f>(K480-Settings!$D$23)/Settings!$E$23</f>
        <v>-2.7899192170192442</v>
      </c>
      <c r="T480" s="19">
        <f>(L480-Settings!$D$24)/Settings!$E$24</f>
        <v>-1.4737302993033987</v>
      </c>
      <c r="U480" s="19">
        <f>(M480-Settings!$D$25)/Settings!$E$25</f>
        <v>-0.38707281412808364</v>
      </c>
      <c r="V480" s="31">
        <f>Settings!$B$18*(N480-F$6)^2</f>
        <v>1.8991181585810333</v>
      </c>
      <c r="W480" s="31">
        <f>Settings!$B$19*(O480-G$6)^2</f>
        <v>3.0911670515308423E-2</v>
      </c>
      <c r="X480" s="31">
        <f>Settings!$B$20*(P480-H$6)^2</f>
        <v>1.502426801046151</v>
      </c>
      <c r="Y480" s="31">
        <f>Settings!$B$21*(Q480-I$6)^2</f>
        <v>0.16543677871146317</v>
      </c>
      <c r="Z480" s="31">
        <f>Settings!$B$22*(R480-J$6)^2</f>
        <v>0.27904093171407296</v>
      </c>
      <c r="AA480" s="31">
        <f>Settings!$B$23*(S480-K$6)^2</f>
        <v>20.410161262961509</v>
      </c>
      <c r="AB480" s="31">
        <f>Settings!$B$24*(T480-L$6)^2</f>
        <v>8.9996768442091692</v>
      </c>
      <c r="AC480" s="31">
        <f>Settings!$B$25*(U480-M$6)^2</f>
        <v>4.2081565540264085E-2</v>
      </c>
      <c r="AD480" s="19">
        <f t="shared" si="28"/>
        <v>5.7731147583673552</v>
      </c>
      <c r="AE480" s="15">
        <f t="shared" si="29"/>
        <v>2.2851034855771948</v>
      </c>
      <c r="AF480" s="33">
        <f t="shared" si="30"/>
        <v>7.3472141641410124E-2</v>
      </c>
      <c r="AG480" s="47">
        <f t="shared" si="31"/>
        <v>3.1720861523228957E-4</v>
      </c>
      <c r="AH480" s="48"/>
      <c r="AI480" s="48"/>
      <c r="AJ480" s="48"/>
      <c r="AK480" s="48"/>
      <c r="AL480" s="48"/>
      <c r="AM480" s="48"/>
      <c r="AN480" s="48"/>
      <c r="AO480" s="48"/>
      <c r="AP480" s="48"/>
      <c r="AQ480" s="48"/>
    </row>
    <row r="481" spans="1:43" ht="20" customHeight="1" x14ac:dyDescent="0.45">
      <c r="A481" s="26">
        <v>471</v>
      </c>
      <c r="B481" s="16" t="s">
        <v>697</v>
      </c>
      <c r="C481" s="16" t="s">
        <v>232</v>
      </c>
      <c r="D481" s="46">
        <v>26</v>
      </c>
      <c r="E481" s="46">
        <v>0</v>
      </c>
      <c r="F481" s="13">
        <v>-0.32459797068777452</v>
      </c>
      <c r="G481" s="13">
        <v>7.5448890270853192E-2</v>
      </c>
      <c r="H481" s="13">
        <v>1.764185508264679E-3</v>
      </c>
      <c r="I481" s="13">
        <v>-9.1729953178082594E-5</v>
      </c>
      <c r="J481" s="13">
        <v>-0.59809722357992956</v>
      </c>
      <c r="K481" s="13">
        <v>6.0583333333333327</v>
      </c>
      <c r="L481" s="13">
        <v>-1.0336212073046971</v>
      </c>
      <c r="M481" s="13">
        <v>-0.29991112614172488</v>
      </c>
      <c r="N481" s="19">
        <f>(F481-Settings!$D$18)/Settings!$E$18</f>
        <v>-1.8500259700594555</v>
      </c>
      <c r="O481" s="19">
        <f>(G481-Settings!$D$19)/Settings!$E$19</f>
        <v>0.34200068010581314</v>
      </c>
      <c r="P481" s="19">
        <f>(H481-Settings!$D$20)/Settings!$E$20</f>
        <v>-0.46535875082042366</v>
      </c>
      <c r="Q481" s="19">
        <f>(I481-Settings!$D$21)/Settings!$E$21</f>
        <v>3.5081092967321884E-2</v>
      </c>
      <c r="R481" s="19">
        <f>(J481-Settings!$D$22)/Settings!$E$22</f>
        <v>-2.2760910457011363</v>
      </c>
      <c r="S481" s="19">
        <f>(K481-Settings!$D$23)/Settings!$E$23</f>
        <v>-3.1938642841932974</v>
      </c>
      <c r="T481" s="19">
        <f>(L481-Settings!$D$24)/Settings!$E$24</f>
        <v>-1.6190760498615528</v>
      </c>
      <c r="U481" s="19">
        <f>(M481-Settings!$D$25)/Settings!$E$25</f>
        <v>-0.16629314571610065</v>
      </c>
      <c r="V481" s="31">
        <f>Settings!$B$18*(N481-F$6)^2</f>
        <v>0.71954409447948509</v>
      </c>
      <c r="W481" s="31">
        <f>Settings!$B$19*(O481-G$6)^2</f>
        <v>5.2515916103040138E-3</v>
      </c>
      <c r="X481" s="31">
        <f>Settings!$B$20*(P481-H$6)^2</f>
        <v>1.4871888462234093</v>
      </c>
      <c r="Y481" s="31">
        <f>Settings!$B$21*(Q481-I$6)^2</f>
        <v>0.1601386021059247</v>
      </c>
      <c r="Z481" s="31">
        <f>Settings!$B$22*(R481-J$6)^2</f>
        <v>1.179967158379015</v>
      </c>
      <c r="AA481" s="31">
        <f>Settings!$B$23*(S481-K$6)^2</f>
        <v>24.22318713625771</v>
      </c>
      <c r="AB481" s="31">
        <f>Settings!$B$24*(T481-L$6)^2</f>
        <v>9.8928610781825412</v>
      </c>
      <c r="AC481" s="31">
        <f>Settings!$B$25*(U481-M$6)^2</f>
        <v>2.4466434536046691E-4</v>
      </c>
      <c r="AD481" s="19">
        <f t="shared" si="28"/>
        <v>6.1374573865391318</v>
      </c>
      <c r="AE481" s="15">
        <f t="shared" si="29"/>
        <v>2.4293169031907973</v>
      </c>
      <c r="AF481" s="33">
        <f t="shared" si="30"/>
        <v>5.2298357797780769E-2</v>
      </c>
      <c r="AG481" s="47">
        <f t="shared" si="31"/>
        <v>2.2579292348552879E-4</v>
      </c>
      <c r="AH481" s="48"/>
      <c r="AI481" s="48"/>
      <c r="AJ481" s="48"/>
      <c r="AK481" s="48"/>
      <c r="AL481" s="48"/>
      <c r="AM481" s="48"/>
      <c r="AN481" s="48"/>
      <c r="AO481" s="48"/>
      <c r="AP481" s="48"/>
      <c r="AQ481" s="48"/>
    </row>
  </sheetData>
  <mergeCells count="1">
    <mergeCell ref="A2:T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0"/>
  <sheetViews>
    <sheetView tabSelected="1" topLeftCell="A26" workbookViewId="0">
      <selection activeCell="F38" sqref="F38"/>
    </sheetView>
  </sheetViews>
  <sheetFormatPr defaultRowHeight="14.25" x14ac:dyDescent="0.45"/>
  <cols>
    <col min="1" max="1" width="68.59765625" customWidth="1"/>
    <col min="2" max="2" width="10.46484375" customWidth="1"/>
    <col min="3" max="3" width="16.19921875" customWidth="1"/>
    <col min="4" max="4" width="12.46484375" customWidth="1"/>
    <col min="5" max="5" width="16.73046875" customWidth="1"/>
    <col min="6" max="7" width="12.796875" customWidth="1"/>
    <col min="8" max="8" width="13.1328125" customWidth="1"/>
    <col min="9" max="9" width="22.9296875" customWidth="1"/>
    <col min="10" max="10" width="14" customWidth="1"/>
  </cols>
  <sheetData>
    <row r="1" spans="1:6" ht="22.05" customHeight="1" x14ac:dyDescent="0.45">
      <c r="A1" s="1" t="s">
        <v>698</v>
      </c>
    </row>
    <row r="3" spans="1:6" ht="22.05" customHeight="1" x14ac:dyDescent="0.45">
      <c r="A3" s="1" t="s">
        <v>699</v>
      </c>
    </row>
    <row r="4" spans="1:6" ht="53" customHeight="1" x14ac:dyDescent="0.45">
      <c r="A4" s="3" t="s">
        <v>700</v>
      </c>
      <c r="B4" s="4"/>
      <c r="C4" s="4"/>
      <c r="D4" s="4"/>
      <c r="E4" s="4"/>
      <c r="F4" s="4"/>
    </row>
    <row r="7" spans="1:6" ht="20.25" customHeight="1" x14ac:dyDescent="0.45">
      <c r="A7" s="7" t="s">
        <v>701</v>
      </c>
      <c r="B7" s="30">
        <f>'OReilly 2 Profile'!$D$16</f>
        <v>3.515840737677622</v>
      </c>
    </row>
    <row r="8" spans="1:6" ht="20.25" customHeight="1" x14ac:dyDescent="0.45">
      <c r="A8" s="7" t="s">
        <v>702</v>
      </c>
      <c r="B8" s="31">
        <f>SUMPRODUCT('OReilly 3 Comparables'!$AF$11:$AF$481,'OReilly 3 Comparables'!$L$11:$L$481)/SUM('OReilly 3 Comparables'!$AF$11:$AF$481)</f>
        <v>1.9625593538208608</v>
      </c>
    </row>
    <row r="9" spans="1:6" ht="20.25" customHeight="1" x14ac:dyDescent="0.45">
      <c r="A9" s="7" t="s">
        <v>169</v>
      </c>
      <c r="B9" s="19">
        <f>SUM('OReilly 3 Comparables'!$AF$11:$AF$481)</f>
        <v>231.62088957642911</v>
      </c>
    </row>
    <row r="10" spans="1:6" ht="20.25" customHeight="1" x14ac:dyDescent="0.45">
      <c r="A10" s="7" t="s">
        <v>703</v>
      </c>
      <c r="B10" s="13">
        <v>1.360298204260818</v>
      </c>
    </row>
    <row r="11" spans="1:6" ht="20.25" customHeight="1" x14ac:dyDescent="0.45">
      <c r="A11" s="7" t="s">
        <v>704</v>
      </c>
      <c r="B11" s="32">
        <f>K_league</f>
        <v>10</v>
      </c>
    </row>
    <row r="12" spans="1:6" ht="20.25" customHeight="1" x14ac:dyDescent="0.45">
      <c r="A12" s="7" t="s">
        <v>705</v>
      </c>
      <c r="B12" s="33">
        <f>(SUMPRODUCT('OReilly 3 Comparables'!$AF$11:$AF$481,'OReilly 3 Comparables'!$L$11:$L$481)+B11*B10)/(B9+B11)</f>
        <v>1.9376334812849294</v>
      </c>
    </row>
    <row r="13" spans="1:6" ht="20.25" customHeight="1" x14ac:dyDescent="0.45">
      <c r="A13" s="7" t="s">
        <v>706</v>
      </c>
      <c r="B13" s="34">
        <f>B9/(B9+B11)</f>
        <v>0.95861285000013707</v>
      </c>
    </row>
    <row r="14" spans="1:6" ht="20.25" customHeight="1" x14ac:dyDescent="0.45">
      <c r="A14" s="7" t="s">
        <v>707</v>
      </c>
      <c r="B14" s="28">
        <f>Lambda</f>
        <v>0.55000000000000004</v>
      </c>
    </row>
    <row r="15" spans="1:6" ht="20.25" customHeight="1" x14ac:dyDescent="0.45">
      <c r="A15" s="7" t="s">
        <v>708</v>
      </c>
      <c r="B15" s="33">
        <f>B14*B7+(1-B14)*B12</f>
        <v>2.8056474723009104</v>
      </c>
    </row>
    <row r="18" spans="1:9" ht="22.05" customHeight="1" x14ac:dyDescent="0.45">
      <c r="A18" s="1" t="s">
        <v>709</v>
      </c>
    </row>
    <row r="19" spans="1:9" ht="38" customHeight="1" x14ac:dyDescent="0.45">
      <c r="A19" s="3" t="s">
        <v>710</v>
      </c>
      <c r="B19" s="4"/>
      <c r="C19" s="4"/>
      <c r="D19" s="4"/>
      <c r="E19" s="4"/>
      <c r="F19" s="4"/>
      <c r="G19" s="4"/>
      <c r="H19" s="4"/>
      <c r="I19" s="4"/>
    </row>
    <row r="21" spans="1:9" ht="51.75" customHeight="1" x14ac:dyDescent="0.45">
      <c r="A21" s="6" t="s">
        <v>711</v>
      </c>
      <c r="B21" s="6" t="s">
        <v>712</v>
      </c>
      <c r="C21" s="6" t="s">
        <v>713</v>
      </c>
      <c r="D21" s="6" t="s">
        <v>714</v>
      </c>
      <c r="E21" s="6" t="s">
        <v>715</v>
      </c>
      <c r="F21" s="6" t="s">
        <v>716</v>
      </c>
      <c r="G21" s="6" t="s">
        <v>717</v>
      </c>
      <c r="H21" s="6" t="s">
        <v>718</v>
      </c>
      <c r="I21" s="6" t="s">
        <v>719</v>
      </c>
    </row>
    <row r="22" spans="1:9" ht="20.25" customHeight="1" x14ac:dyDescent="0.45">
      <c r="A22" s="7" t="s">
        <v>720</v>
      </c>
      <c r="H22" s="31">
        <f>B15</f>
        <v>2.8056474723009104</v>
      </c>
    </row>
    <row r="23" spans="1:9" ht="20.25" customHeight="1" x14ac:dyDescent="0.45">
      <c r="A23" s="26">
        <v>26</v>
      </c>
      <c r="B23" s="26">
        <v>27</v>
      </c>
      <c r="C23" s="26">
        <f>SUMPRODUCT(ISNUMBER('OReilly 3 Comparables'!$AH$11:$AH$481)*1)</f>
        <v>407</v>
      </c>
      <c r="D23" s="19">
        <f>SUMPRODUCT('OReilly 3 Comparables'!$AF$11:$AF$481,ISNUMBER('OReilly 3 Comparables'!$AH$11:$AH$481)*1)</f>
        <v>208.80572219040809</v>
      </c>
      <c r="E23" s="31">
        <f>IF(D23&gt;0,SUMPRODUCT('OReilly 3 Comparables'!$AF$11:$AF$481,'OReilly 3 Comparables'!$AH$11:$AH$481)/D23,NA())</f>
        <v>-0.13044416936218864</v>
      </c>
      <c r="F23" s="13">
        <v>-7.4807391154684794E-2</v>
      </c>
      <c r="G23" s="33">
        <f>(SUMPRODUCT('OReilly 3 Comparables'!$AF$11:$AF$481,'OReilly 3 Comparables'!$AH$11:$AH$481)+K_league*F23)/(D23+K_league)</f>
        <v>-0.12790142150118489</v>
      </c>
      <c r="H23" s="31">
        <f>H22+G23</f>
        <v>2.6777460507997253</v>
      </c>
      <c r="I23" s="34">
        <f>IF(D23&gt;0,SUMPRODUCT('OReilly 3 Comparables'!$AF$11:$AF$481,'OReilly 3 Comparables'!$AI$11:$AI$481)/D23,NA())</f>
        <v>0.60989990476892864</v>
      </c>
    </row>
    <row r="24" spans="1:9" ht="20.25" customHeight="1" x14ac:dyDescent="0.45">
      <c r="A24" s="26">
        <v>27</v>
      </c>
      <c r="B24" s="26">
        <v>28</v>
      </c>
      <c r="C24" s="26">
        <f>SUMPRODUCT(ISNUMBER('OReilly 3 Comparables'!$AJ$11:$AJ$481)*1)</f>
        <v>358</v>
      </c>
      <c r="D24" s="19">
        <f>SUMPRODUCT('OReilly 3 Comparables'!$AF$11:$AF$481,ISNUMBER('OReilly 3 Comparables'!$AJ$11:$AJ$481)*1)</f>
        <v>188.0330001602907</v>
      </c>
      <c r="E24" s="31">
        <f>IF(D24&gt;0,SUMPRODUCT('OReilly 3 Comparables'!$AF$11:$AF$481,'OReilly 3 Comparables'!$AJ$11:$AJ$481)/D24,NA())</f>
        <v>-0.15037114837434212</v>
      </c>
      <c r="F24" s="13">
        <v>-0.1042636676764975</v>
      </c>
      <c r="G24" s="33">
        <f>(SUMPRODUCT('OReilly 3 Comparables'!$AF$11:$AF$481,'OReilly 3 Comparables'!$AJ$11:$AJ$481)+K_league*F24)/(D24+K_league)</f>
        <v>-0.14804287578035402</v>
      </c>
      <c r="H24" s="31">
        <f>H23+G24</f>
        <v>2.529703175019371</v>
      </c>
      <c r="I24" s="34">
        <f>IF(D24&gt;0,SUMPRODUCT('OReilly 3 Comparables'!$AF$11:$AF$481,'OReilly 3 Comparables'!$AK$11:$AK$481)/D24,NA())</f>
        <v>0.63116917172957665</v>
      </c>
    </row>
    <row r="25" spans="1:9" ht="20.25" customHeight="1" x14ac:dyDescent="0.45">
      <c r="A25" s="26">
        <v>28</v>
      </c>
      <c r="B25" s="26">
        <v>29</v>
      </c>
      <c r="C25" s="26">
        <f>SUMPRODUCT(ISNUMBER('OReilly 3 Comparables'!$AL$11:$AL$481)*1)</f>
        <v>304</v>
      </c>
      <c r="D25" s="19">
        <f>SUMPRODUCT('OReilly 3 Comparables'!$AF$11:$AF$481,ISNUMBER('OReilly 3 Comparables'!$AL$11:$AL$481)*1)</f>
        <v>165.66350592673436</v>
      </c>
      <c r="E25" s="31">
        <f>IF(D25&gt;0,SUMPRODUCT('OReilly 3 Comparables'!$AF$11:$AF$481,'OReilly 3 Comparables'!$AL$11:$AL$481)/D25,NA())</f>
        <v>-0.17211690137964758</v>
      </c>
      <c r="F25" s="13">
        <v>-0.15825444973598871</v>
      </c>
      <c r="G25" s="33">
        <f>(SUMPRODUCT('OReilly 3 Comparables'!$AF$11:$AF$481,'OReilly 3 Comparables'!$AL$11:$AL$481)+K_league*F25)/(D25+K_league)</f>
        <v>-0.17132775331098496</v>
      </c>
      <c r="H25" s="31">
        <f>H24+G25</f>
        <v>2.3583754217083861</v>
      </c>
      <c r="I25" s="34">
        <f>IF(D25&gt;0,SUMPRODUCT('OReilly 3 Comparables'!$AF$11:$AF$481,'OReilly 3 Comparables'!$AM$11:$AM$481)/D25,NA())</f>
        <v>0.68301538002536233</v>
      </c>
    </row>
    <row r="26" spans="1:9" ht="20.25" customHeight="1" x14ac:dyDescent="0.45">
      <c r="A26" s="26">
        <v>29</v>
      </c>
      <c r="B26" s="26">
        <v>30</v>
      </c>
      <c r="C26" s="26">
        <f>SUMPRODUCT(ISNUMBER('OReilly 3 Comparables'!$AN$11:$AN$481)*1)</f>
        <v>252</v>
      </c>
      <c r="D26" s="19">
        <f>SUMPRODUCT('OReilly 3 Comparables'!$AF$11:$AF$481,ISNUMBER('OReilly 3 Comparables'!$AN$11:$AN$481)*1)</f>
        <v>137.98178149439522</v>
      </c>
      <c r="E26" s="31">
        <f>IF(D26&gt;0,SUMPRODUCT('OReilly 3 Comparables'!$AF$11:$AF$481,'OReilly 3 Comparables'!$AN$11:$AN$481)/D26,NA())</f>
        <v>-0.1590590452423572</v>
      </c>
      <c r="F26" s="13">
        <v>-0.1638542294447522</v>
      </c>
      <c r="G26" s="33">
        <f>(SUMPRODUCT('OReilly 3 Comparables'!$AF$11:$AF$481,'OReilly 3 Comparables'!$AN$11:$AN$481)+K_league*F26)/(D26+K_league)</f>
        <v>-0.15938308406348578</v>
      </c>
      <c r="H26" s="31">
        <f>H25+G26</f>
        <v>2.1989923376449001</v>
      </c>
      <c r="I26" s="34">
        <f>IF(D26&gt;0,SUMPRODUCT('OReilly 3 Comparables'!$AF$11:$AF$481,'OReilly 3 Comparables'!$AO$11:$AO$481)/D26,NA())</f>
        <v>0.70745371545697533</v>
      </c>
    </row>
    <row r="27" spans="1:9" ht="20.25" customHeight="1" x14ac:dyDescent="0.45">
      <c r="A27" s="26">
        <v>30</v>
      </c>
      <c r="B27" s="26">
        <v>31</v>
      </c>
      <c r="C27" s="26">
        <f>SUMPRODUCT(ISNUMBER('OReilly 3 Comparables'!$AP$11:$AP$481)*1)</f>
        <v>214</v>
      </c>
      <c r="D27" s="19">
        <f>SUMPRODUCT('OReilly 3 Comparables'!$AF$11:$AF$481,ISNUMBER('OReilly 3 Comparables'!$AP$11:$AP$481)*1)</f>
        <v>119.93932781854937</v>
      </c>
      <c r="E27" s="31">
        <f>IF(D27&gt;0,SUMPRODUCT('OReilly 3 Comparables'!$AF$11:$AF$481,'OReilly 3 Comparables'!$AP$11:$AP$481)/D27,NA())</f>
        <v>-0.13648542104447722</v>
      </c>
      <c r="F27" s="13">
        <v>-0.12637187557842569</v>
      </c>
      <c r="G27" s="33">
        <f>(SUMPRODUCT('OReilly 3 Comparables'!$AF$11:$AF$481,'OReilly 3 Comparables'!$AP$11:$AP$481)+K_league*F27)/(D27+K_league)</f>
        <v>-0.13570709275574125</v>
      </c>
      <c r="H27" s="31">
        <f>H26+G27</f>
        <v>2.0632852448891588</v>
      </c>
      <c r="I27" s="34">
        <f>IF(D27&gt;0,SUMPRODUCT('OReilly 3 Comparables'!$AF$11:$AF$481,'OReilly 3 Comparables'!$AQ$11:$AQ$481)/D27,NA())</f>
        <v>0.76653021221967343</v>
      </c>
    </row>
    <row r="30" spans="1:9" ht="22.05" customHeight="1" x14ac:dyDescent="0.45">
      <c r="A30" s="1" t="s">
        <v>721</v>
      </c>
    </row>
    <row r="31" spans="1:9" ht="53" customHeight="1" x14ac:dyDescent="0.45">
      <c r="A31" s="3" t="s">
        <v>722</v>
      </c>
      <c r="B31" s="4"/>
      <c r="C31" s="4"/>
      <c r="D31" s="4"/>
      <c r="E31" s="4"/>
      <c r="F31" s="4"/>
      <c r="G31" s="4"/>
      <c r="H31" s="4"/>
      <c r="I31" s="4"/>
    </row>
    <row r="33" spans="1:9" ht="51.75" customHeight="1" x14ac:dyDescent="0.45">
      <c r="A33" s="5" t="s">
        <v>723</v>
      </c>
      <c r="B33" s="6" t="s">
        <v>100</v>
      </c>
      <c r="C33" s="6" t="s">
        <v>718</v>
      </c>
      <c r="D33" s="6" t="s">
        <v>724</v>
      </c>
      <c r="E33" s="6" t="s">
        <v>725</v>
      </c>
      <c r="F33" s="6" t="s">
        <v>145</v>
      </c>
      <c r="G33" s="6" t="s">
        <v>726</v>
      </c>
      <c r="H33" s="6" t="s">
        <v>727</v>
      </c>
      <c r="I33" s="6" t="s">
        <v>728</v>
      </c>
    </row>
    <row r="34" spans="1:9" ht="20.25" customHeight="1" x14ac:dyDescent="0.45">
      <c r="A34" s="7" t="s">
        <v>127</v>
      </c>
      <c r="B34" s="26">
        <v>27</v>
      </c>
      <c r="C34" s="31">
        <f>IFERROR(INDEX($H$22:$H$27,MATCH(B34,$B$22:$B$27,0)),$H$27)</f>
        <v>2.6777460507997253</v>
      </c>
      <c r="D34" s="31">
        <f>C34/$C$34</f>
        <v>1</v>
      </c>
      <c r="E34" s="31">
        <f>IF($C$34&lt;=BaseFloor,1,MIN(MAX(D34,RatioFloor),RatioCap))</f>
        <v>1</v>
      </c>
      <c r="F34" s="35">
        <f>'OReilly 1 Seasons'!$D$30</f>
        <v>3.2796017109940743</v>
      </c>
      <c r="G34" s="36">
        <f>IF(F34&gt;=0,F34*E34,F34)</f>
        <v>3.2796017109940743</v>
      </c>
      <c r="H34" s="37">
        <f>'OReilly 1 Seasons'!$D$14</f>
        <v>82</v>
      </c>
      <c r="I34" s="38">
        <f>'OReilly 1 Seasons'!$N$14</f>
        <v>3.9444979880939601</v>
      </c>
    </row>
    <row r="35" spans="1:9" ht="20.25" customHeight="1" x14ac:dyDescent="0.45">
      <c r="A35" s="7" t="s">
        <v>130</v>
      </c>
      <c r="B35" s="26">
        <v>28</v>
      </c>
      <c r="C35" s="31">
        <f>IFERROR(INDEX($H$22:$H$27,MATCH(B35,$B$22:$B$27,0)),$H$27)</f>
        <v>2.529703175019371</v>
      </c>
      <c r="D35" s="31">
        <f>C35/$C$34</f>
        <v>0.94471362370746836</v>
      </c>
      <c r="E35" s="31">
        <f>IF($C$34&lt;=BaseFloor,1,MIN(MAX(D35,RatioFloor),RatioCap))</f>
        <v>0.94471362370746836</v>
      </c>
      <c r="F35" s="35">
        <f>'OReilly 1 Seasons'!$D$30</f>
        <v>3.2796017109940743</v>
      </c>
      <c r="G35" s="36">
        <f>IF(F35&gt;=0,F35*E35,0)</f>
        <v>3.0982844167104253</v>
      </c>
      <c r="H35" s="37">
        <f>'OReilly 1 Seasons'!$D$15</f>
        <v>71</v>
      </c>
      <c r="I35" s="38">
        <f>'OReilly 1 Seasons'!$N$15</f>
        <v>2.168591538769455</v>
      </c>
    </row>
    <row r="36" spans="1:9" ht="20.25" customHeight="1" x14ac:dyDescent="0.45">
      <c r="A36" s="7" t="s">
        <v>131</v>
      </c>
      <c r="B36" s="26">
        <v>29</v>
      </c>
      <c r="C36" s="31">
        <f>IFERROR(INDEX($H$22:$H$27,MATCH(B36,$B$22:$B$27,0)),$H$27)</f>
        <v>2.3583754217083861</v>
      </c>
      <c r="D36" s="31">
        <f>C36/$C$34</f>
        <v>0.88073154696803413</v>
      </c>
      <c r="E36" s="31">
        <f>IF($C$34&lt;=BaseFloor,1,MIN(MAX(D36,RatioFloor),RatioCap))</f>
        <v>0.88073154696803413</v>
      </c>
      <c r="F36" s="35">
        <f>'OReilly 1 Seasons'!$D$30</f>
        <v>3.2796017109940743</v>
      </c>
      <c r="G36" s="36">
        <f>IF(F36&gt;=0,F36*E36,0)</f>
        <v>2.8884486883628226</v>
      </c>
      <c r="H36" s="37">
        <f>'OReilly 1 Seasons'!$D$16</f>
        <v>56</v>
      </c>
      <c r="I36" s="38">
        <f>'OReilly 1 Seasons'!$N$16</f>
        <v>3.6461638917687331</v>
      </c>
    </row>
    <row r="37" spans="1:9" ht="20.25" customHeight="1" x14ac:dyDescent="0.45">
      <c r="A37" s="7" t="s">
        <v>132</v>
      </c>
      <c r="B37" s="26">
        <v>30</v>
      </c>
      <c r="C37" s="31">
        <f>IFERROR(INDEX($H$22:$H$27,MATCH(B37,$B$22:$B$27,0)),$H$27)</f>
        <v>2.1989923376449001</v>
      </c>
      <c r="D37" s="31">
        <f>C37/$C$34</f>
        <v>0.82121018794450562</v>
      </c>
      <c r="E37" s="31">
        <f>IF($C$34&lt;=BaseFloor,1,MIN(MAX(D37,RatioFloor),RatioCap))</f>
        <v>0.82121018794450562</v>
      </c>
      <c r="F37" s="35">
        <f>'OReilly 1 Seasons'!$D$30</f>
        <v>3.2796017109940743</v>
      </c>
      <c r="G37" s="36">
        <f>IF(F37&gt;=0,F37*E37,0)</f>
        <v>2.6932423374685661</v>
      </c>
      <c r="H37" s="37">
        <f>'OReilly 1 Seasons'!$D$17</f>
        <v>78</v>
      </c>
      <c r="I37" s="38">
        <f>'OReilly 1 Seasons'!$N$17</f>
        <v>2.2179610956206099</v>
      </c>
    </row>
    <row r="38" spans="1:9" ht="20.25" customHeight="1" x14ac:dyDescent="0.45">
      <c r="A38" s="7" t="s">
        <v>133</v>
      </c>
      <c r="B38" s="26">
        <v>31</v>
      </c>
      <c r="C38" s="31">
        <f>IFERROR(INDEX($H$22:$H$27,MATCH(B38,$B$22:$B$27,0)),$H$27)</f>
        <v>2.0632852448891588</v>
      </c>
      <c r="D38" s="31">
        <f>C38/$C$34</f>
        <v>0.77053059018533365</v>
      </c>
      <c r="E38" s="31">
        <f>IF($C$34&lt;=BaseFloor,1,MIN(MAX(D38,RatioFloor),RatioCap))</f>
        <v>0.77053059018533365</v>
      </c>
      <c r="F38" s="35">
        <f>'OReilly 1 Seasons'!$D$30</f>
        <v>3.2796017109940743</v>
      </c>
      <c r="G38" s="36">
        <f>IF(F38&gt;=0,F38*E38,0)</f>
        <v>2.5270334419450942</v>
      </c>
      <c r="H38" s="37">
        <f>'OReilly 1 Seasons'!$D$18</f>
        <v>53</v>
      </c>
      <c r="I38" s="38">
        <f>'OReilly 1 Seasons'!$N$18</f>
        <v>1.6973288959441299</v>
      </c>
    </row>
    <row r="40" spans="1:9" ht="38" customHeight="1" x14ac:dyDescent="0.45">
      <c r="A40" s="3" t="s">
        <v>729</v>
      </c>
      <c r="B40" s="4"/>
      <c r="C40" s="4"/>
      <c r="D40" s="4"/>
      <c r="E40" s="4"/>
      <c r="F40" s="4"/>
      <c r="G40" s="4"/>
      <c r="H40" s="4"/>
      <c r="I40" s="4"/>
    </row>
  </sheetData>
  <mergeCells count="4">
    <mergeCell ref="A40:I40"/>
    <mergeCell ref="A31:I31"/>
    <mergeCell ref="A19:I19"/>
    <mergeCell ref="A4:F4"/>
  </mergeCell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0"/>
  <sheetViews>
    <sheetView workbookViewId="0">
      <pane xSplit="1" ySplit="4" topLeftCell="B5" activePane="bottomRight" state="frozen"/>
      <selection pane="topRight"/>
      <selection pane="bottomLeft"/>
      <selection pane="bottomRight"/>
    </sheetView>
  </sheetViews>
  <sheetFormatPr defaultRowHeight="14.25" x14ac:dyDescent="0.45"/>
  <cols>
    <col min="1" max="1" width="16.53125" customWidth="1"/>
    <col min="2" max="2" width="12.06640625" customWidth="1"/>
    <col min="3" max="3" width="10.33203125" customWidth="1"/>
    <col min="4" max="4" width="12.06640625" customWidth="1"/>
    <col min="5" max="5" width="11.73046875" customWidth="1"/>
    <col min="6" max="7" width="17.265625" customWidth="1"/>
    <col min="8" max="8" width="14.59765625" customWidth="1"/>
    <col min="9" max="9" width="14.3984375" customWidth="1"/>
    <col min="10" max="10" width="12.59765625" customWidth="1"/>
    <col min="11" max="11" width="12.06640625" customWidth="1"/>
    <col min="12" max="12" width="8.53125" customWidth="1"/>
    <col min="13" max="13" width="17.3984375" customWidth="1"/>
    <col min="14" max="14" width="17.265625" customWidth="1"/>
    <col min="15" max="15" width="10.86328125" customWidth="1"/>
    <col min="16" max="16" width="54.9296875" customWidth="1"/>
  </cols>
  <sheetData>
    <row r="1" spans="1:16" ht="22.05" customHeight="1" x14ac:dyDescent="0.45">
      <c r="A1" s="1" t="s">
        <v>730</v>
      </c>
    </row>
    <row r="2" spans="1:16" ht="38" customHeight="1" x14ac:dyDescent="0.45">
      <c r="A2" s="3" t="s">
        <v>731</v>
      </c>
      <c r="B2" s="4"/>
      <c r="C2" s="4"/>
      <c r="D2" s="4"/>
      <c r="E2" s="4"/>
      <c r="F2" s="4"/>
      <c r="G2" s="4"/>
      <c r="H2" s="4"/>
      <c r="I2" s="4"/>
      <c r="J2" s="4"/>
      <c r="K2" s="4"/>
      <c r="L2" s="4"/>
      <c r="M2" s="4"/>
      <c r="N2" s="4"/>
      <c r="O2" s="4"/>
      <c r="P2" s="4"/>
    </row>
    <row r="4" spans="1:16" ht="51.75" customHeight="1" x14ac:dyDescent="0.45">
      <c r="A4" s="5" t="s">
        <v>98</v>
      </c>
      <c r="B4" s="5" t="s">
        <v>99</v>
      </c>
      <c r="C4" s="6" t="s">
        <v>100</v>
      </c>
      <c r="D4" s="6" t="s">
        <v>101</v>
      </c>
      <c r="E4" s="6" t="s">
        <v>102</v>
      </c>
      <c r="F4" s="6" t="s">
        <v>103</v>
      </c>
      <c r="G4" s="6" t="s">
        <v>104</v>
      </c>
      <c r="H4" s="6" t="s">
        <v>105</v>
      </c>
      <c r="I4" s="6" t="s">
        <v>106</v>
      </c>
      <c r="J4" s="6" t="s">
        <v>107</v>
      </c>
      <c r="K4" s="6" t="s">
        <v>108</v>
      </c>
      <c r="L4" s="6" t="s">
        <v>109</v>
      </c>
      <c r="M4" s="6" t="s">
        <v>110</v>
      </c>
      <c r="N4" s="6" t="s">
        <v>111</v>
      </c>
      <c r="O4" s="6" t="s">
        <v>112</v>
      </c>
      <c r="P4" s="5" t="s">
        <v>113</v>
      </c>
    </row>
    <row r="5" spans="1:16" ht="20.25" customHeight="1" x14ac:dyDescent="0.45">
      <c r="A5" s="16" t="s">
        <v>114</v>
      </c>
      <c r="B5" s="16" t="s">
        <v>732</v>
      </c>
      <c r="C5" s="17">
        <v>19</v>
      </c>
      <c r="D5" s="17">
        <v>1</v>
      </c>
      <c r="E5" s="18">
        <v>10.533333333333299</v>
      </c>
      <c r="F5" s="18">
        <v>1.6091201813718001E-3</v>
      </c>
      <c r="G5" s="18">
        <v>3.1086864260700001E-5</v>
      </c>
      <c r="H5" s="18">
        <v>4.660030201799E-4</v>
      </c>
      <c r="I5" s="18">
        <v>0</v>
      </c>
      <c r="J5" s="18">
        <v>3.8045103130269998E-4</v>
      </c>
      <c r="K5" s="18">
        <v>0</v>
      </c>
      <c r="L5" s="18">
        <v>2.4866610971153E-3</v>
      </c>
      <c r="M5" s="13">
        <v>1</v>
      </c>
      <c r="N5" s="19">
        <f t="shared" ref="N5:N21" si="0">L5*M5</f>
        <v>2.4866610971153E-3</v>
      </c>
      <c r="O5" s="19">
        <f t="shared" ref="O5:O21" si="1">L5/D5*82</f>
        <v>0.2039062099634546</v>
      </c>
      <c r="P5" s="2"/>
    </row>
    <row r="6" spans="1:16" ht="20.25" customHeight="1" x14ac:dyDescent="0.45">
      <c r="A6" s="16" t="s">
        <v>116</v>
      </c>
      <c r="B6" s="16" t="s">
        <v>732</v>
      </c>
      <c r="C6" s="17">
        <v>20</v>
      </c>
      <c r="D6" s="17">
        <v>29</v>
      </c>
      <c r="E6" s="18">
        <v>451.21666666666698</v>
      </c>
      <c r="F6" s="18">
        <v>9.5783025428200205E-2</v>
      </c>
      <c r="G6" s="18">
        <v>-3.9622351360375598E-2</v>
      </c>
      <c r="H6" s="18">
        <v>6.7227524315079001E-2</v>
      </c>
      <c r="I6" s="18">
        <v>-5.8139050196100003E-5</v>
      </c>
      <c r="J6" s="18">
        <v>0.44290628771645002</v>
      </c>
      <c r="K6" s="18">
        <v>-0.37965879580594902</v>
      </c>
      <c r="L6" s="18">
        <v>0.18657755124320899</v>
      </c>
      <c r="M6" s="13">
        <v>1</v>
      </c>
      <c r="N6" s="19">
        <f t="shared" si="0"/>
        <v>0.18657755124320899</v>
      </c>
      <c r="O6" s="19">
        <f t="shared" si="1"/>
        <v>0.52756411041183227</v>
      </c>
      <c r="P6" s="2"/>
    </row>
    <row r="7" spans="1:16" ht="20.25" customHeight="1" x14ac:dyDescent="0.45">
      <c r="A7" s="16" t="s">
        <v>117</v>
      </c>
      <c r="B7" s="16" t="s">
        <v>732</v>
      </c>
      <c r="C7" s="17">
        <v>21</v>
      </c>
      <c r="D7" s="17">
        <v>21</v>
      </c>
      <c r="E7" s="18">
        <v>295.2</v>
      </c>
      <c r="F7" s="18">
        <v>8.9199979882481906E-2</v>
      </c>
      <c r="G7" s="18">
        <v>-2.2899006954736501E-2</v>
      </c>
      <c r="H7" s="18">
        <v>6.0923167740260797E-2</v>
      </c>
      <c r="I7" s="18">
        <v>-1.7484788010200001E-5</v>
      </c>
      <c r="J7" s="18">
        <v>0.170070209139111</v>
      </c>
      <c r="K7" s="18">
        <v>0.52516136527649904</v>
      </c>
      <c r="L7" s="18">
        <v>0.82243823029560703</v>
      </c>
      <c r="M7" s="13">
        <v>1</v>
      </c>
      <c r="N7" s="19">
        <f t="shared" si="0"/>
        <v>0.82243823029560703</v>
      </c>
      <c r="O7" s="19">
        <f t="shared" si="1"/>
        <v>3.2114254706780847</v>
      </c>
      <c r="P7" s="2"/>
    </row>
    <row r="8" spans="1:16" ht="20.25" customHeight="1" x14ac:dyDescent="0.45">
      <c r="A8" s="16" t="s">
        <v>118</v>
      </c>
      <c r="B8" s="16" t="s">
        <v>732</v>
      </c>
      <c r="C8" s="17">
        <v>22</v>
      </c>
      <c r="D8" s="17">
        <v>48</v>
      </c>
      <c r="E8" s="18">
        <v>752.86666666666702</v>
      </c>
      <c r="F8" s="18">
        <v>0.54991011101141096</v>
      </c>
      <c r="G8" s="18">
        <v>3.9510301337137101E-2</v>
      </c>
      <c r="H8" s="18">
        <v>4.9004955299552996E-3</v>
      </c>
      <c r="I8" s="18">
        <v>-2.4065111079964998E-3</v>
      </c>
      <c r="J8" s="18">
        <v>1.22389085521592</v>
      </c>
      <c r="K8" s="18">
        <v>1.49364931652359</v>
      </c>
      <c r="L8" s="18">
        <v>3.3094545685100201</v>
      </c>
      <c r="M8" s="13">
        <v>1</v>
      </c>
      <c r="N8" s="19">
        <f t="shared" si="0"/>
        <v>3.3094545685100201</v>
      </c>
      <c r="O8" s="19">
        <f t="shared" si="1"/>
        <v>5.6536515545379507</v>
      </c>
      <c r="P8" s="2"/>
    </row>
    <row r="9" spans="1:16" ht="20.25" customHeight="1" x14ac:dyDescent="0.45">
      <c r="A9" s="16" t="s">
        <v>119</v>
      </c>
      <c r="B9" s="16" t="s">
        <v>732</v>
      </c>
      <c r="C9" s="17">
        <v>23</v>
      </c>
      <c r="D9" s="17">
        <v>78</v>
      </c>
      <c r="E9" s="18">
        <v>1335.8</v>
      </c>
      <c r="F9" s="18">
        <v>0.79930977654266899</v>
      </c>
      <c r="G9" s="18">
        <v>-0.54930005635783097</v>
      </c>
      <c r="H9" s="18">
        <v>-6.9565211973280694E-2</v>
      </c>
      <c r="I9" s="18">
        <v>8.7905639832272994E-3</v>
      </c>
      <c r="J9" s="18">
        <v>0.78344317242765504</v>
      </c>
      <c r="K9" s="18">
        <v>1.3008366131843201</v>
      </c>
      <c r="L9" s="18">
        <v>2.2735148578067599</v>
      </c>
      <c r="M9" s="13">
        <v>1</v>
      </c>
      <c r="N9" s="19">
        <f t="shared" si="0"/>
        <v>2.2735148578067599</v>
      </c>
      <c r="O9" s="19">
        <f t="shared" si="1"/>
        <v>2.3901053633353118</v>
      </c>
      <c r="P9" s="2"/>
    </row>
    <row r="10" spans="1:16" ht="20.25" customHeight="1" x14ac:dyDescent="0.45">
      <c r="A10" s="16" t="s">
        <v>120</v>
      </c>
      <c r="B10" s="16" t="s">
        <v>732</v>
      </c>
      <c r="C10" s="17">
        <v>24</v>
      </c>
      <c r="D10" s="17">
        <v>73</v>
      </c>
      <c r="E10" s="18">
        <v>1247.0166666666701</v>
      </c>
      <c r="F10" s="18">
        <v>1.3368481549912401</v>
      </c>
      <c r="G10" s="18">
        <v>-0.52532286449551502</v>
      </c>
      <c r="H10" s="18">
        <v>6.4811568514600598E-2</v>
      </c>
      <c r="I10" s="18">
        <v>-1.4059025047831E-3</v>
      </c>
      <c r="J10" s="18">
        <v>1.0576445809308199</v>
      </c>
      <c r="K10" s="18">
        <v>0.20122702331303799</v>
      </c>
      <c r="L10" s="18">
        <v>2.1338025607494</v>
      </c>
      <c r="M10" s="13">
        <v>1</v>
      </c>
      <c r="N10" s="19">
        <f t="shared" si="0"/>
        <v>2.1338025607494</v>
      </c>
      <c r="O10" s="19">
        <f t="shared" si="1"/>
        <v>2.3968741093349424</v>
      </c>
      <c r="P10" s="2"/>
    </row>
    <row r="11" spans="1:16" ht="20.25" customHeight="1" x14ac:dyDescent="0.45">
      <c r="A11" s="16" t="s">
        <v>121</v>
      </c>
      <c r="B11" s="16" t="s">
        <v>732</v>
      </c>
      <c r="C11" s="17">
        <v>25</v>
      </c>
      <c r="D11" s="17">
        <v>76</v>
      </c>
      <c r="E11" s="18">
        <v>1344.3333333333301</v>
      </c>
      <c r="F11" s="18">
        <v>1.1243747420864201</v>
      </c>
      <c r="G11" s="18">
        <v>-0.60464292182872503</v>
      </c>
      <c r="H11" s="18">
        <v>0.32048000523612502</v>
      </c>
      <c r="I11" s="18">
        <v>-4.1901495754110996E-3</v>
      </c>
      <c r="J11" s="18">
        <v>1.23673782486537</v>
      </c>
      <c r="K11" s="18">
        <v>-0.88185153122526705</v>
      </c>
      <c r="L11" s="18">
        <v>1.1909079695585101</v>
      </c>
      <c r="M11" s="13">
        <v>1</v>
      </c>
      <c r="N11" s="19">
        <f t="shared" si="0"/>
        <v>1.1909079695585101</v>
      </c>
      <c r="O11" s="19">
        <f t="shared" si="1"/>
        <v>1.2849270197868135</v>
      </c>
      <c r="P11" s="2"/>
    </row>
    <row r="12" spans="1:16" ht="20.25" customHeight="1" x14ac:dyDescent="0.45">
      <c r="A12" s="16" t="s">
        <v>123</v>
      </c>
      <c r="B12" s="16" t="s">
        <v>732</v>
      </c>
      <c r="C12" s="17">
        <v>26</v>
      </c>
      <c r="D12" s="17">
        <v>82</v>
      </c>
      <c r="E12" s="18">
        <v>1323.4166666666699</v>
      </c>
      <c r="F12" s="18">
        <v>1.5579218567242199</v>
      </c>
      <c r="G12" s="18">
        <v>0.36733749323764098</v>
      </c>
      <c r="H12" s="18">
        <v>0.74786764983017995</v>
      </c>
      <c r="I12" s="18">
        <v>-1.1586603223202999E-3</v>
      </c>
      <c r="J12" s="18">
        <v>-0.146992832047973</v>
      </c>
      <c r="K12" s="18">
        <v>1.70146214324569</v>
      </c>
      <c r="L12" s="18">
        <v>4.2264376506674397</v>
      </c>
      <c r="M12" s="13">
        <v>1</v>
      </c>
      <c r="N12" s="19">
        <f t="shared" si="0"/>
        <v>4.2264376506674397</v>
      </c>
      <c r="O12" s="19">
        <f t="shared" si="1"/>
        <v>4.2264376506674397</v>
      </c>
      <c r="P12" s="2"/>
    </row>
    <row r="13" spans="1:16" ht="20.25" customHeight="1" x14ac:dyDescent="0.45">
      <c r="A13" s="16" t="s">
        <v>125</v>
      </c>
      <c r="B13" s="16" t="s">
        <v>732</v>
      </c>
      <c r="C13" s="17">
        <v>27</v>
      </c>
      <c r="D13" s="17">
        <v>80</v>
      </c>
      <c r="E13" s="18">
        <v>1288.7833333333299</v>
      </c>
      <c r="F13" s="18">
        <v>0.71875161174379398</v>
      </c>
      <c r="G13" s="18">
        <v>-0.395675207521271</v>
      </c>
      <c r="H13" s="18">
        <v>0.75955661618357595</v>
      </c>
      <c r="I13" s="18">
        <v>-9.8361738380099999E-5</v>
      </c>
      <c r="J13" s="18">
        <v>0.45075570188778102</v>
      </c>
      <c r="K13" s="18">
        <v>1.8982661984998801</v>
      </c>
      <c r="L13" s="18">
        <v>3.4315565590553798</v>
      </c>
      <c r="M13" s="13">
        <v>1</v>
      </c>
      <c r="N13" s="19">
        <f t="shared" si="0"/>
        <v>3.4315565590553798</v>
      </c>
      <c r="O13" s="19">
        <f t="shared" si="1"/>
        <v>3.5173454730317641</v>
      </c>
      <c r="P13" s="7" t="s">
        <v>733</v>
      </c>
    </row>
    <row r="14" spans="1:16" ht="20.25" customHeight="1" x14ac:dyDescent="0.45">
      <c r="A14" s="16" t="s">
        <v>127</v>
      </c>
      <c r="B14" s="16" t="s">
        <v>732</v>
      </c>
      <c r="C14" s="17">
        <v>28</v>
      </c>
      <c r="D14" s="17">
        <v>73</v>
      </c>
      <c r="E14" s="18">
        <v>1142.25</v>
      </c>
      <c r="F14" s="18">
        <v>0.71915407770662798</v>
      </c>
      <c r="G14" s="18">
        <v>-0.40765567020285398</v>
      </c>
      <c r="H14" s="18">
        <v>0.65807687957818894</v>
      </c>
      <c r="I14" s="18">
        <v>-2.05710055809E-5</v>
      </c>
      <c r="J14" s="18">
        <v>0.44046864891371501</v>
      </c>
      <c r="K14" s="18">
        <v>-0.41725339558675301</v>
      </c>
      <c r="L14" s="18">
        <v>0.99276996940334405</v>
      </c>
      <c r="M14" s="13">
        <v>1</v>
      </c>
      <c r="N14" s="19">
        <f t="shared" si="0"/>
        <v>0.99276996940334405</v>
      </c>
      <c r="O14" s="19">
        <f t="shared" si="1"/>
        <v>1.1151662670010165</v>
      </c>
      <c r="P14" s="7" t="s">
        <v>734</v>
      </c>
    </row>
    <row r="15" spans="1:16" ht="20.25" customHeight="1" x14ac:dyDescent="0.45">
      <c r="A15" s="20" t="s">
        <v>130</v>
      </c>
      <c r="B15" s="20" t="s">
        <v>115</v>
      </c>
      <c r="C15" s="21">
        <v>29</v>
      </c>
      <c r="D15" s="21">
        <v>51</v>
      </c>
      <c r="E15" s="22">
        <v>862.25</v>
      </c>
      <c r="F15" s="22">
        <v>0.25554466595647501</v>
      </c>
      <c r="G15" s="22">
        <v>-0.12421107516744501</v>
      </c>
      <c r="H15" s="22">
        <v>0.42738783539533398</v>
      </c>
      <c r="I15" s="22">
        <v>8.5047574494819997E-4</v>
      </c>
      <c r="J15" s="22">
        <v>-0.189525696550985</v>
      </c>
      <c r="K15" s="22">
        <v>1.40000319649604</v>
      </c>
      <c r="L15" s="22">
        <v>1.77004940187436</v>
      </c>
      <c r="M15" s="23">
        <v>1.171428571428571</v>
      </c>
      <c r="N15" s="24">
        <f t="shared" si="0"/>
        <v>2.0734864421956782</v>
      </c>
      <c r="O15" s="24">
        <f t="shared" si="1"/>
        <v>2.8459617834058335</v>
      </c>
      <c r="P15" s="20" t="s">
        <v>129</v>
      </c>
    </row>
    <row r="16" spans="1:16" ht="20.25" customHeight="1" x14ac:dyDescent="0.45">
      <c r="A16" s="20" t="s">
        <v>131</v>
      </c>
      <c r="B16" s="20" t="s">
        <v>115</v>
      </c>
      <c r="C16" s="21">
        <v>30</v>
      </c>
      <c r="D16" s="21">
        <v>56</v>
      </c>
      <c r="E16" s="22">
        <v>898.3</v>
      </c>
      <c r="F16" s="22">
        <v>0.29984398535171503</v>
      </c>
      <c r="G16" s="22">
        <v>-0.22647775794944799</v>
      </c>
      <c r="H16" s="22">
        <v>0.26080529464993302</v>
      </c>
      <c r="I16" s="22">
        <v>6.4664645495800003E-5</v>
      </c>
      <c r="J16" s="22">
        <v>0.36955606918165501</v>
      </c>
      <c r="K16" s="22">
        <v>-0.49196986346363197</v>
      </c>
      <c r="L16" s="22">
        <v>0.21182239241571699</v>
      </c>
      <c r="M16" s="23">
        <v>1.464285714285714</v>
      </c>
      <c r="N16" s="24">
        <f t="shared" si="0"/>
        <v>0.31016850318015693</v>
      </c>
      <c r="O16" s="24">
        <f t="shared" si="1"/>
        <v>0.31016850318015698</v>
      </c>
      <c r="P16" s="20" t="s">
        <v>129</v>
      </c>
    </row>
    <row r="17" spans="1:16" ht="20.25" customHeight="1" x14ac:dyDescent="0.45">
      <c r="A17" s="20" t="s">
        <v>132</v>
      </c>
      <c r="B17" s="20" t="s">
        <v>115</v>
      </c>
      <c r="C17" s="21">
        <v>31</v>
      </c>
      <c r="D17" s="21">
        <v>71</v>
      </c>
      <c r="E17" s="22">
        <v>1302.2833333333299</v>
      </c>
      <c r="F17" s="22">
        <v>0.78278166860072596</v>
      </c>
      <c r="G17" s="22">
        <v>0.196863331764804</v>
      </c>
      <c r="H17" s="22">
        <v>0.55637418440606901</v>
      </c>
      <c r="I17" s="22">
        <v>-1.0677951335376299E-2</v>
      </c>
      <c r="J17" s="22">
        <v>0.42142934926588199</v>
      </c>
      <c r="K17" s="22">
        <v>0.40638160126240902</v>
      </c>
      <c r="L17" s="22">
        <v>2.35315218396451</v>
      </c>
      <c r="M17" s="23">
        <v>1</v>
      </c>
      <c r="N17" s="24">
        <f t="shared" si="0"/>
        <v>2.35315218396451</v>
      </c>
      <c r="O17" s="24">
        <f t="shared" si="1"/>
        <v>2.7177250575364766</v>
      </c>
      <c r="P17" s="20" t="s">
        <v>129</v>
      </c>
    </row>
    <row r="18" spans="1:16" ht="20.25" customHeight="1" x14ac:dyDescent="0.45">
      <c r="A18" s="20" t="s">
        <v>133</v>
      </c>
      <c r="B18" s="20" t="s">
        <v>735</v>
      </c>
      <c r="C18" s="21">
        <v>32</v>
      </c>
      <c r="D18" s="21">
        <v>82</v>
      </c>
      <c r="E18" s="22">
        <v>1364.4666666666701</v>
      </c>
      <c r="F18" s="22">
        <v>1.03626559815722</v>
      </c>
      <c r="G18" s="22">
        <v>-0.189703626180768</v>
      </c>
      <c r="H18" s="22">
        <v>0.53470249617584897</v>
      </c>
      <c r="I18" s="22">
        <v>-4.7507552232150998E-3</v>
      </c>
      <c r="J18" s="22">
        <v>0.79878048765732401</v>
      </c>
      <c r="K18" s="22">
        <v>0.222561030209772</v>
      </c>
      <c r="L18" s="22">
        <v>2.39785523079619</v>
      </c>
      <c r="M18" s="23">
        <v>1</v>
      </c>
      <c r="N18" s="24">
        <f t="shared" si="0"/>
        <v>2.39785523079619</v>
      </c>
      <c r="O18" s="24">
        <f t="shared" si="1"/>
        <v>2.39785523079619</v>
      </c>
      <c r="P18" s="20" t="s">
        <v>129</v>
      </c>
    </row>
    <row r="19" spans="1:16" ht="20.25" customHeight="1" x14ac:dyDescent="0.45">
      <c r="A19" s="20" t="s">
        <v>135</v>
      </c>
      <c r="B19" s="20" t="s">
        <v>735</v>
      </c>
      <c r="C19" s="21">
        <v>33</v>
      </c>
      <c r="D19" s="21">
        <v>82</v>
      </c>
      <c r="E19" s="22">
        <v>1463.38333333333</v>
      </c>
      <c r="F19" s="22">
        <v>0.84746899187632596</v>
      </c>
      <c r="G19" s="22">
        <v>-8.9045713527522205E-2</v>
      </c>
      <c r="H19" s="22">
        <v>0.51201804309041299</v>
      </c>
      <c r="I19" s="22">
        <v>8.3895227951515002E-3</v>
      </c>
      <c r="J19" s="22">
        <v>0.85428645126229297</v>
      </c>
      <c r="K19" s="22">
        <v>0.65110939317771899</v>
      </c>
      <c r="L19" s="22">
        <v>2.8316653768367499</v>
      </c>
      <c r="M19" s="23">
        <v>1</v>
      </c>
      <c r="N19" s="24">
        <f t="shared" si="0"/>
        <v>2.8316653768367499</v>
      </c>
      <c r="O19" s="24">
        <f t="shared" si="1"/>
        <v>2.8316653768367499</v>
      </c>
      <c r="P19" s="20" t="s">
        <v>129</v>
      </c>
    </row>
    <row r="20" spans="1:16" ht="20.25" customHeight="1" x14ac:dyDescent="0.45">
      <c r="A20" s="20" t="s">
        <v>137</v>
      </c>
      <c r="B20" s="20" t="s">
        <v>735</v>
      </c>
      <c r="C20" s="21">
        <v>34</v>
      </c>
      <c r="D20" s="21">
        <v>82</v>
      </c>
      <c r="E20" s="22">
        <v>1536.95</v>
      </c>
      <c r="F20" s="22">
        <v>0.59276138095929698</v>
      </c>
      <c r="G20" s="22">
        <v>-0.21646821729153001</v>
      </c>
      <c r="H20" s="22">
        <v>6.3650023016751198E-2</v>
      </c>
      <c r="I20" s="22">
        <v>4.1768155112866003E-3</v>
      </c>
      <c r="J20" s="22">
        <v>0.59980961751061201</v>
      </c>
      <c r="K20" s="22">
        <v>1.8257764234703899</v>
      </c>
      <c r="L20" s="22">
        <v>2.9284737875128699</v>
      </c>
      <c r="M20" s="23">
        <v>1</v>
      </c>
      <c r="N20" s="24">
        <f t="shared" si="0"/>
        <v>2.9284737875128699</v>
      </c>
      <c r="O20" s="24">
        <f t="shared" si="1"/>
        <v>2.9284737875128699</v>
      </c>
      <c r="P20" s="20" t="s">
        <v>129</v>
      </c>
    </row>
    <row r="21" spans="1:16" ht="20.25" customHeight="1" x14ac:dyDescent="0.45">
      <c r="A21" s="20" t="s">
        <v>138</v>
      </c>
      <c r="B21" s="20" t="s">
        <v>736</v>
      </c>
      <c r="C21" s="21">
        <v>35</v>
      </c>
      <c r="D21" s="21">
        <v>77</v>
      </c>
      <c r="E21" s="22">
        <v>1410.35</v>
      </c>
      <c r="F21" s="22">
        <v>0.88430290423551605</v>
      </c>
      <c r="G21" s="22">
        <v>-0.53818599062811201</v>
      </c>
      <c r="H21" s="22">
        <v>0.38420914384244798</v>
      </c>
      <c r="I21" s="22">
        <v>2.3376315351349001E-3</v>
      </c>
      <c r="J21" s="22">
        <v>0.51362514870325904</v>
      </c>
      <c r="K21" s="22">
        <v>-0.709497545111481</v>
      </c>
      <c r="L21" s="22">
        <v>0.50066779036314102</v>
      </c>
      <c r="M21" s="23">
        <v>1</v>
      </c>
      <c r="N21" s="24">
        <f t="shared" si="0"/>
        <v>0.50066779036314102</v>
      </c>
      <c r="O21" s="24">
        <f t="shared" si="1"/>
        <v>0.53317868584126704</v>
      </c>
      <c r="P21" s="20" t="s">
        <v>129</v>
      </c>
    </row>
    <row r="23" spans="1:16" ht="22.05" customHeight="1" x14ac:dyDescent="0.45">
      <c r="A23" s="1" t="s">
        <v>139</v>
      </c>
    </row>
    <row r="24" spans="1:16" ht="38" customHeight="1" x14ac:dyDescent="0.45">
      <c r="A24" s="3" t="s">
        <v>140</v>
      </c>
      <c r="B24" s="4"/>
      <c r="C24" s="4"/>
      <c r="D24" s="4"/>
      <c r="E24" s="4"/>
      <c r="F24" s="4"/>
      <c r="G24" s="4"/>
      <c r="H24" s="4"/>
      <c r="I24" s="4"/>
      <c r="J24" s="4"/>
      <c r="K24" s="4"/>
      <c r="L24" s="4"/>
      <c r="M24" s="4"/>
      <c r="N24" s="4"/>
      <c r="O24" s="4"/>
      <c r="P24" s="4"/>
    </row>
    <row r="26" spans="1:16" ht="37.799999999999997" customHeight="1" x14ac:dyDescent="0.45">
      <c r="A26" s="5"/>
      <c r="B26" s="5" t="s">
        <v>98</v>
      </c>
      <c r="C26" s="6" t="s">
        <v>101</v>
      </c>
      <c r="D26" s="6" t="s">
        <v>141</v>
      </c>
      <c r="E26" s="25" t="s">
        <v>142</v>
      </c>
      <c r="F26" s="6" t="s">
        <v>44</v>
      </c>
    </row>
    <row r="27" spans="1:16" ht="20.25" customHeight="1" x14ac:dyDescent="0.45">
      <c r="A27" s="7" t="s">
        <v>143</v>
      </c>
      <c r="B27" s="7" t="str">
        <f>A14</f>
        <v>2018-19</v>
      </c>
      <c r="C27" s="26">
        <f>D14</f>
        <v>73</v>
      </c>
      <c r="D27" s="19">
        <f>N14</f>
        <v>0.99276996940334405</v>
      </c>
      <c r="E27" s="27" t="b">
        <f>C27&gt;=MinGP_base</f>
        <v>1</v>
      </c>
      <c r="F27" s="28">
        <f>W_recent</f>
        <v>0.6</v>
      </c>
    </row>
    <row r="28" spans="1:16" ht="20.25" customHeight="1" x14ac:dyDescent="0.45">
      <c r="A28" s="7" t="s">
        <v>144</v>
      </c>
      <c r="B28" s="7" t="str">
        <f>A13</f>
        <v>2017-18</v>
      </c>
      <c r="C28" s="26">
        <f>D13</f>
        <v>80</v>
      </c>
      <c r="D28" s="19">
        <f>N13</f>
        <v>3.4315565590553798</v>
      </c>
      <c r="E28" s="27" t="b">
        <f>C28&gt;=MinGP_base</f>
        <v>1</v>
      </c>
      <c r="F28" s="28">
        <f>W_older</f>
        <v>0.4</v>
      </c>
    </row>
    <row r="30" spans="1:16" ht="20.25" customHeight="1" x14ac:dyDescent="0.45">
      <c r="A30" s="14" t="s">
        <v>145</v>
      </c>
      <c r="D30" s="29">
        <f>IF(AND(E27,E28),F27*D27+F28*D28,IF(E27,D27,IF(E28,D28,NA())))</f>
        <v>1.9682846052641585</v>
      </c>
    </row>
  </sheetData>
  <mergeCells count="2">
    <mergeCell ref="A24:P24"/>
    <mergeCell ref="A2:P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7"/>
  <sheetViews>
    <sheetView workbookViewId="0"/>
  </sheetViews>
  <sheetFormatPr defaultRowHeight="14.25" x14ac:dyDescent="0.45"/>
  <cols>
    <col min="1" max="1" width="38.9296875" customWidth="1"/>
    <col min="2" max="2" width="7.46484375" customWidth="1"/>
    <col min="3" max="3" width="10.33203125" customWidth="1"/>
    <col min="4" max="6" width="11.73046875" customWidth="1"/>
    <col min="7" max="7" width="14.59765625" customWidth="1"/>
    <col min="8" max="8" width="14.3984375" customWidth="1"/>
    <col min="9" max="9" width="12.46484375" customWidth="1"/>
    <col min="10" max="10" width="8.53125" customWidth="1"/>
    <col min="11" max="11" width="8.33203125" customWidth="1"/>
  </cols>
  <sheetData>
    <row r="1" spans="1:11" ht="22.05" customHeight="1" x14ac:dyDescent="0.45">
      <c r="A1" s="1" t="s">
        <v>737</v>
      </c>
    </row>
    <row r="2" spans="1:11" ht="53" customHeight="1" x14ac:dyDescent="0.45">
      <c r="A2" s="3" t="s">
        <v>738</v>
      </c>
      <c r="B2" s="4"/>
      <c r="C2" s="4"/>
      <c r="D2" s="4"/>
      <c r="E2" s="4"/>
      <c r="F2" s="4"/>
      <c r="G2" s="4"/>
      <c r="H2" s="4"/>
      <c r="I2" s="4"/>
    </row>
    <row r="4" spans="1:11" ht="51.75" customHeight="1" x14ac:dyDescent="0.45">
      <c r="A4" s="5" t="s">
        <v>148</v>
      </c>
      <c r="B4" s="6" t="s">
        <v>100</v>
      </c>
      <c r="C4" s="6" t="s">
        <v>101</v>
      </c>
      <c r="D4" s="6" t="s">
        <v>102</v>
      </c>
      <c r="E4" s="6" t="s">
        <v>149</v>
      </c>
      <c r="F4" s="6" t="s">
        <v>150</v>
      </c>
      <c r="G4" s="6" t="s">
        <v>105</v>
      </c>
      <c r="H4" s="6" t="s">
        <v>106</v>
      </c>
      <c r="I4" s="6" t="s">
        <v>108</v>
      </c>
      <c r="J4" s="6" t="s">
        <v>109</v>
      </c>
      <c r="K4" s="6" t="s">
        <v>151</v>
      </c>
    </row>
    <row r="5" spans="1:11" ht="20.25" customHeight="1" x14ac:dyDescent="0.45">
      <c r="A5" s="43" t="str">
        <f>'Kadri 1 Seasons'!$A$13</f>
        <v>2017-18</v>
      </c>
      <c r="B5" s="44">
        <f>'Kadri 1 Seasons'!$C$13</f>
        <v>27</v>
      </c>
      <c r="C5" s="45">
        <f>'Kadri 1 Seasons'!$D$13</f>
        <v>80</v>
      </c>
      <c r="D5" s="35">
        <f>'Kadri 1 Seasons'!$E$13</f>
        <v>1288.7833333333299</v>
      </c>
      <c r="E5" s="35">
        <f>'Kadri 1 Seasons'!$F$13</f>
        <v>0.71875161174379398</v>
      </c>
      <c r="F5" s="35">
        <f>'Kadri 1 Seasons'!$G$13</f>
        <v>-0.395675207521271</v>
      </c>
      <c r="G5" s="35">
        <f>'Kadri 1 Seasons'!$H$13</f>
        <v>0.75955661618357595</v>
      </c>
      <c r="H5" s="35">
        <f>'Kadri 1 Seasons'!$I$13</f>
        <v>-9.8361738380099999E-5</v>
      </c>
      <c r="I5" s="35">
        <f>'Kadri 1 Seasons'!$K$13</f>
        <v>1.8982661984998801</v>
      </c>
      <c r="J5" s="35">
        <f>'Kadri 1 Seasons'!$L$13</f>
        <v>3.4315565590553798</v>
      </c>
      <c r="K5" s="35">
        <f>'Kadri 1 Seasons'!$O$13</f>
        <v>3.5173454730317641</v>
      </c>
    </row>
    <row r="6" spans="1:11" ht="20.25" customHeight="1" x14ac:dyDescent="0.45">
      <c r="A6" s="43" t="str">
        <f>'Kadri 1 Seasons'!$A$14</f>
        <v>2018-19</v>
      </c>
      <c r="B6" s="44">
        <f>'Kadri 1 Seasons'!$C$14</f>
        <v>28</v>
      </c>
      <c r="C6" s="45">
        <f>'Kadri 1 Seasons'!$D$14</f>
        <v>73</v>
      </c>
      <c r="D6" s="35">
        <f>'Kadri 1 Seasons'!$E$14</f>
        <v>1142.25</v>
      </c>
      <c r="E6" s="35">
        <f>'Kadri 1 Seasons'!$F$14</f>
        <v>0.71915407770662798</v>
      </c>
      <c r="F6" s="35">
        <f>'Kadri 1 Seasons'!$G$14</f>
        <v>-0.40765567020285398</v>
      </c>
      <c r="G6" s="35">
        <f>'Kadri 1 Seasons'!$H$14</f>
        <v>0.65807687957818894</v>
      </c>
      <c r="H6" s="35">
        <f>'Kadri 1 Seasons'!$I$14</f>
        <v>-2.05710055809E-5</v>
      </c>
      <c r="I6" s="35">
        <f>'Kadri 1 Seasons'!$K$14</f>
        <v>-0.41725339558675301</v>
      </c>
      <c r="J6" s="35">
        <f>'Kadri 1 Seasons'!$L$14</f>
        <v>0.99276996940334405</v>
      </c>
      <c r="K6" s="35">
        <f>'Kadri 1 Seasons'!$O$14</f>
        <v>1.1151662670010165</v>
      </c>
    </row>
    <row r="8" spans="1:11" ht="53" customHeight="1" x14ac:dyDescent="0.45">
      <c r="A8" s="3" t="s">
        <v>152</v>
      </c>
      <c r="B8" s="4"/>
      <c r="C8" s="4"/>
      <c r="D8" s="4"/>
      <c r="E8" s="4"/>
      <c r="F8" s="4"/>
      <c r="G8" s="4"/>
      <c r="H8" s="4"/>
      <c r="I8" s="4"/>
    </row>
    <row r="9" spans="1:11" ht="37.799999999999997" customHeight="1" x14ac:dyDescent="0.45">
      <c r="A9" s="5" t="s">
        <v>43</v>
      </c>
      <c r="B9" s="5"/>
      <c r="C9" s="5"/>
      <c r="D9" s="6" t="s">
        <v>153</v>
      </c>
      <c r="E9" s="6" t="s">
        <v>46</v>
      </c>
      <c r="F9" s="6" t="s">
        <v>154</v>
      </c>
      <c r="G9" s="6" t="s">
        <v>155</v>
      </c>
      <c r="H9" s="6" t="s">
        <v>156</v>
      </c>
      <c r="I9" s="6" t="s">
        <v>157</v>
      </c>
    </row>
    <row r="10" spans="1:11" ht="20.25" customHeight="1" x14ac:dyDescent="0.45">
      <c r="A10" s="7" t="s">
        <v>48</v>
      </c>
      <c r="D10" s="31">
        <f>SUM(E5:E6)/(ABS(SUM(E5:E6))+ABS(SUM(F5:F6))+ABS(SUM(G5:G6))+ABS(SUM(H5:H6))+ABS(SUM(I5:I6)))</f>
        <v>0.27974809071932921</v>
      </c>
      <c r="E10" s="30">
        <f>Settings!$D$18</f>
        <v>0.19232245234229939</v>
      </c>
      <c r="F10" s="30">
        <f>Settings!$E$18</f>
        <v>0.27941252252446019</v>
      </c>
      <c r="G10" s="19">
        <f t="shared" ref="G10:G17" si="0">(D10-E10)/F10</f>
        <v>0.31289090978152723</v>
      </c>
      <c r="H10" s="28">
        <f>Settings!$B$18</f>
        <v>0.2</v>
      </c>
      <c r="I10" s="33">
        <f t="shared" ref="I10:I17" si="1">G10*SQRT(H10)</f>
        <v>0.13992906876264974</v>
      </c>
    </row>
    <row r="11" spans="1:11" ht="20.25" customHeight="1" x14ac:dyDescent="0.45">
      <c r="A11" s="7" t="s">
        <v>50</v>
      </c>
      <c r="D11" s="31">
        <f>SUM(F5:F6)/(ABS(SUM(E5:E6))+ABS(SUM(F5:F6))+ABS(SUM(G5:G6))+ABS(SUM(H5:H6))+ABS(SUM(I5:I6)))</f>
        <v>-0.1562899993427945</v>
      </c>
      <c r="E11" s="30">
        <f>Settings!$D$19</f>
        <v>-6.6418963634883579E-3</v>
      </c>
      <c r="F11" s="30">
        <f>Settings!$E$19</f>
        <v>0.2400310625374871</v>
      </c>
      <c r="G11" s="19">
        <f t="shared" si="0"/>
        <v>-0.62345307060387112</v>
      </c>
      <c r="H11" s="28">
        <f>Settings!$B$19</f>
        <v>0.2</v>
      </c>
      <c r="I11" s="33">
        <f t="shared" si="1"/>
        <v>-0.27881668933024634</v>
      </c>
    </row>
    <row r="12" spans="1:11" ht="20.25" customHeight="1" x14ac:dyDescent="0.45">
      <c r="A12" s="7" t="s">
        <v>52</v>
      </c>
      <c r="D12" s="31">
        <f>SUM(G5:G6)/(ABS(SUM(E5:E6))+ABS(SUM(F5:F6))+ABS(SUM(G5:G6))+ABS(SUM(H5:H6))+ABS(SUM(I5:I6)))</f>
        <v>0.27580408554520564</v>
      </c>
      <c r="E12" s="30">
        <f>Settings!$D$20</f>
        <v>5.3127195862295348E-2</v>
      </c>
      <c r="F12" s="30">
        <f>Settings!$E$20</f>
        <v>0.1103729332766991</v>
      </c>
      <c r="G12" s="19">
        <f t="shared" si="0"/>
        <v>2.0174954408855936</v>
      </c>
      <c r="H12" s="28">
        <f>Settings!$B$20</f>
        <v>0.2</v>
      </c>
      <c r="I12" s="33">
        <f t="shared" si="1"/>
        <v>0.90225139002321919</v>
      </c>
    </row>
    <row r="13" spans="1:11" ht="20.25" customHeight="1" x14ac:dyDescent="0.45">
      <c r="A13" s="7" t="s">
        <v>54</v>
      </c>
      <c r="D13" s="31">
        <f>SUM(H5:H6)/(ABS(SUM(E5:E6))+ABS(SUM(F5:F6))+ABS(SUM(G5:G6))+ABS(SUM(H5:H6))+ABS(SUM(I5:I6)))</f>
        <v>-2.3138658043572443E-5</v>
      </c>
      <c r="E13" s="30">
        <f>Settings!$D$21</f>
        <v>-2.9444757951917768E-3</v>
      </c>
      <c r="F13" s="30">
        <f>Settings!$E$21</f>
        <v>8.1318613552634561E-2</v>
      </c>
      <c r="G13" s="19">
        <f t="shared" si="0"/>
        <v>3.5924581218509458E-2</v>
      </c>
      <c r="H13" s="28">
        <f>Settings!$B$21</f>
        <v>0.2</v>
      </c>
      <c r="I13" s="33">
        <f t="shared" si="1"/>
        <v>1.6065961133559875E-2</v>
      </c>
    </row>
    <row r="14" spans="1:11" ht="20.25" customHeight="1" x14ac:dyDescent="0.45">
      <c r="A14" s="7" t="s">
        <v>56</v>
      </c>
      <c r="D14" s="31">
        <f>SUM(I5:I6)/(ABS(SUM(E5:E6))+ABS(SUM(F5:F6))+ABS(SUM(G5:G6))+ABS(SUM(H5:H6))+ABS(SUM(I5:I6)))</f>
        <v>0.28813468573462703</v>
      </c>
      <c r="E14" s="30">
        <f>Settings!$D$22</f>
        <v>0.24786122930332499</v>
      </c>
      <c r="F14" s="30">
        <f>Settings!$E$22</f>
        <v>0.37167162292607769</v>
      </c>
      <c r="G14" s="19">
        <f t="shared" si="0"/>
        <v>0.10835763062630176</v>
      </c>
      <c r="H14" s="28">
        <f>Settings!$B$22</f>
        <v>0.2</v>
      </c>
      <c r="I14" s="33">
        <f t="shared" si="1"/>
        <v>4.8459005592244767E-2</v>
      </c>
    </row>
    <row r="15" spans="1:11" ht="20.25" customHeight="1" x14ac:dyDescent="0.45">
      <c r="A15" s="7" t="s">
        <v>58</v>
      </c>
      <c r="D15" s="31">
        <f>SUM(D5:D6)/SUM(C5:C6)</f>
        <v>15.889106753812616</v>
      </c>
      <c r="E15" s="30">
        <f>Settings!$D$23</f>
        <v>15.2552116048704</v>
      </c>
      <c r="F15" s="30">
        <f>Settings!$E$23</f>
        <v>2.8795457330648611</v>
      </c>
      <c r="G15" s="19">
        <f t="shared" si="0"/>
        <v>0.22013720485957547</v>
      </c>
      <c r="H15" s="28">
        <f>Settings!$B$23</f>
        <v>1</v>
      </c>
      <c r="I15" s="33">
        <f t="shared" si="1"/>
        <v>0.22013720485957547</v>
      </c>
    </row>
    <row r="16" spans="1:11" ht="20.25" customHeight="1" x14ac:dyDescent="0.45">
      <c r="A16" s="7" t="s">
        <v>60</v>
      </c>
      <c r="D16" s="31">
        <f>AVERAGE(K5:K6)</f>
        <v>2.3162558700163904</v>
      </c>
      <c r="E16" s="30">
        <f>Settings!$D$24</f>
        <v>1.308267917987153</v>
      </c>
      <c r="F16" s="30">
        <f>Settings!$E$24</f>
        <v>1.4464355306176659</v>
      </c>
      <c r="G16" s="19">
        <f t="shared" si="0"/>
        <v>0.69687720654843155</v>
      </c>
      <c r="H16" s="28">
        <f>Settings!$B$24</f>
        <v>1</v>
      </c>
      <c r="I16" s="33">
        <f t="shared" si="1"/>
        <v>0.69687720654843155</v>
      </c>
    </row>
    <row r="17" spans="1:9" ht="20.25" customHeight="1" x14ac:dyDescent="0.45">
      <c r="A17" s="7" t="s">
        <v>62</v>
      </c>
      <c r="D17" s="31">
        <f>(K6-K5)/(B6-B5)</f>
        <v>-2.4021792060307474</v>
      </c>
      <c r="E17" s="30">
        <f>Settings!$D$25</f>
        <v>-5.3335800692820373E-2</v>
      </c>
      <c r="F17" s="30">
        <f>Settings!$E$25</f>
        <v>1.482775037943316</v>
      </c>
      <c r="G17" s="19">
        <f t="shared" si="0"/>
        <v>-1.584086152809729</v>
      </c>
      <c r="H17" s="28">
        <f>Settings!$B$25</f>
        <v>1</v>
      </c>
      <c r="I17" s="33">
        <f t="shared" si="1"/>
        <v>-1.584086152809729</v>
      </c>
    </row>
  </sheetData>
  <mergeCells count="2">
    <mergeCell ref="A8:I8"/>
    <mergeCell ref="A2:I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409"/>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8.53125" customWidth="1"/>
    <col min="2" max="2" width="24" customWidth="1"/>
    <col min="3" max="3" width="20.06640625" customWidth="1"/>
    <col min="4" max="4" width="7.46484375" customWidth="1"/>
    <col min="5" max="5" width="12.46484375" customWidth="1"/>
    <col min="6" max="6" width="18.46484375" customWidth="1"/>
    <col min="7" max="7" width="18.6640625" customWidth="1"/>
    <col min="8" max="8" width="15.46484375" customWidth="1"/>
    <col min="9" max="9" width="15.265625" customWidth="1"/>
    <col min="10" max="10" width="14.59765625" customWidth="1"/>
    <col min="11" max="11" width="17.06640625" customWidth="1"/>
    <col min="12" max="12" width="19" customWidth="1"/>
    <col min="13" max="13" width="21.6640625" customWidth="1"/>
    <col min="14" max="15" width="17.265625" customWidth="1"/>
    <col min="16" max="16" width="14.59765625" customWidth="1"/>
    <col min="17" max="17" width="14.3984375" customWidth="1"/>
    <col min="18" max="18" width="12.59765625" customWidth="1"/>
    <col min="19" max="19" width="15.1328125" customWidth="1"/>
    <col min="20" max="20" width="16.86328125" customWidth="1"/>
    <col min="21" max="21" width="19.73046875" customWidth="1"/>
    <col min="22" max="23" width="17.265625" customWidth="1"/>
    <col min="24" max="24" width="14.59765625" customWidth="1"/>
    <col min="25" max="25" width="14.3984375" customWidth="1"/>
    <col min="26" max="26" width="12.59765625" customWidth="1"/>
    <col min="27" max="27" width="14.9296875" customWidth="1"/>
    <col min="28" max="28" width="16.86328125" customWidth="1"/>
    <col min="29" max="29" width="19.53125" customWidth="1"/>
    <col min="30" max="30" width="12.06640625" customWidth="1"/>
    <col min="31" max="31" width="13.6640625" customWidth="1"/>
    <col min="32" max="33" width="10.1328125" customWidth="1"/>
    <col min="34" max="34" width="13.86328125" customWidth="1"/>
    <col min="35" max="35" width="15.6640625" customWidth="1"/>
    <col min="36" max="36" width="13.86328125" customWidth="1"/>
    <col min="37" max="37" width="15.6640625" customWidth="1"/>
    <col min="38" max="38" width="13.86328125" customWidth="1"/>
    <col min="39" max="39" width="15.6640625" customWidth="1"/>
  </cols>
  <sheetData>
    <row r="1" spans="1:39" ht="22.05" customHeight="1" x14ac:dyDescent="0.45">
      <c r="A1" s="1" t="s">
        <v>739</v>
      </c>
    </row>
    <row r="2" spans="1:39" ht="38" customHeight="1" x14ac:dyDescent="0.45">
      <c r="A2" s="3" t="s">
        <v>740</v>
      </c>
      <c r="B2" s="4"/>
      <c r="C2" s="4"/>
      <c r="D2" s="4"/>
      <c r="E2" s="4"/>
      <c r="F2" s="4"/>
      <c r="G2" s="4"/>
      <c r="H2" s="4"/>
      <c r="I2" s="4"/>
      <c r="J2" s="4"/>
      <c r="K2" s="4"/>
      <c r="L2" s="4"/>
      <c r="M2" s="4"/>
      <c r="N2" s="4"/>
      <c r="O2" s="4"/>
      <c r="P2" s="4"/>
      <c r="Q2" s="4"/>
      <c r="R2" s="4"/>
      <c r="S2" s="4"/>
      <c r="T2" s="4"/>
    </row>
    <row r="4" spans="1:39" ht="20" customHeight="1" x14ac:dyDescent="0.45">
      <c r="A4" s="1" t="s">
        <v>741</v>
      </c>
    </row>
    <row r="5" spans="1:39" ht="79.5" customHeight="1" x14ac:dyDescent="0.45">
      <c r="F5" s="6" t="s">
        <v>161</v>
      </c>
      <c r="G5" s="6" t="s">
        <v>162</v>
      </c>
      <c r="H5" s="6" t="s">
        <v>163</v>
      </c>
      <c r="I5" s="6" t="s">
        <v>164</v>
      </c>
      <c r="J5" s="6" t="s">
        <v>165</v>
      </c>
      <c r="K5" s="6" t="s">
        <v>166</v>
      </c>
      <c r="L5" s="6" t="s">
        <v>167</v>
      </c>
      <c r="M5" s="6" t="s">
        <v>168</v>
      </c>
    </row>
    <row r="6" spans="1:39" ht="20" customHeight="1" x14ac:dyDescent="0.45">
      <c r="F6" s="35">
        <f>'Kadri 2 Profile'!$G$10</f>
        <v>0.31289090978152723</v>
      </c>
      <c r="G6" s="35">
        <f>'Kadri 2 Profile'!$G$11</f>
        <v>-0.62345307060387112</v>
      </c>
      <c r="H6" s="35">
        <f>'Kadri 2 Profile'!$G$12</f>
        <v>2.0174954408855936</v>
      </c>
      <c r="I6" s="35">
        <f>'Kadri 2 Profile'!$G$13</f>
        <v>3.5924581218509458E-2</v>
      </c>
      <c r="J6" s="35">
        <f>'Kadri 2 Profile'!$G$14</f>
        <v>0.10835763062630176</v>
      </c>
      <c r="K6" s="35">
        <f>'Kadri 2 Profile'!$G$15</f>
        <v>0.22013720485957547</v>
      </c>
      <c r="L6" s="35">
        <f>'Kadri 2 Profile'!$G$16</f>
        <v>0.69687720654843155</v>
      </c>
      <c r="M6" s="35">
        <f>'Kadri 2 Profile'!$G$17</f>
        <v>-1.584086152809729</v>
      </c>
    </row>
    <row r="7" spans="1:39" ht="20" customHeight="1" x14ac:dyDescent="0.45">
      <c r="A7" s="49" t="s">
        <v>169</v>
      </c>
      <c r="E7" s="19">
        <f>SUM($AF$11:$AF$409)</f>
        <v>231.84895900379681</v>
      </c>
      <c r="G7" s="49" t="s">
        <v>170</v>
      </c>
      <c r="K7" s="34">
        <f>SUM($AF$11:$AF$15)/E7</f>
        <v>2.0346233915586941E-2</v>
      </c>
    </row>
    <row r="8" spans="1:39" ht="20" customHeight="1" x14ac:dyDescent="0.45">
      <c r="A8" s="49" t="s">
        <v>171</v>
      </c>
      <c r="E8" s="50">
        <f>SUM($AF$11:$AF$409)^2/SUMPRODUCT($AF$11:$AF$409,$AF$11:$AF$409)</f>
        <v>363.92562784915822</v>
      </c>
      <c r="G8" s="49" t="s">
        <v>172</v>
      </c>
      <c r="K8" s="34">
        <f>SUMPRODUCT($AF$11:$AF$409,$E$11:$E$409)/E7</f>
        <v>0.58718289812974767</v>
      </c>
    </row>
    <row r="10" spans="1:39" ht="79.5" customHeight="1" x14ac:dyDescent="0.45">
      <c r="A10" s="6" t="s">
        <v>173</v>
      </c>
      <c r="B10" s="5" t="s">
        <v>174</v>
      </c>
      <c r="C10" s="5" t="s">
        <v>175</v>
      </c>
      <c r="D10" s="6" t="s">
        <v>100</v>
      </c>
      <c r="E10" s="6" t="s">
        <v>176</v>
      </c>
      <c r="F10" s="6" t="s">
        <v>177</v>
      </c>
      <c r="G10" s="6" t="s">
        <v>178</v>
      </c>
      <c r="H10" s="6" t="s">
        <v>179</v>
      </c>
      <c r="I10" s="6" t="s">
        <v>180</v>
      </c>
      <c r="J10" s="6" t="s">
        <v>181</v>
      </c>
      <c r="K10" s="6" t="s">
        <v>182</v>
      </c>
      <c r="L10" s="6" t="s">
        <v>183</v>
      </c>
      <c r="M10" s="6" t="s">
        <v>184</v>
      </c>
      <c r="N10" s="6" t="s">
        <v>185</v>
      </c>
      <c r="O10" s="6" t="s">
        <v>186</v>
      </c>
      <c r="P10" s="6" t="s">
        <v>187</v>
      </c>
      <c r="Q10" s="6" t="s">
        <v>188</v>
      </c>
      <c r="R10" s="6" t="s">
        <v>189</v>
      </c>
      <c r="S10" s="6" t="s">
        <v>190</v>
      </c>
      <c r="T10" s="6" t="s">
        <v>191</v>
      </c>
      <c r="U10" s="6" t="s">
        <v>192</v>
      </c>
      <c r="V10" s="6" t="s">
        <v>193</v>
      </c>
      <c r="W10" s="6" t="s">
        <v>194</v>
      </c>
      <c r="X10" s="6" t="s">
        <v>195</v>
      </c>
      <c r="Y10" s="6" t="s">
        <v>196</v>
      </c>
      <c r="Z10" s="6" t="s">
        <v>197</v>
      </c>
      <c r="AA10" s="6" t="s">
        <v>198</v>
      </c>
      <c r="AB10" s="6" t="s">
        <v>199</v>
      </c>
      <c r="AC10" s="6" t="s">
        <v>200</v>
      </c>
      <c r="AD10" s="6" t="s">
        <v>77</v>
      </c>
      <c r="AE10" s="6" t="s">
        <v>201</v>
      </c>
      <c r="AF10" s="6" t="s">
        <v>44</v>
      </c>
      <c r="AG10" s="6" t="s">
        <v>202</v>
      </c>
      <c r="AH10" s="6" t="s">
        <v>206</v>
      </c>
      <c r="AI10" s="6" t="s">
        <v>204</v>
      </c>
      <c r="AJ10" s="6" t="s">
        <v>207</v>
      </c>
      <c r="AK10" s="6" t="s">
        <v>204</v>
      </c>
      <c r="AL10" s="6" t="s">
        <v>208</v>
      </c>
      <c r="AM10" s="6" t="s">
        <v>204</v>
      </c>
    </row>
    <row r="11" spans="1:39" ht="20" customHeight="1" x14ac:dyDescent="0.45">
      <c r="A11" s="26">
        <v>1</v>
      </c>
      <c r="B11" s="16" t="s">
        <v>334</v>
      </c>
      <c r="C11" s="16" t="s">
        <v>212</v>
      </c>
      <c r="D11" s="46">
        <v>28</v>
      </c>
      <c r="E11" s="46">
        <v>0</v>
      </c>
      <c r="F11" s="13">
        <v>0.29867520547283311</v>
      </c>
      <c r="G11" s="13">
        <v>-0.166207246228019</v>
      </c>
      <c r="H11" s="13">
        <v>0.18577185649876179</v>
      </c>
      <c r="I11" s="13">
        <v>2.5432568763933761E-3</v>
      </c>
      <c r="J11" s="13">
        <v>0.34680243492399287</v>
      </c>
      <c r="K11" s="13">
        <v>16.855168776371261</v>
      </c>
      <c r="L11" s="13">
        <v>2.5899809505326581</v>
      </c>
      <c r="M11" s="13">
        <v>-1.724351699894132</v>
      </c>
      <c r="N11" s="19">
        <f>(F11-Settings!$D$18)/Settings!$E$18</f>
        <v>0.38062987359925299</v>
      </c>
      <c r="O11" s="19">
        <f>(G11-Settings!$D$19)/Settings!$E$19</f>
        <v>-0.66476958514321605</v>
      </c>
      <c r="P11" s="19">
        <f>(H11-Settings!$D$20)/Settings!$E$20</f>
        <v>1.2017861326919101</v>
      </c>
      <c r="Q11" s="19">
        <f>(I11-Settings!$D$21)/Settings!$E$21</f>
        <v>6.7484336387918661E-2</v>
      </c>
      <c r="R11" s="19">
        <f>(J11-Settings!$D$22)/Settings!$E$22</f>
        <v>0.26620597193223555</v>
      </c>
      <c r="S11" s="19">
        <f>(K11-Settings!$D$23)/Settings!$E$23</f>
        <v>0.5556283246795104</v>
      </c>
      <c r="T11" s="19">
        <f>(L11-Settings!$D$24)/Settings!$E$24</f>
        <v>0.8861183270284988</v>
      </c>
      <c r="U11" s="19">
        <f>(M11-Settings!$D$25)/Settings!$E$25</f>
        <v>-1.1269517333654977</v>
      </c>
      <c r="V11" s="31">
        <f>Settings!$B$18*(N11-F$6)^2</f>
        <v>9.1771344381983203E-4</v>
      </c>
      <c r="W11" s="31">
        <f>Settings!$B$19*(O11-G$6)^2</f>
        <v>3.4141087473598015E-4</v>
      </c>
      <c r="X11" s="31">
        <f>Settings!$B$20*(P11-H$6)^2</f>
        <v>0.13307633509476355</v>
      </c>
      <c r="Y11" s="31">
        <f>Settings!$B$21*(Q11-I$6)^2</f>
        <v>1.9920362927061021E-4</v>
      </c>
      <c r="Z11" s="31">
        <f>Settings!$B$22*(R11-J$6)^2</f>
        <v>4.9832197706069122E-3</v>
      </c>
      <c r="AA11" s="31">
        <f>Settings!$B$23*(S11-K$6)^2</f>
        <v>0.11255429147803396</v>
      </c>
      <c r="AB11" s="31">
        <f>Settings!$B$24*(T11-L$6)^2</f>
        <v>3.5812201680551325E-2</v>
      </c>
      <c r="AC11" s="31">
        <f>Settings!$B$25*(U11-M$6)^2</f>
        <v>0.20897187744061438</v>
      </c>
      <c r="AD11" s="19">
        <f t="shared" ref="AD11:AD74" si="0">SQRT(SUM(V11:AC11))</f>
        <v>0.70488031140924667</v>
      </c>
      <c r="AE11" s="15">
        <f t="shared" ref="AE11:AE74" si="1">AD11/Yardstick</f>
        <v>0.27900440644826596</v>
      </c>
      <c r="AF11" s="33">
        <f t="shared" ref="AF11:AF74" si="2">EXP(-(AD11^2)/(2*Yardstick^2))</f>
        <v>0.96182598888903958</v>
      </c>
      <c r="AG11" s="47">
        <f t="shared" ref="AG11:AG74" si="3">AF11/$E$7</f>
        <v>4.1485025122467278E-3</v>
      </c>
      <c r="AH11" s="18">
        <v>-0.2010669845951143</v>
      </c>
      <c r="AI11" s="46">
        <v>0</v>
      </c>
      <c r="AJ11" s="18">
        <v>-0.98327251324597986</v>
      </c>
      <c r="AK11" s="46">
        <v>0</v>
      </c>
      <c r="AL11" s="18">
        <v>-1.480872966221396</v>
      </c>
      <c r="AM11" s="46">
        <v>0</v>
      </c>
    </row>
    <row r="12" spans="1:39" ht="20" customHeight="1" x14ac:dyDescent="0.45">
      <c r="A12" s="26">
        <v>2</v>
      </c>
      <c r="B12" s="16" t="s">
        <v>483</v>
      </c>
      <c r="C12" s="16" t="s">
        <v>246</v>
      </c>
      <c r="D12" s="46">
        <v>28</v>
      </c>
      <c r="E12" s="46">
        <v>1</v>
      </c>
      <c r="F12" s="13">
        <v>0.28707875682014089</v>
      </c>
      <c r="G12" s="13">
        <v>8.2740665235492672E-2</v>
      </c>
      <c r="H12" s="13">
        <v>0.20127276058273799</v>
      </c>
      <c r="I12" s="13">
        <v>-9.4735839278245661E-3</v>
      </c>
      <c r="J12" s="13">
        <v>0.41943423343380382</v>
      </c>
      <c r="K12" s="13">
        <v>16.180555555555561</v>
      </c>
      <c r="L12" s="13">
        <v>2.8675742245987532</v>
      </c>
      <c r="M12" s="13">
        <v>-1.973432643220725</v>
      </c>
      <c r="N12" s="19">
        <f>(F12-Settings!$D$18)/Settings!$E$18</f>
        <v>0.33912690677471835</v>
      </c>
      <c r="O12" s="19">
        <f>(G12-Settings!$D$19)/Settings!$E$19</f>
        <v>0.37237914399108912</v>
      </c>
      <c r="P12" s="19">
        <f>(H12-Settings!$D$20)/Settings!$E$20</f>
        <v>1.342227304488226</v>
      </c>
      <c r="Q12" s="19">
        <f>(I12-Settings!$D$21)/Settings!$E$21</f>
        <v>-8.0290450702368857E-2</v>
      </c>
      <c r="R12" s="19">
        <f>(J12-Settings!$D$22)/Settings!$E$22</f>
        <v>0.46162524537043609</v>
      </c>
      <c r="S12" s="19">
        <f>(K12-Settings!$D$23)/Settings!$E$23</f>
        <v>0.32135067002400602</v>
      </c>
      <c r="T12" s="19">
        <f>(L12-Settings!$D$24)/Settings!$E$24</f>
        <v>1.0780337412934924</v>
      </c>
      <c r="U12" s="19">
        <f>(M12-Settings!$D$25)/Settings!$E$25</f>
        <v>-1.2949346956846375</v>
      </c>
      <c r="V12" s="31">
        <f>Settings!$B$18*(N12-F$6)^2</f>
        <v>1.3766550764534674E-4</v>
      </c>
      <c r="W12" s="31">
        <f>Settings!$B$19*(O12-G$6)^2</f>
        <v>0.19833635992502063</v>
      </c>
      <c r="X12" s="31">
        <f>Settings!$B$20*(P12-H$6)^2</f>
        <v>9.1197411206714776E-2</v>
      </c>
      <c r="Y12" s="31">
        <f>Settings!$B$21*(Q12-I$6)^2</f>
        <v>2.7011867288741533E-3</v>
      </c>
      <c r="Z12" s="31">
        <f>Settings!$B$22*(R12-J$6)^2</f>
        <v>2.4959601525402025E-2</v>
      </c>
      <c r="AA12" s="31">
        <f>Settings!$B$23*(S12-K$6)^2</f>
        <v>1.0244165530591397E-2</v>
      </c>
      <c r="AB12" s="31">
        <f>Settings!$B$24*(T12-L$6)^2</f>
        <v>0.14528030397886277</v>
      </c>
      <c r="AC12" s="31">
        <f>Settings!$B$25*(U12-M$6)^2</f>
        <v>8.3608565157563625E-2</v>
      </c>
      <c r="AD12" s="19">
        <f t="shared" si="0"/>
        <v>0.74596599088743631</v>
      </c>
      <c r="AE12" s="15">
        <f t="shared" si="1"/>
        <v>0.29526686325234119</v>
      </c>
      <c r="AF12" s="33">
        <f t="shared" si="2"/>
        <v>0.95734518252686318</v>
      </c>
      <c r="AG12" s="47">
        <f t="shared" si="3"/>
        <v>4.1291761094824908E-3</v>
      </c>
      <c r="AH12" s="18">
        <v>5.8052064220567079E-2</v>
      </c>
      <c r="AI12" s="46">
        <v>1</v>
      </c>
      <c r="AJ12" s="48"/>
      <c r="AK12" s="48"/>
      <c r="AL12" s="48"/>
      <c r="AM12" s="48"/>
    </row>
    <row r="13" spans="1:39" ht="20" customHeight="1" x14ac:dyDescent="0.45">
      <c r="A13" s="26">
        <v>3</v>
      </c>
      <c r="B13" s="16" t="s">
        <v>438</v>
      </c>
      <c r="C13" s="16" t="s">
        <v>220</v>
      </c>
      <c r="D13" s="46">
        <v>28</v>
      </c>
      <c r="E13" s="46">
        <v>1</v>
      </c>
      <c r="F13" s="13">
        <v>0.44390165105796142</v>
      </c>
      <c r="G13" s="13">
        <v>-3.4282520041733343E-2</v>
      </c>
      <c r="H13" s="13">
        <v>0.3005075798438932</v>
      </c>
      <c r="I13" s="13">
        <v>-1.301351530530619E-2</v>
      </c>
      <c r="J13" s="13">
        <v>0.20829473375110591</v>
      </c>
      <c r="K13" s="13">
        <v>17.388020833333361</v>
      </c>
      <c r="L13" s="13">
        <v>1.7407505198257041</v>
      </c>
      <c r="M13" s="13">
        <v>-2.6224085544075759</v>
      </c>
      <c r="N13" s="19">
        <f>(F13-Settings!$D$18)/Settings!$E$18</f>
        <v>0.90038626917173481</v>
      </c>
      <c r="O13" s="19">
        <f>(G13-Settings!$D$19)/Settings!$E$19</f>
        <v>-0.11515436121492893</v>
      </c>
      <c r="P13" s="19">
        <f>(H13-Settings!$D$20)/Settings!$E$20</f>
        <v>2.2413138496684537</v>
      </c>
      <c r="Q13" s="19">
        <f>(I13-Settings!$D$21)/Settings!$E$21</f>
        <v>-0.12382207553990197</v>
      </c>
      <c r="R13" s="19">
        <f>(J13-Settings!$D$22)/Settings!$E$22</f>
        <v>-0.10645551909699741</v>
      </c>
      <c r="S13" s="19">
        <f>(K13-Settings!$D$23)/Settings!$E$23</f>
        <v>0.74067558780978027</v>
      </c>
      <c r="T13" s="19">
        <f>(L13-Settings!$D$24)/Settings!$E$24</f>
        <v>0.29899887874979786</v>
      </c>
      <c r="U13" s="19">
        <f>(M13-Settings!$D$25)/Settings!$E$25</f>
        <v>-1.73261127816003</v>
      </c>
      <c r="V13" s="31">
        <f>Settings!$B$18*(N13-F$6)^2</f>
        <v>6.9030159461005838E-2</v>
      </c>
      <c r="W13" s="31">
        <f>Settings!$B$19*(O13-G$6)^2</f>
        <v>5.1673515593292862E-2</v>
      </c>
      <c r="X13" s="31">
        <f>Settings!$B$20*(P13-H$6)^2</f>
        <v>1.0018936022018293E-2</v>
      </c>
      <c r="Y13" s="31">
        <f>Settings!$B$21*(Q13-I$6)^2</f>
        <v>5.1037988690979435E-3</v>
      </c>
      <c r="Z13" s="31">
        <f>Settings!$B$22*(R13-J$6)^2</f>
        <v>9.2289378588089107E-3</v>
      </c>
      <c r="AA13" s="31">
        <f>Settings!$B$23*(S13-K$6)^2</f>
        <v>0.27096020812441407</v>
      </c>
      <c r="AB13" s="31">
        <f>Settings!$B$24*(T13-L$6)^2</f>
        <v>0.15830716373183701</v>
      </c>
      <c r="AC13" s="31">
        <f>Settings!$B$25*(U13-M$6)^2</f>
        <v>2.2059712860322638E-2</v>
      </c>
      <c r="AD13" s="19">
        <f t="shared" si="0"/>
        <v>0.77225800903635666</v>
      </c>
      <c r="AE13" s="15">
        <f t="shared" si="1"/>
        <v>0.30567372069924698</v>
      </c>
      <c r="AF13" s="33">
        <f t="shared" si="2"/>
        <v>0.95435628607905154</v>
      </c>
      <c r="AG13" s="47">
        <f t="shared" si="3"/>
        <v>4.1162845422283E-3</v>
      </c>
      <c r="AH13" s="18">
        <v>-1.4775353045881481</v>
      </c>
      <c r="AI13" s="46">
        <v>1</v>
      </c>
      <c r="AJ13" s="18">
        <v>0.85145490752728226</v>
      </c>
      <c r="AK13" s="46">
        <v>1</v>
      </c>
      <c r="AL13" s="18">
        <v>0.44090580216841557</v>
      </c>
      <c r="AM13" s="46">
        <v>1</v>
      </c>
    </row>
    <row r="14" spans="1:39" ht="20" customHeight="1" x14ac:dyDescent="0.45">
      <c r="A14" s="26">
        <v>4</v>
      </c>
      <c r="B14" s="16" t="s">
        <v>528</v>
      </c>
      <c r="C14" s="16" t="s">
        <v>271</v>
      </c>
      <c r="D14" s="46">
        <v>28</v>
      </c>
      <c r="E14" s="46">
        <v>0</v>
      </c>
      <c r="F14" s="13">
        <v>0.20704536368974219</v>
      </c>
      <c r="G14" s="13">
        <v>4.4304588578561253E-2</v>
      </c>
      <c r="H14" s="13">
        <v>0.15519848220117011</v>
      </c>
      <c r="I14" s="13">
        <v>-6.2323107953488216E-6</v>
      </c>
      <c r="J14" s="13">
        <v>0.59344533321973114</v>
      </c>
      <c r="K14" s="13">
        <v>16.637195121951219</v>
      </c>
      <c r="L14" s="13">
        <v>2.8411032560144749</v>
      </c>
      <c r="M14" s="13">
        <v>-1.66768208551315</v>
      </c>
      <c r="N14" s="19">
        <f>(F14-Settings!$D$18)/Settings!$E$18</f>
        <v>5.2692381910527782E-2</v>
      </c>
      <c r="O14" s="19">
        <f>(G14-Settings!$D$19)/Settings!$E$19</f>
        <v>0.21224954971856191</v>
      </c>
      <c r="P14" s="19">
        <f>(H14-Settings!$D$20)/Settings!$E$20</f>
        <v>0.92478548235179592</v>
      </c>
      <c r="Q14" s="19">
        <f>(I14-Settings!$D$21)/Settings!$E$21</f>
        <v>3.6132483770085558E-2</v>
      </c>
      <c r="R14" s="19">
        <f>(J14-Settings!$D$22)/Settings!$E$22</f>
        <v>0.92981030188882585</v>
      </c>
      <c r="S14" s="19">
        <f>(K14-Settings!$D$23)/Settings!$E$23</f>
        <v>0.4799310881615681</v>
      </c>
      <c r="T14" s="19">
        <f>(L14-Settings!$D$24)/Settings!$E$24</f>
        <v>1.0597329127920143</v>
      </c>
      <c r="U14" s="19">
        <f>(M14-Settings!$D$25)/Settings!$E$25</f>
        <v>-1.0887331142689787</v>
      </c>
      <c r="V14" s="31">
        <f>Settings!$B$18*(N14-F$6)^2</f>
        <v>1.3540654781247056E-2</v>
      </c>
      <c r="W14" s="31">
        <f>Settings!$B$19*(O14-G$6)^2</f>
        <v>0.13967977392275613</v>
      </c>
      <c r="X14" s="31">
        <f>Settings!$B$20*(P14-H$6)^2</f>
        <v>0.23880301069578685</v>
      </c>
      <c r="Y14" s="31">
        <f>Settings!$B$21*(Q14-I$6)^2</f>
        <v>8.6446941903705977E-9</v>
      </c>
      <c r="Z14" s="31">
        <f>Settings!$B$22*(R14-J$6)^2</f>
        <v>0.13495689822486731</v>
      </c>
      <c r="AA14" s="31">
        <f>Settings!$B$23*(S14-K$6)^2</f>
        <v>6.7492861801129345E-2</v>
      </c>
      <c r="AB14" s="31">
        <f>Settings!$B$24*(T14-L$6)^2</f>
        <v>0.13166426355352923</v>
      </c>
      <c r="AC14" s="31">
        <f>Settings!$B$25*(U14-M$6)^2</f>
        <v>0.24537463279155405</v>
      </c>
      <c r="AD14" s="19">
        <f t="shared" si="0"/>
        <v>0.985653135953802</v>
      </c>
      <c r="AE14" s="15">
        <f t="shared" si="1"/>
        <v>0.39013938069976711</v>
      </c>
      <c r="AF14" s="33">
        <f t="shared" si="2"/>
        <v>0.92671948148037686</v>
      </c>
      <c r="AG14" s="47">
        <f t="shared" si="3"/>
        <v>3.9970827795056032E-3</v>
      </c>
      <c r="AH14" s="18">
        <v>-1.3340365973595161</v>
      </c>
      <c r="AI14" s="46">
        <v>1</v>
      </c>
      <c r="AJ14" s="18">
        <v>0.73354142478462236</v>
      </c>
      <c r="AK14" s="46">
        <v>1</v>
      </c>
      <c r="AL14" s="18">
        <v>0.45007291744236078</v>
      </c>
      <c r="AM14" s="46">
        <v>1</v>
      </c>
    </row>
    <row r="15" spans="1:39" ht="20" customHeight="1" x14ac:dyDescent="0.45">
      <c r="A15" s="26">
        <v>5</v>
      </c>
      <c r="B15" s="16" t="s">
        <v>303</v>
      </c>
      <c r="C15" s="16" t="s">
        <v>246</v>
      </c>
      <c r="D15" s="46">
        <v>28</v>
      </c>
      <c r="E15" s="46">
        <v>1</v>
      </c>
      <c r="F15" s="13">
        <v>0.3113486597086888</v>
      </c>
      <c r="G15" s="13">
        <v>-2.6187207864159019E-2</v>
      </c>
      <c r="H15" s="13">
        <v>0.23742787458495429</v>
      </c>
      <c r="I15" s="13">
        <v>2.0048376870061878E-3</v>
      </c>
      <c r="J15" s="13">
        <v>0.42303142015519168</v>
      </c>
      <c r="K15" s="13">
        <v>16.386217948717949</v>
      </c>
      <c r="L15" s="13">
        <v>3.576710268951123</v>
      </c>
      <c r="M15" s="13">
        <v>-1.7310284467453041</v>
      </c>
      <c r="N15" s="19">
        <f>(F15-Settings!$D$18)/Settings!$E$18</f>
        <v>0.42598737626718103</v>
      </c>
      <c r="O15" s="19">
        <f>(G15-Settings!$D$19)/Settings!$E$19</f>
        <v>-8.1428258884693933E-2</v>
      </c>
      <c r="P15" s="19">
        <f>(H15-Settings!$D$20)/Settings!$E$20</f>
        <v>1.6697995899105706</v>
      </c>
      <c r="Q15" s="19">
        <f>(I15-Settings!$D$21)/Settings!$E$21</f>
        <v>6.086323002782696E-2</v>
      </c>
      <c r="R15" s="19">
        <f>(J15-Settings!$D$22)/Settings!$E$22</f>
        <v>0.4713036456019849</v>
      </c>
      <c r="S15" s="19">
        <f>(K15-Settings!$D$23)/Settings!$E$23</f>
        <v>0.39277248868131565</v>
      </c>
      <c r="T15" s="19">
        <f>(L15-Settings!$D$24)/Settings!$E$24</f>
        <v>1.5682982773489293</v>
      </c>
      <c r="U15" s="19">
        <f>(M15-Settings!$D$25)/Settings!$E$25</f>
        <v>-1.1314546058042145</v>
      </c>
      <c r="V15" s="31">
        <f>Settings!$B$18*(N15-F$6)^2</f>
        <v>2.5581621463081228E-3</v>
      </c>
      <c r="W15" s="31">
        <f>Settings!$B$19*(O15-G$6)^2</f>
        <v>5.875817930384189E-2</v>
      </c>
      <c r="X15" s="31">
        <f>Settings!$B$20*(P15-H$6)^2</f>
        <v>2.4178480957049081E-2</v>
      </c>
      <c r="Y15" s="31">
        <f>Settings!$B$21*(Q15-I$6)^2</f>
        <v>1.2438724088689466E-4</v>
      </c>
      <c r="Z15" s="31">
        <f>Settings!$B$22*(R15-J$6)^2</f>
        <v>2.6345961957345759E-2</v>
      </c>
      <c r="AA15" s="31">
        <f>Settings!$B$23*(S15-K$6)^2</f>
        <v>2.9802941220212785E-2</v>
      </c>
      <c r="AB15" s="31">
        <f>Settings!$B$24*(T15-L$6)^2</f>
        <v>0.75937468263508623</v>
      </c>
      <c r="AC15" s="31">
        <f>Settings!$B$25*(U15-M$6)^2</f>
        <v>0.20487531734460523</v>
      </c>
      <c r="AD15" s="19">
        <f t="shared" si="0"/>
        <v>1.0516739574627376</v>
      </c>
      <c r="AE15" s="15">
        <f t="shared" si="1"/>
        <v>0.41627161878356428</v>
      </c>
      <c r="AF15" s="33">
        <f t="shared" si="2"/>
        <v>0.91700621400124582</v>
      </c>
      <c r="AG15" s="47">
        <f t="shared" si="3"/>
        <v>3.9551879721238204E-3</v>
      </c>
      <c r="AH15" s="18">
        <v>-1.597501435998337</v>
      </c>
      <c r="AI15" s="46">
        <v>1</v>
      </c>
      <c r="AJ15" s="48"/>
      <c r="AK15" s="48"/>
      <c r="AL15" s="48"/>
      <c r="AM15" s="48"/>
    </row>
    <row r="16" spans="1:39" ht="20" customHeight="1" x14ac:dyDescent="0.45">
      <c r="A16" s="26">
        <v>6</v>
      </c>
      <c r="B16" s="16" t="s">
        <v>333</v>
      </c>
      <c r="C16" s="16" t="s">
        <v>271</v>
      </c>
      <c r="D16" s="46">
        <v>28</v>
      </c>
      <c r="E16" s="46">
        <v>0</v>
      </c>
      <c r="F16" s="13">
        <v>0.51620196101938143</v>
      </c>
      <c r="G16" s="13">
        <v>-0.10827535102688179</v>
      </c>
      <c r="H16" s="13">
        <v>4.428790182751105E-2</v>
      </c>
      <c r="I16" s="13">
        <v>-8.3316641486184003E-6</v>
      </c>
      <c r="J16" s="13">
        <v>0.33122645446207721</v>
      </c>
      <c r="K16" s="13">
        <v>15.90754716981132</v>
      </c>
      <c r="L16" s="13">
        <v>2.747227332183253</v>
      </c>
      <c r="M16" s="13">
        <v>-2.1975683712085021</v>
      </c>
      <c r="N16" s="19">
        <f>(F16-Settings!$D$18)/Settings!$E$18</f>
        <v>1.1591445714417798</v>
      </c>
      <c r="O16" s="19">
        <f>(G16-Settings!$D$19)/Settings!$E$19</f>
        <v>-0.42341792595081618</v>
      </c>
      <c r="P16" s="19">
        <f>(H16-Settings!$D$20)/Settings!$E$20</f>
        <v>-8.0085703735214286E-2</v>
      </c>
      <c r="Q16" s="19">
        <f>(I16-Settings!$D$21)/Settings!$E$21</f>
        <v>3.6106667376254516E-2</v>
      </c>
      <c r="R16" s="19">
        <f>(J16-Settings!$D$22)/Settings!$E$22</f>
        <v>0.22429806317318138</v>
      </c>
      <c r="S16" s="19">
        <f>(K16-Settings!$D$23)/Settings!$E$23</f>
        <v>0.22654113718367744</v>
      </c>
      <c r="T16" s="19">
        <f>(L16-Settings!$D$24)/Settings!$E$24</f>
        <v>0.99483135178629534</v>
      </c>
      <c r="U16" s="19">
        <f>(M16-Settings!$D$25)/Settings!$E$25</f>
        <v>-1.446094326951876</v>
      </c>
      <c r="V16" s="31">
        <f>Settings!$B$18*(N16-F$6)^2</f>
        <v>0.14322905197467706</v>
      </c>
      <c r="W16" s="31">
        <f>Settings!$B$19*(O16-G$6)^2</f>
        <v>8.0028118192737221E-3</v>
      </c>
      <c r="X16" s="31">
        <f>Settings!$B$20*(P16-H$6)^2</f>
        <v>0.87996933165374758</v>
      </c>
      <c r="Y16" s="31">
        <f>Settings!$B$21*(Q16-I$6)^2</f>
        <v>6.6310737684716324E-9</v>
      </c>
      <c r="Z16" s="31">
        <f>Settings!$B$22*(R16-J$6)^2</f>
        <v>2.688436779831509E-3</v>
      </c>
      <c r="AA16" s="31">
        <f>Settings!$B$23*(S16-K$6)^2</f>
        <v>4.1010349211678043E-5</v>
      </c>
      <c r="AB16" s="31">
        <f>Settings!$B$24*(T16-L$6)^2</f>
        <v>8.8776672664426029E-2</v>
      </c>
      <c r="AC16" s="31">
        <f>Settings!$B$25*(U16-M$6)^2</f>
        <v>1.9041744003584018E-2</v>
      </c>
      <c r="AD16" s="19">
        <f t="shared" si="0"/>
        <v>1.0685265864150622</v>
      </c>
      <c r="AE16" s="15">
        <f t="shared" si="1"/>
        <v>0.42294219485418211</v>
      </c>
      <c r="AF16" s="33">
        <f t="shared" si="2"/>
        <v>0.91444308425799747</v>
      </c>
      <c r="AG16" s="47">
        <f t="shared" si="3"/>
        <v>3.9441328017479791E-3</v>
      </c>
      <c r="AH16" s="18">
        <v>-0.60654900308433302</v>
      </c>
      <c r="AI16" s="46">
        <v>1</v>
      </c>
      <c r="AJ16" s="18">
        <v>0.54937195868615429</v>
      </c>
      <c r="AK16" s="46">
        <v>1</v>
      </c>
      <c r="AL16" s="18">
        <v>-0.4884074796633322</v>
      </c>
      <c r="AM16" s="46">
        <v>1</v>
      </c>
    </row>
    <row r="17" spans="1:39" ht="20" customHeight="1" x14ac:dyDescent="0.45">
      <c r="A17" s="26">
        <v>7</v>
      </c>
      <c r="B17" s="16" t="s">
        <v>377</v>
      </c>
      <c r="C17" s="16" t="s">
        <v>236</v>
      </c>
      <c r="D17" s="46">
        <v>28</v>
      </c>
      <c r="E17" s="46">
        <v>0</v>
      </c>
      <c r="F17" s="13">
        <v>0.29552313161648308</v>
      </c>
      <c r="G17" s="13">
        <v>-0.1964713616257879</v>
      </c>
      <c r="H17" s="13">
        <v>9.1798728708163399E-2</v>
      </c>
      <c r="I17" s="13">
        <v>-3.0108494320417269E-2</v>
      </c>
      <c r="J17" s="13">
        <v>0.38609828372914828</v>
      </c>
      <c r="K17" s="13">
        <v>17.855555555555579</v>
      </c>
      <c r="L17" s="13">
        <v>1.7583014437487441</v>
      </c>
      <c r="M17" s="13">
        <v>-2.3070126381049718</v>
      </c>
      <c r="N17" s="19">
        <f>(F17-Settings!$D$18)/Settings!$E$18</f>
        <v>0.369348797762453</v>
      </c>
      <c r="O17" s="19">
        <f>(G17-Settings!$D$19)/Settings!$E$19</f>
        <v>-0.79085374724220425</v>
      </c>
      <c r="P17" s="19">
        <f>(H17-Settings!$D$20)/Settings!$E$20</f>
        <v>0.35037152404856875</v>
      </c>
      <c r="Q17" s="19">
        <f>(I17-Settings!$D$21)/Settings!$E$21</f>
        <v>-0.33404428996619845</v>
      </c>
      <c r="R17" s="19">
        <f>(J17-Settings!$D$22)/Settings!$E$22</f>
        <v>0.37193330321405099</v>
      </c>
      <c r="S17" s="19">
        <f>(K17-Settings!$D$23)/Settings!$E$23</f>
        <v>0.9030396429639227</v>
      </c>
      <c r="T17" s="19">
        <f>(L17-Settings!$D$24)/Settings!$E$24</f>
        <v>0.31113279246494652</v>
      </c>
      <c r="U17" s="19">
        <f>(M17-Settings!$D$25)/Settings!$E$25</f>
        <v>-1.519904759482676</v>
      </c>
      <c r="V17" s="31">
        <f>Settings!$B$18*(N17-F$6)^2</f>
        <v>6.3749862305335252E-4</v>
      </c>
      <c r="W17" s="31">
        <f>Settings!$B$19*(O17-G$6)^2</f>
        <v>5.6045973077943553E-3</v>
      </c>
      <c r="X17" s="31">
        <f>Settings!$B$20*(P17-H$6)^2</f>
        <v>0.55586043081800474</v>
      </c>
      <c r="Y17" s="31">
        <f>Settings!$B$21*(Q17-I$6)^2</f>
        <v>2.73753931291374E-2</v>
      </c>
      <c r="Z17" s="31">
        <f>Settings!$B$22*(R17-J$6)^2</f>
        <v>1.3894427036016878E-2</v>
      </c>
      <c r="AA17" s="31">
        <f>Settings!$B$23*(S17-K$6)^2</f>
        <v>0.46635573996886182</v>
      </c>
      <c r="AB17" s="31">
        <f>Settings!$B$24*(T17-L$6)^2</f>
        <v>0.14879875299661116</v>
      </c>
      <c r="AC17" s="31">
        <f>Settings!$B$25*(U17-M$6)^2</f>
        <v>4.1192512494018793E-3</v>
      </c>
      <c r="AD17" s="19">
        <f t="shared" si="0"/>
        <v>1.1057332820933272</v>
      </c>
      <c r="AE17" s="15">
        <f t="shared" si="1"/>
        <v>0.43766927954585338</v>
      </c>
      <c r="AF17" s="33">
        <f t="shared" si="2"/>
        <v>0.90866644519252893</v>
      </c>
      <c r="AG17" s="47">
        <f t="shared" si="3"/>
        <v>3.9192172744568947E-3</v>
      </c>
      <c r="AH17" s="18">
        <v>-9.9361571904635237E-2</v>
      </c>
      <c r="AI17" s="46">
        <v>0</v>
      </c>
      <c r="AJ17" s="18">
        <v>0.25084167674883312</v>
      </c>
      <c r="AK17" s="46">
        <v>1</v>
      </c>
      <c r="AL17" s="18">
        <v>-0.6507067839798466</v>
      </c>
      <c r="AM17" s="46">
        <v>1</v>
      </c>
    </row>
    <row r="18" spans="1:39" ht="20" customHeight="1" x14ac:dyDescent="0.45">
      <c r="A18" s="26">
        <v>8</v>
      </c>
      <c r="B18" s="16" t="s">
        <v>475</v>
      </c>
      <c r="C18" s="16" t="s">
        <v>232</v>
      </c>
      <c r="D18" s="46">
        <v>28</v>
      </c>
      <c r="E18" s="46">
        <v>0</v>
      </c>
      <c r="F18" s="13">
        <v>0.52746965206976915</v>
      </c>
      <c r="G18" s="13">
        <v>0.2067704618584143</v>
      </c>
      <c r="H18" s="13">
        <v>0.10361695130722701</v>
      </c>
      <c r="I18" s="13">
        <v>6.3707522009934638E-4</v>
      </c>
      <c r="J18" s="13">
        <v>0.1615058595444902</v>
      </c>
      <c r="K18" s="13">
        <v>16.021303258145391</v>
      </c>
      <c r="L18" s="13">
        <v>2.1357915791872051</v>
      </c>
      <c r="M18" s="13">
        <v>-1.801206979465326</v>
      </c>
      <c r="N18" s="19">
        <f>(F18-Settings!$D$18)/Settings!$E$18</f>
        <v>1.1994709353018724</v>
      </c>
      <c r="O18" s="19">
        <f>(G18-Settings!$D$19)/Settings!$E$19</f>
        <v>0.88910308509996605</v>
      </c>
      <c r="P18" s="19">
        <f>(H18-Settings!$D$20)/Settings!$E$20</f>
        <v>0.45744689341866557</v>
      </c>
      <c r="Q18" s="19">
        <f>(I18-Settings!$D$21)/Settings!$E$21</f>
        <v>4.4043434323593283E-2</v>
      </c>
      <c r="R18" s="19">
        <f>(J18-Settings!$D$22)/Settings!$E$22</f>
        <v>-0.23234318799746015</v>
      </c>
      <c r="S18" s="19">
        <f>(K18-Settings!$D$23)/Settings!$E$23</f>
        <v>0.26604601013215956</v>
      </c>
      <c r="T18" s="19">
        <f>(L18-Settings!$D$24)/Settings!$E$24</f>
        <v>0.57211237119339686</v>
      </c>
      <c r="U18" s="19">
        <f>(M18-Settings!$D$25)/Settings!$E$25</f>
        <v>-1.1787837898841966</v>
      </c>
      <c r="V18" s="31">
        <f>Settings!$B$18*(N18-F$6)^2</f>
        <v>0.1572048283303312</v>
      </c>
      <c r="W18" s="31">
        <f>Settings!$B$19*(O18-G$6)^2</f>
        <v>0.45756522483151407</v>
      </c>
      <c r="X18" s="31">
        <f>Settings!$B$20*(P18-H$6)^2</f>
        <v>0.4867502940907345</v>
      </c>
      <c r="Y18" s="31">
        <f>Settings!$B$21*(Q18-I$6)^2</f>
        <v>1.3183155148385857E-5</v>
      </c>
      <c r="Z18" s="31">
        <f>Settings!$B$22*(R18-J$6)^2</f>
        <v>2.3215409562180302E-2</v>
      </c>
      <c r="AA18" s="31">
        <f>Settings!$B$23*(S18-K$6)^2</f>
        <v>2.1076184015560448E-3</v>
      </c>
      <c r="AB18" s="31">
        <f>Settings!$B$24*(T18-L$6)^2</f>
        <v>1.5566264141168913E-2</v>
      </c>
      <c r="AC18" s="31">
        <f>Settings!$B$25*(U18-M$6)^2</f>
        <v>0.16427000539301995</v>
      </c>
      <c r="AD18" s="19">
        <f t="shared" si="0"/>
        <v>1.1431066563998538</v>
      </c>
      <c r="AE18" s="15">
        <f t="shared" si="1"/>
        <v>0.45246233866040608</v>
      </c>
      <c r="AF18" s="33">
        <f t="shared" si="2"/>
        <v>0.90270354105080808</v>
      </c>
      <c r="AG18" s="47">
        <f t="shared" si="3"/>
        <v>3.8934983574199496E-3</v>
      </c>
      <c r="AH18" s="18">
        <v>-1.2278803543034611</v>
      </c>
      <c r="AI18" s="46">
        <v>0</v>
      </c>
      <c r="AJ18" s="18">
        <v>0.77822996100904296</v>
      </c>
      <c r="AK18" s="46">
        <v>0</v>
      </c>
      <c r="AL18" s="18">
        <v>0.43133772455624692</v>
      </c>
      <c r="AM18" s="46">
        <v>0</v>
      </c>
    </row>
    <row r="19" spans="1:39" ht="20" customHeight="1" x14ac:dyDescent="0.45">
      <c r="A19" s="26">
        <v>9</v>
      </c>
      <c r="B19" s="16" t="s">
        <v>502</v>
      </c>
      <c r="C19" s="16" t="s">
        <v>258</v>
      </c>
      <c r="D19" s="46">
        <v>28</v>
      </c>
      <c r="E19" s="46">
        <v>0</v>
      </c>
      <c r="F19" s="13">
        <v>0.16457341286030139</v>
      </c>
      <c r="G19" s="13">
        <v>0.20698677922585071</v>
      </c>
      <c r="H19" s="13">
        <v>0.20665498717932729</v>
      </c>
      <c r="I19" s="13">
        <v>1.952282780625466E-5</v>
      </c>
      <c r="J19" s="13">
        <v>0.4217652979067143</v>
      </c>
      <c r="K19" s="13">
        <v>16.441145833333358</v>
      </c>
      <c r="L19" s="13">
        <v>2.871890110294689</v>
      </c>
      <c r="M19" s="13">
        <v>-1.318885520996975</v>
      </c>
      <c r="N19" s="19">
        <f>(F19-Settings!$D$18)/Settings!$E$18</f>
        <v>-9.9312082476793101E-2</v>
      </c>
      <c r="O19" s="19">
        <f>(G19-Settings!$D$19)/Settings!$E$19</f>
        <v>0.89000429082371535</v>
      </c>
      <c r="P19" s="19">
        <f>(H19-Settings!$D$20)/Settings!$E$20</f>
        <v>1.3909913124456508</v>
      </c>
      <c r="Q19" s="19">
        <f>(I19-Settings!$D$21)/Settings!$E$21</f>
        <v>3.6449202630336824E-2</v>
      </c>
      <c r="R19" s="19">
        <f>(J19-Settings!$D$22)/Settings!$E$22</f>
        <v>0.46789708408268055</v>
      </c>
      <c r="S19" s="19">
        <f>(K19-Settings!$D$23)/Settings!$E$23</f>
        <v>0.41184767959934515</v>
      </c>
      <c r="T19" s="19">
        <f>(L19-Settings!$D$24)/Settings!$E$24</f>
        <v>1.0810175491470597</v>
      </c>
      <c r="U19" s="19">
        <f>(M19-Settings!$D$25)/Settings!$E$25</f>
        <v>-0.85350082643658209</v>
      </c>
      <c r="V19" s="31">
        <f>Settings!$B$18*(N19-F$6)^2</f>
        <v>3.3982261365342582E-2</v>
      </c>
      <c r="W19" s="31">
        <f>Settings!$B$19*(O19-G$6)^2</f>
        <v>0.45811063697187038</v>
      </c>
      <c r="X19" s="31">
        <f>Settings!$B$20*(P19-H$6)^2</f>
        <v>7.8501484590458484E-2</v>
      </c>
      <c r="Y19" s="31">
        <f>Settings!$B$21*(Q19-I$6)^2</f>
        <v>5.5045525149547921E-8</v>
      </c>
      <c r="Z19" s="31">
        <f>Settings!$B$22*(R19-J$6)^2</f>
        <v>2.5853723718342315E-2</v>
      </c>
      <c r="AA19" s="31">
        <f>Settings!$B$23*(S19-K$6)^2</f>
        <v>3.6752906124947866E-2</v>
      </c>
      <c r="AB19" s="31">
        <f>Settings!$B$24*(T19-L$6)^2</f>
        <v>0.14756380281179143</v>
      </c>
      <c r="AC19" s="31">
        <f>Settings!$B$25*(U19-M$6)^2</f>
        <v>0.53375491911175754</v>
      </c>
      <c r="AD19" s="19">
        <f t="shared" si="0"/>
        <v>1.1465250933756468</v>
      </c>
      <c r="AE19" s="15">
        <f t="shared" si="1"/>
        <v>0.45381541799029279</v>
      </c>
      <c r="AF19" s="33">
        <f t="shared" si="2"/>
        <v>0.90215023349898371</v>
      </c>
      <c r="AG19" s="47">
        <f t="shared" si="3"/>
        <v>3.8911118573718068E-3</v>
      </c>
      <c r="AH19" s="18">
        <v>-2.4999716927335869</v>
      </c>
      <c r="AI19" s="46">
        <v>0</v>
      </c>
      <c r="AJ19" s="18">
        <v>-1.5545725925823779</v>
      </c>
      <c r="AK19" s="46">
        <v>0</v>
      </c>
      <c r="AL19" s="18">
        <v>0.64254015481901583</v>
      </c>
      <c r="AM19" s="46">
        <v>0</v>
      </c>
    </row>
    <row r="20" spans="1:39" ht="20" customHeight="1" x14ac:dyDescent="0.45">
      <c r="A20" s="26">
        <v>10</v>
      </c>
      <c r="B20" s="16" t="s">
        <v>484</v>
      </c>
      <c r="C20" s="16" t="s">
        <v>210</v>
      </c>
      <c r="D20" s="46">
        <v>28</v>
      </c>
      <c r="E20" s="46">
        <v>0</v>
      </c>
      <c r="F20" s="13">
        <v>0.1196364071689444</v>
      </c>
      <c r="G20" s="13">
        <v>-0.15225326639370329</v>
      </c>
      <c r="H20" s="13">
        <v>0.23075549176233201</v>
      </c>
      <c r="I20" s="13">
        <v>1.7309461150528019E-2</v>
      </c>
      <c r="J20" s="13">
        <v>0.48004537352449239</v>
      </c>
      <c r="K20" s="13">
        <v>18.635623409669162</v>
      </c>
      <c r="L20" s="13">
        <v>2.2118082036886819</v>
      </c>
      <c r="M20" s="13">
        <v>-1.4780001695825149</v>
      </c>
      <c r="N20" s="19">
        <f>(F20-Settings!$D$18)/Settings!$E$18</f>
        <v>-0.2601388245474644</v>
      </c>
      <c r="O20" s="19">
        <f>(G20-Settings!$D$19)/Settings!$E$19</f>
        <v>-0.60663552663094977</v>
      </c>
      <c r="P20" s="19">
        <f>(H20-Settings!$D$20)/Settings!$E$20</f>
        <v>1.6093465184506053</v>
      </c>
      <c r="Q20" s="19">
        <f>(I20-Settings!$D$21)/Settings!$E$21</f>
        <v>0.24906889162110668</v>
      </c>
      <c r="R20" s="19">
        <f>(J20-Settings!$D$22)/Settings!$E$22</f>
        <v>0.62470237139235896</v>
      </c>
      <c r="S20" s="19">
        <f>(K20-Settings!$D$23)/Settings!$E$23</f>
        <v>1.1739392661775163</v>
      </c>
      <c r="T20" s="19">
        <f>(L20-Settings!$D$24)/Settings!$E$24</f>
        <v>0.62466682169767596</v>
      </c>
      <c r="U20" s="19">
        <f>(M20-Settings!$D$25)/Settings!$E$25</f>
        <v>-0.96080951758250266</v>
      </c>
      <c r="V20" s="31">
        <f>Settings!$B$18*(N20-F$6)^2</f>
        <v>6.5672615285030947E-2</v>
      </c>
      <c r="W20" s="31">
        <f>Settings!$B$19*(O20-G$6)^2</f>
        <v>5.6565957056228618E-5</v>
      </c>
      <c r="X20" s="31">
        <f>Settings!$B$20*(P20-H$6)^2</f>
        <v>3.3317108576968429E-2</v>
      </c>
      <c r="Y20" s="31">
        <f>Settings!$B$21*(Q20-I$6)^2</f>
        <v>9.0860994113997444E-3</v>
      </c>
      <c r="Z20" s="31">
        <f>Settings!$B$22*(R20-J$6)^2</f>
        <v>5.332237826335337E-2</v>
      </c>
      <c r="AA20" s="31">
        <f>Settings!$B$23*(S20-K$6)^2</f>
        <v>0.90973837217435305</v>
      </c>
      <c r="AB20" s="31">
        <f>Settings!$B$24*(T20-L$6)^2</f>
        <v>5.2143396802942325E-3</v>
      </c>
      <c r="AC20" s="31">
        <f>Settings!$B$25*(U20-M$6)^2</f>
        <v>0.38847376402017292</v>
      </c>
      <c r="AD20" s="19">
        <f t="shared" si="0"/>
        <v>1.2103227847845504</v>
      </c>
      <c r="AE20" s="15">
        <f t="shared" si="1"/>
        <v>0.47906770087605544</v>
      </c>
      <c r="AF20" s="33">
        <f t="shared" si="2"/>
        <v>0.89158640004664724</v>
      </c>
      <c r="AG20" s="47">
        <f t="shared" si="3"/>
        <v>3.8455484289323309E-3</v>
      </c>
      <c r="AH20" s="18">
        <v>-6.1569737830988291E-2</v>
      </c>
      <c r="AI20" s="46">
        <v>0</v>
      </c>
      <c r="AJ20" s="18">
        <v>0.1238660788417469</v>
      </c>
      <c r="AK20" s="46">
        <v>0</v>
      </c>
      <c r="AL20" s="18">
        <v>0.58595714102500773</v>
      </c>
      <c r="AM20" s="46">
        <v>0</v>
      </c>
    </row>
    <row r="21" spans="1:39" ht="20" customHeight="1" x14ac:dyDescent="0.45">
      <c r="A21" s="26">
        <v>11</v>
      </c>
      <c r="B21" s="16" t="s">
        <v>479</v>
      </c>
      <c r="C21" s="16" t="s">
        <v>236</v>
      </c>
      <c r="D21" s="46">
        <v>28</v>
      </c>
      <c r="E21" s="46">
        <v>0</v>
      </c>
      <c r="F21" s="13">
        <v>0.34960626401294209</v>
      </c>
      <c r="G21" s="13">
        <v>3.6516267670048251E-2</v>
      </c>
      <c r="H21" s="13">
        <v>3.7793507250225518E-2</v>
      </c>
      <c r="I21" s="13">
        <v>2.1503897088517521E-2</v>
      </c>
      <c r="J21" s="13">
        <v>0.55458006397826654</v>
      </c>
      <c r="K21" s="13">
        <v>15.3143149284254</v>
      </c>
      <c r="L21" s="13">
        <v>2.6337572562371738</v>
      </c>
      <c r="M21" s="13">
        <v>-1.695685678818968</v>
      </c>
      <c r="N21" s="19">
        <f>(F21-Settings!$D$18)/Settings!$E$18</f>
        <v>0.56290895715625577</v>
      </c>
      <c r="O21" s="19">
        <f>(G21-Settings!$D$19)/Settings!$E$19</f>
        <v>0.17980241214320475</v>
      </c>
      <c r="P21" s="19">
        <f>(H21-Settings!$D$20)/Settings!$E$20</f>
        <v>-0.13892616746561481</v>
      </c>
      <c r="Q21" s="19">
        <f>(I21-Settings!$D$21)/Settings!$E$21</f>
        <v>0.30064916032889272</v>
      </c>
      <c r="R21" s="19">
        <f>(J21-Settings!$D$22)/Settings!$E$22</f>
        <v>0.82524146519505825</v>
      </c>
      <c r="S21" s="19">
        <f>(K21-Settings!$D$23)/Settings!$E$23</f>
        <v>2.0525224821518313E-2</v>
      </c>
      <c r="T21" s="19">
        <f>(L21-Settings!$D$24)/Settings!$E$24</f>
        <v>0.91638328165514715</v>
      </c>
      <c r="U21" s="19">
        <f>(M21-Settings!$D$25)/Settings!$E$25</f>
        <v>-1.1076190494845193</v>
      </c>
      <c r="V21" s="31">
        <f>Settings!$B$18*(N21-F$6)^2</f>
        <v>1.2501804802614404E-2</v>
      </c>
      <c r="W21" s="31">
        <f>Settings!$B$19*(O21-G$6)^2</f>
        <v>0.12904387411264759</v>
      </c>
      <c r="X21" s="31">
        <f>Settings!$B$20*(P21-H$6)^2</f>
        <v>0.93003083059280256</v>
      </c>
      <c r="Y21" s="31">
        <f>Settings!$B$21*(Q21-I$6)^2</f>
        <v>1.4015820557033916E-2</v>
      </c>
      <c r="Z21" s="31">
        <f>Settings!$B$22*(R21-J$6)^2</f>
        <v>0.10278448645320085</v>
      </c>
      <c r="AA21" s="31">
        <f>Settings!$B$23*(S21-K$6)^2</f>
        <v>3.9844942574713729E-2</v>
      </c>
      <c r="AB21" s="31">
        <f>Settings!$B$24*(T21-L$6)^2</f>
        <v>4.8182917008755072E-2</v>
      </c>
      <c r="AC21" s="31">
        <f>Settings!$B$25*(U21-M$6)^2</f>
        <v>0.22702090055111604</v>
      </c>
      <c r="AD21" s="19">
        <f t="shared" si="0"/>
        <v>1.2261425596776601</v>
      </c>
      <c r="AE21" s="15">
        <f t="shared" si="1"/>
        <v>0.4853294545848133</v>
      </c>
      <c r="AF21" s="33">
        <f t="shared" si="2"/>
        <v>0.88889839641759005</v>
      </c>
      <c r="AG21" s="47">
        <f t="shared" si="3"/>
        <v>3.8339546583991057E-3</v>
      </c>
      <c r="AH21" s="18">
        <v>-0.77669176358083591</v>
      </c>
      <c r="AI21" s="46">
        <v>0</v>
      </c>
      <c r="AJ21" s="18">
        <v>-0.23783375008886851</v>
      </c>
      <c r="AK21" s="46">
        <v>1</v>
      </c>
      <c r="AL21" s="18">
        <v>-1.079411632053155</v>
      </c>
      <c r="AM21" s="46">
        <v>1</v>
      </c>
    </row>
    <row r="22" spans="1:39" ht="20" customHeight="1" x14ac:dyDescent="0.45">
      <c r="A22" s="26">
        <v>12</v>
      </c>
      <c r="B22" s="16" t="s">
        <v>742</v>
      </c>
      <c r="C22" s="16" t="s">
        <v>246</v>
      </c>
      <c r="D22" s="46">
        <v>28</v>
      </c>
      <c r="E22" s="46">
        <v>1</v>
      </c>
      <c r="F22" s="13">
        <v>0.17946268408532151</v>
      </c>
      <c r="G22" s="13">
        <v>4.4868627356706332E-2</v>
      </c>
      <c r="H22" s="13">
        <v>0.15165581038237849</v>
      </c>
      <c r="I22" s="13">
        <v>-4.5015514295770549E-6</v>
      </c>
      <c r="J22" s="13">
        <v>0.62400837662416409</v>
      </c>
      <c r="K22" s="13">
        <v>14.950120772946811</v>
      </c>
      <c r="L22" s="13">
        <v>2.1714937775740362</v>
      </c>
      <c r="M22" s="13">
        <v>-1.0604410019767621</v>
      </c>
      <c r="N22" s="19">
        <f>(F22-Settings!$D$18)/Settings!$E$18</f>
        <v>-4.6024308935016016E-2</v>
      </c>
      <c r="O22" s="19">
        <f>(G22-Settings!$D$19)/Settings!$E$19</f>
        <v>0.21459940715860465</v>
      </c>
      <c r="P22" s="19">
        <f>(H22-Settings!$D$20)/Settings!$E$20</f>
        <v>0.89268819442423553</v>
      </c>
      <c r="Q22" s="19">
        <f>(I22-Settings!$D$21)/Settings!$E$21</f>
        <v>3.6153767450293063E-2</v>
      </c>
      <c r="R22" s="19">
        <f>(J22-Settings!$D$22)/Settings!$E$22</f>
        <v>1.0120416090944118</v>
      </c>
      <c r="S22" s="19">
        <f>(K22-Settings!$D$23)/Settings!$E$23</f>
        <v>-0.10595102846269583</v>
      </c>
      <c r="T22" s="19">
        <f>(L22-Settings!$D$24)/Settings!$E$24</f>
        <v>0.59679525379071896</v>
      </c>
      <c r="U22" s="19">
        <f>(M22-Settings!$D$25)/Settings!$E$25</f>
        <v>-0.67920296438281524</v>
      </c>
      <c r="V22" s="31">
        <f>Settings!$B$18*(N22-F$6)^2</f>
        <v>2.5764026845268819E-2</v>
      </c>
      <c r="W22" s="31">
        <f>Settings!$B$19*(O22-G$6)^2</f>
        <v>0.14046639109676501</v>
      </c>
      <c r="X22" s="31">
        <f>Settings!$B$20*(P22-H$6)^2</f>
        <v>0.25303826833839649</v>
      </c>
      <c r="Y22" s="31">
        <f>Settings!$B$21*(Q22-I$6)^2</f>
        <v>1.0505265767833708E-8</v>
      </c>
      <c r="Z22" s="31">
        <f>Settings!$B$22*(R22-J$6)^2</f>
        <v>0.1633289465879903</v>
      </c>
      <c r="AA22" s="31">
        <f>Settings!$B$23*(S22-K$6)^2</f>
        <v>0.10633353591124006</v>
      </c>
      <c r="AB22" s="31">
        <f>Settings!$B$24*(T22-L$6)^2</f>
        <v>1.0016397267797015E-2</v>
      </c>
      <c r="AC22" s="31">
        <f>Settings!$B$25*(U22-M$6)^2</f>
        <v>0.81881358469765742</v>
      </c>
      <c r="AD22" s="19">
        <f t="shared" si="0"/>
        <v>1.2319744969967441</v>
      </c>
      <c r="AE22" s="15">
        <f t="shared" si="1"/>
        <v>0.48763784110635122</v>
      </c>
      <c r="AF22" s="33">
        <f t="shared" si="2"/>
        <v>0.88790073065713904</v>
      </c>
      <c r="AG22" s="47">
        <f t="shared" si="3"/>
        <v>3.8296515734737397E-3</v>
      </c>
      <c r="AH22" s="18">
        <v>-0.10547439556733849</v>
      </c>
      <c r="AI22" s="46">
        <v>1</v>
      </c>
      <c r="AJ22" s="48"/>
      <c r="AK22" s="48"/>
      <c r="AL22" s="48"/>
      <c r="AM22" s="48"/>
    </row>
    <row r="23" spans="1:39" ht="20" customHeight="1" x14ac:dyDescent="0.45">
      <c r="A23" s="26">
        <v>13</v>
      </c>
      <c r="B23" s="16" t="s">
        <v>244</v>
      </c>
      <c r="C23" s="16" t="s">
        <v>224</v>
      </c>
      <c r="D23" s="46">
        <v>28</v>
      </c>
      <c r="E23" s="46">
        <v>0</v>
      </c>
      <c r="F23" s="13">
        <v>0.30090382769433371</v>
      </c>
      <c r="G23" s="13">
        <v>-0.20536284853497361</v>
      </c>
      <c r="H23" s="13">
        <v>0.1327455666426543</v>
      </c>
      <c r="I23" s="13">
        <v>2.763342532406507E-2</v>
      </c>
      <c r="J23" s="13">
        <v>0.33335433180397339</v>
      </c>
      <c r="K23" s="13">
        <v>18.95778508771928</v>
      </c>
      <c r="L23" s="13">
        <v>2.3282058114242319</v>
      </c>
      <c r="M23" s="13">
        <v>-2.2266301378997801</v>
      </c>
      <c r="N23" s="19">
        <f>(F23-Settings!$D$18)/Settings!$E$18</f>
        <v>0.38860597360137628</v>
      </c>
      <c r="O23" s="19">
        <f>(G23-Settings!$D$19)/Settings!$E$19</f>
        <v>-0.82789681498181011</v>
      </c>
      <c r="P23" s="19">
        <f>(H23-Settings!$D$20)/Settings!$E$20</f>
        <v>0.72135774973706557</v>
      </c>
      <c r="Q23" s="19">
        <f>(I23-Settings!$D$21)/Settings!$E$21</f>
        <v>0.37602585414795459</v>
      </c>
      <c r="R23" s="19">
        <f>(J23-Settings!$D$22)/Settings!$E$22</f>
        <v>0.23002321734326284</v>
      </c>
      <c r="S23" s="19">
        <f>(K23-Settings!$D$23)/Settings!$E$23</f>
        <v>1.2858186068494994</v>
      </c>
      <c r="T23" s="19">
        <f>(L23-Settings!$D$24)/Settings!$E$24</f>
        <v>0.70513885468613913</v>
      </c>
      <c r="U23" s="19">
        <f>(M23-Settings!$D$25)/Settings!$E$25</f>
        <v>-1.4656939060839798</v>
      </c>
      <c r="V23" s="31">
        <f>Settings!$B$18*(N23-F$6)^2</f>
        <v>1.146554177848763E-3</v>
      </c>
      <c r="W23" s="31">
        <f>Settings!$B$19*(O23-G$6)^2</f>
        <v>8.3594489230544126E-3</v>
      </c>
      <c r="X23" s="31">
        <f>Settings!$B$20*(P23-H$6)^2</f>
        <v>0.33599458288316741</v>
      </c>
      <c r="Y23" s="31">
        <f>Settings!$B$21*(Q23-I$6)^2</f>
        <v>2.3133775169645789E-2</v>
      </c>
      <c r="Z23" s="31">
        <f>Settings!$B$22*(R23-J$6)^2</f>
        <v>2.9605029982364755E-3</v>
      </c>
      <c r="AA23" s="31">
        <f>Settings!$B$23*(S23-K$6)^2</f>
        <v>1.1356768505472097</v>
      </c>
      <c r="AB23" s="31">
        <f>Settings!$B$24*(T23-L$6)^2</f>
        <v>6.8254829951287086E-5</v>
      </c>
      <c r="AC23" s="31">
        <f>Settings!$B$25*(U23-M$6)^2</f>
        <v>1.4016724084770676E-2</v>
      </c>
      <c r="AD23" s="19">
        <f t="shared" si="0"/>
        <v>1.2334328897892599</v>
      </c>
      <c r="AE23" s="15">
        <f t="shared" si="1"/>
        <v>0.48821509941369534</v>
      </c>
      <c r="AF23" s="33">
        <f t="shared" si="2"/>
        <v>0.88765068010132953</v>
      </c>
      <c r="AG23" s="47">
        <f t="shared" si="3"/>
        <v>3.828573067204469E-3</v>
      </c>
      <c r="AH23" s="18">
        <v>-1.120076877821065</v>
      </c>
      <c r="AI23" s="46">
        <v>0</v>
      </c>
      <c r="AJ23" s="18">
        <v>0.8940344523543089</v>
      </c>
      <c r="AK23" s="46">
        <v>0</v>
      </c>
      <c r="AL23" s="18">
        <v>-0.37673917146540509</v>
      </c>
      <c r="AM23" s="46">
        <v>1</v>
      </c>
    </row>
    <row r="24" spans="1:39" ht="20" customHeight="1" x14ac:dyDescent="0.45">
      <c r="A24" s="26">
        <v>14</v>
      </c>
      <c r="B24" s="16" t="s">
        <v>294</v>
      </c>
      <c r="C24" s="16" t="s">
        <v>224</v>
      </c>
      <c r="D24" s="46">
        <v>28</v>
      </c>
      <c r="E24" s="46">
        <v>0</v>
      </c>
      <c r="F24" s="13">
        <v>0.23616734438936371</v>
      </c>
      <c r="G24" s="13">
        <v>-8.6111051680552803E-2</v>
      </c>
      <c r="H24" s="13">
        <v>0.38052677820890202</v>
      </c>
      <c r="I24" s="13">
        <v>3.0023727543423279E-2</v>
      </c>
      <c r="J24" s="13">
        <v>0.26717109817775819</v>
      </c>
      <c r="K24" s="13">
        <v>17.541820040899751</v>
      </c>
      <c r="L24" s="13">
        <v>2.2164963313903008</v>
      </c>
      <c r="M24" s="13">
        <v>-0.90686919662218113</v>
      </c>
      <c r="N24" s="19">
        <f>(F24-Settings!$D$18)/Settings!$E$18</f>
        <v>0.15691813541830815</v>
      </c>
      <c r="O24" s="19">
        <f>(G24-Settings!$D$19)/Settings!$E$19</f>
        <v>-0.33107862989463399</v>
      </c>
      <c r="P24" s="19">
        <f>(H24-Settings!$D$20)/Settings!$E$20</f>
        <v>2.9663031744008581</v>
      </c>
      <c r="Q24" s="19">
        <f>(I24-Settings!$D$21)/Settings!$E$21</f>
        <v>0.40542013566519974</v>
      </c>
      <c r="R24" s="19">
        <f>(J24-Settings!$D$22)/Settings!$E$22</f>
        <v>5.1954111326582952E-2</v>
      </c>
      <c r="S24" s="19">
        <f>(K24-Settings!$D$23)/Settings!$E$23</f>
        <v>0.79408651502665517</v>
      </c>
      <c r="T24" s="19">
        <f>(L24-Settings!$D$24)/Settings!$E$24</f>
        <v>0.62790798081080768</v>
      </c>
      <c r="U24" s="19">
        <f>(M24-Settings!$D$25)/Settings!$E$25</f>
        <v>-0.57563242844528506</v>
      </c>
      <c r="V24" s="31">
        <f>Settings!$B$18*(N24-F$6)^2</f>
        <v>4.8655012685119301E-3</v>
      </c>
      <c r="W24" s="31">
        <f>Settings!$B$19*(O24-G$6)^2</f>
        <v>1.7096562716007842E-2</v>
      </c>
      <c r="X24" s="31">
        <f>Settings!$B$20*(P24-H$6)^2</f>
        <v>0.18004722303567464</v>
      </c>
      <c r="Y24" s="31">
        <f>Settings!$B$21*(Q24-I$6)^2</f>
        <v>2.7305392951173416E-2</v>
      </c>
      <c r="Z24" s="31">
        <f>Settings!$B$22*(R24-J$6)^2</f>
        <v>6.3627139787875034E-4</v>
      </c>
      <c r="AA24" s="31">
        <f>Settings!$B$23*(S24-K$6)^2</f>
        <v>0.32941781064126668</v>
      </c>
      <c r="AB24" s="31">
        <f>Settings!$B$24*(T24-L$6)^2</f>
        <v>4.7567540988473194E-3</v>
      </c>
      <c r="AC24" s="31">
        <f>Settings!$B$25*(U24-M$6)^2</f>
        <v>1.0169789141845176</v>
      </c>
      <c r="AD24" s="19">
        <f t="shared" si="0"/>
        <v>1.2574197510353804</v>
      </c>
      <c r="AE24" s="15">
        <f t="shared" si="1"/>
        <v>0.49770953396691864</v>
      </c>
      <c r="AF24" s="33">
        <f t="shared" si="2"/>
        <v>0.88350582857616156</v>
      </c>
      <c r="AG24" s="47">
        <f t="shared" si="3"/>
        <v>3.8106956890054146E-3</v>
      </c>
      <c r="AH24" s="18">
        <v>-0.86760117753990174</v>
      </c>
      <c r="AI24" s="46">
        <v>0</v>
      </c>
      <c r="AJ24" s="18">
        <v>-1.2529523846808219</v>
      </c>
      <c r="AK24" s="46">
        <v>0</v>
      </c>
      <c r="AL24" s="18">
        <v>-1.0186462920842629</v>
      </c>
      <c r="AM24" s="46">
        <v>1</v>
      </c>
    </row>
    <row r="25" spans="1:39" ht="20" customHeight="1" x14ac:dyDescent="0.45">
      <c r="A25" s="26">
        <v>15</v>
      </c>
      <c r="B25" s="16" t="s">
        <v>360</v>
      </c>
      <c r="C25" s="16" t="s">
        <v>214</v>
      </c>
      <c r="D25" s="46">
        <v>28</v>
      </c>
      <c r="E25" s="46">
        <v>1</v>
      </c>
      <c r="F25" s="13">
        <v>0.13771188911723481</v>
      </c>
      <c r="G25" s="13">
        <v>-0.32715514129125117</v>
      </c>
      <c r="H25" s="13">
        <v>0.19897921333081969</v>
      </c>
      <c r="I25" s="13">
        <v>1.2688657358136859E-4</v>
      </c>
      <c r="J25" s="13">
        <v>0.33602686968711298</v>
      </c>
      <c r="K25" s="13">
        <v>17.133333333333329</v>
      </c>
      <c r="L25" s="13">
        <v>1.182349659563225</v>
      </c>
      <c r="M25" s="13">
        <v>-1.278033056404849</v>
      </c>
      <c r="N25" s="19">
        <f>(F25-Settings!$D$18)/Settings!$E$18</f>
        <v>-0.19544780145021556</v>
      </c>
      <c r="O25" s="19">
        <f>(G25-Settings!$D$19)/Settings!$E$19</f>
        <v>-1.3352990297983052</v>
      </c>
      <c r="P25" s="19">
        <f>(H25-Settings!$D$20)/Settings!$E$20</f>
        <v>1.3214473253409063</v>
      </c>
      <c r="Q25" s="19">
        <f>(I25-Settings!$D$21)/Settings!$E$21</f>
        <v>3.7769487631330124E-2</v>
      </c>
      <c r="R25" s="19">
        <f>(J25-Settings!$D$22)/Settings!$E$22</f>
        <v>0.23721380634249653</v>
      </c>
      <c r="S25" s="19">
        <f>(K25-Settings!$D$23)/Settings!$E$23</f>
        <v>0.65222847718551069</v>
      </c>
      <c r="T25" s="19">
        <f>(L25-Settings!$D$24)/Settings!$E$24</f>
        <v>-8.7054179573532467E-2</v>
      </c>
      <c r="U25" s="19">
        <f>(M25-Settings!$D$25)/Settings!$E$25</f>
        <v>-0.8259494693212166</v>
      </c>
      <c r="V25" s="31">
        <f>Settings!$B$18*(N25-F$6)^2</f>
        <v>5.1681649067349837E-2</v>
      </c>
      <c r="W25" s="31">
        <f>Settings!$B$19*(O25-G$6)^2</f>
        <v>0.10134493392428878</v>
      </c>
      <c r="X25" s="31">
        <f>Settings!$B$20*(P25-H$6)^2</f>
        <v>9.6896595830662097E-2</v>
      </c>
      <c r="Y25" s="31">
        <f>Settings!$B$21*(Q25-I$6)^2</f>
        <v>6.8073593441336416E-7</v>
      </c>
      <c r="Z25" s="31">
        <f>Settings!$B$22*(R25-J$6)^2</f>
        <v>3.3207828040405737E-3</v>
      </c>
      <c r="AA25" s="31">
        <f>Settings!$B$23*(S25-K$6)^2</f>
        <v>0.18670286762024554</v>
      </c>
      <c r="AB25" s="31">
        <f>Settings!$B$24*(T25-L$6)^2</f>
        <v>0.61454841814710381</v>
      </c>
      <c r="AC25" s="31">
        <f>Settings!$B$25*(U25-M$6)^2</f>
        <v>0.57477123085096082</v>
      </c>
      <c r="AD25" s="19">
        <f t="shared" si="0"/>
        <v>1.2764274985210031</v>
      </c>
      <c r="AE25" s="15">
        <f t="shared" si="1"/>
        <v>0.50523314502443573</v>
      </c>
      <c r="AF25" s="33">
        <f t="shared" si="2"/>
        <v>0.88017875151508096</v>
      </c>
      <c r="AG25" s="47">
        <f t="shared" si="3"/>
        <v>3.7963454970728031E-3</v>
      </c>
      <c r="AH25" s="48"/>
      <c r="AI25" s="48"/>
      <c r="AJ25" s="48"/>
      <c r="AK25" s="48"/>
      <c r="AL25" s="48"/>
      <c r="AM25" s="48"/>
    </row>
    <row r="26" spans="1:39" ht="20" customHeight="1" x14ac:dyDescent="0.45">
      <c r="A26" s="26">
        <v>16</v>
      </c>
      <c r="B26" s="16" t="s">
        <v>275</v>
      </c>
      <c r="C26" s="16" t="s">
        <v>234</v>
      </c>
      <c r="D26" s="46">
        <v>28</v>
      </c>
      <c r="E26" s="46">
        <v>1</v>
      </c>
      <c r="F26" s="13">
        <v>0.48608750359759112</v>
      </c>
      <c r="G26" s="13">
        <v>-7.8452847575466111E-2</v>
      </c>
      <c r="H26" s="13">
        <v>0.25039555827537369</v>
      </c>
      <c r="I26" s="13">
        <v>-1.4744670376312179E-3</v>
      </c>
      <c r="J26" s="13">
        <v>0.18358962351393779</v>
      </c>
      <c r="K26" s="13">
        <v>19.133112582781461</v>
      </c>
      <c r="L26" s="13">
        <v>1.6420781266246629</v>
      </c>
      <c r="M26" s="13">
        <v>-2.3710395845878929</v>
      </c>
      <c r="N26" s="19">
        <f>(F26-Settings!$D$18)/Settings!$E$18</f>
        <v>1.0513668056147165</v>
      </c>
      <c r="O26" s="19">
        <f>(G26-Settings!$D$19)/Settings!$E$19</f>
        <v>-0.29917357550655593</v>
      </c>
      <c r="P26" s="19">
        <f>(H26-Settings!$D$20)/Settings!$E$20</f>
        <v>1.7872892978076154</v>
      </c>
      <c r="Q26" s="19">
        <f>(I26-Settings!$D$21)/Settings!$E$21</f>
        <v>1.8077149785750788E-2</v>
      </c>
      <c r="R26" s="19">
        <f>(J26-Settings!$D$22)/Settings!$E$22</f>
        <v>-0.17292578132113753</v>
      </c>
      <c r="S26" s="19">
        <f>(K26-Settings!$D$23)/Settings!$E$23</f>
        <v>1.3467058131365723</v>
      </c>
      <c r="T26" s="19">
        <f>(L26-Settings!$D$24)/Settings!$E$24</f>
        <v>0.23078125610960631</v>
      </c>
      <c r="U26" s="19">
        <f>(M26-Settings!$D$25)/Settings!$E$25</f>
        <v>-1.5630852452910491</v>
      </c>
      <c r="V26" s="31">
        <f>Settings!$B$18*(N26-F$6)^2</f>
        <v>0.10906932974532629</v>
      </c>
      <c r="W26" s="31">
        <f>Settings!$B$19*(O26-G$6)^2</f>
        <v>2.1031438188113934E-2</v>
      </c>
      <c r="X26" s="31">
        <f>Settings!$B$20*(P26-H$6)^2</f>
        <v>1.0598973662167721E-2</v>
      </c>
      <c r="Y26" s="31">
        <f>Settings!$B$21*(Q26-I$6)^2</f>
        <v>6.3706161749404441E-5</v>
      </c>
      <c r="Z26" s="31">
        <f>Settings!$B$22*(R26-J$6)^2</f>
        <v>1.5824071567358568E-2</v>
      </c>
      <c r="AA26" s="31">
        <f>Settings!$B$23*(S26-K$6)^2</f>
        <v>1.2691568291551694</v>
      </c>
      <c r="AB26" s="31">
        <f>Settings!$B$24*(T26-L$6)^2</f>
        <v>0.21724543501547183</v>
      </c>
      <c r="AC26" s="31">
        <f>Settings!$B$25*(U26-M$6)^2</f>
        <v>4.4103811660814554E-4</v>
      </c>
      <c r="AD26" s="19">
        <f t="shared" si="0"/>
        <v>1.281963658459929</v>
      </c>
      <c r="AE26" s="15">
        <f t="shared" si="1"/>
        <v>0.50742445749658371</v>
      </c>
      <c r="AF26" s="33">
        <f t="shared" si="2"/>
        <v>0.87920271309218756</v>
      </c>
      <c r="AG26" s="47">
        <f t="shared" si="3"/>
        <v>3.7921356941602209E-3</v>
      </c>
      <c r="AH26" s="48"/>
      <c r="AI26" s="48"/>
      <c r="AJ26" s="48"/>
      <c r="AK26" s="48"/>
      <c r="AL26" s="18">
        <v>0.30651661345844861</v>
      </c>
      <c r="AM26" s="46">
        <v>1</v>
      </c>
    </row>
    <row r="27" spans="1:39" ht="20" customHeight="1" x14ac:dyDescent="0.45">
      <c r="A27" s="26">
        <v>17</v>
      </c>
      <c r="B27" s="16" t="s">
        <v>259</v>
      </c>
      <c r="C27" s="16" t="s">
        <v>229</v>
      </c>
      <c r="D27" s="46">
        <v>28</v>
      </c>
      <c r="E27" s="46">
        <v>1</v>
      </c>
      <c r="F27" s="13">
        <v>0.16417805558923479</v>
      </c>
      <c r="G27" s="13">
        <v>-8.9321354384917492E-2</v>
      </c>
      <c r="H27" s="13">
        <v>0.1701316615105043</v>
      </c>
      <c r="I27" s="13">
        <v>1.494792975439678E-2</v>
      </c>
      <c r="J27" s="13">
        <v>0.56142099876094664</v>
      </c>
      <c r="K27" s="13">
        <v>18.789506172839509</v>
      </c>
      <c r="L27" s="13">
        <v>2.4741650153051289</v>
      </c>
      <c r="M27" s="13">
        <v>-3.277119739012603</v>
      </c>
      <c r="N27" s="19">
        <f>(F27-Settings!$D$18)/Settings!$E$18</f>
        <v>-0.10072704150402134</v>
      </c>
      <c r="O27" s="19">
        <f>(G27-Settings!$D$19)/Settings!$E$19</f>
        <v>-0.34445316013429128</v>
      </c>
      <c r="P27" s="19">
        <f>(H27-Settings!$D$20)/Settings!$E$20</f>
        <v>1.0600829585174196</v>
      </c>
      <c r="Q27" s="19">
        <f>(I27-Settings!$D$21)/Settings!$E$21</f>
        <v>0.22002841376541002</v>
      </c>
      <c r="R27" s="19">
        <f>(J27-Settings!$D$22)/Settings!$E$22</f>
        <v>0.84364732230306971</v>
      </c>
      <c r="S27" s="19">
        <f>(K27-Settings!$D$23)/Settings!$E$23</f>
        <v>1.2273792103337642</v>
      </c>
      <c r="T27" s="19">
        <f>(L27-Settings!$D$24)/Settings!$E$24</f>
        <v>0.80604843606137577</v>
      </c>
      <c r="U27" s="19">
        <f>(M27-Settings!$D$25)/Settings!$E$25</f>
        <v>-2.174155792905264</v>
      </c>
      <c r="V27" s="31">
        <f>Settings!$B$18*(N27-F$6)^2</f>
        <v>3.4215961925130885E-2</v>
      </c>
      <c r="W27" s="31">
        <f>Settings!$B$19*(O27-G$6)^2</f>
        <v>1.5568190008406714E-2</v>
      </c>
      <c r="X27" s="31">
        <f>Settings!$B$20*(P27-H$6)^2</f>
        <v>0.18332773227887783</v>
      </c>
      <c r="Y27" s="31">
        <f>Settings!$B$21*(Q27-I$6)^2</f>
        <v>6.7788442316914395E-3</v>
      </c>
      <c r="Z27" s="31">
        <f>Settings!$B$22*(R27-J$6)^2</f>
        <v>0.10813018613722331</v>
      </c>
      <c r="AA27" s="31">
        <f>Settings!$B$23*(S27-K$6)^2</f>
        <v>1.0145364575916653</v>
      </c>
      <c r="AB27" s="31">
        <f>Settings!$B$24*(T27-L$6)^2</f>
        <v>1.1918357353367943E-2</v>
      </c>
      <c r="AC27" s="31">
        <f>Settings!$B$25*(U27-M$6)^2</f>
        <v>0.34818218016247415</v>
      </c>
      <c r="AD27" s="19">
        <f t="shared" si="0"/>
        <v>1.3125006322622619</v>
      </c>
      <c r="AE27" s="15">
        <f t="shared" si="1"/>
        <v>0.51951154535042443</v>
      </c>
      <c r="AF27" s="33">
        <f t="shared" si="2"/>
        <v>0.87376298625649029</v>
      </c>
      <c r="AG27" s="47">
        <f t="shared" si="3"/>
        <v>3.7686733208156494E-3</v>
      </c>
      <c r="AH27" s="18">
        <v>-2.7515087926862001</v>
      </c>
      <c r="AI27" s="46">
        <v>1</v>
      </c>
      <c r="AJ27" s="18">
        <v>0.25346961469697621</v>
      </c>
      <c r="AK27" s="46">
        <v>1</v>
      </c>
      <c r="AL27" s="18">
        <v>0.21864086171705571</v>
      </c>
      <c r="AM27" s="46">
        <v>1</v>
      </c>
    </row>
    <row r="28" spans="1:39" ht="20" customHeight="1" x14ac:dyDescent="0.45">
      <c r="A28" s="26">
        <v>18</v>
      </c>
      <c r="B28" s="16" t="s">
        <v>309</v>
      </c>
      <c r="C28" s="16" t="s">
        <v>234</v>
      </c>
      <c r="D28" s="46">
        <v>28</v>
      </c>
      <c r="E28" s="46">
        <v>1</v>
      </c>
      <c r="F28" s="13">
        <v>0.31132570947735488</v>
      </c>
      <c r="G28" s="13">
        <v>-3.7241086609331113E-2</v>
      </c>
      <c r="H28" s="13">
        <v>0.13485779938612549</v>
      </c>
      <c r="I28" s="13">
        <v>-5.3264010846949188E-4</v>
      </c>
      <c r="J28" s="13">
        <v>0.51604276441871899</v>
      </c>
      <c r="K28" s="13">
        <v>16.779460093896692</v>
      </c>
      <c r="L28" s="13">
        <v>2.3404100086427588</v>
      </c>
      <c r="M28" s="13">
        <v>-0.79367058145335889</v>
      </c>
      <c r="N28" s="19">
        <f>(F28-Settings!$D$18)/Settings!$E$18</f>
        <v>0.42590523881991643</v>
      </c>
      <c r="O28" s="19">
        <f>(G28-Settings!$D$19)/Settings!$E$19</f>
        <v>-0.12748012662346106</v>
      </c>
      <c r="P28" s="19">
        <f>(H28-Settings!$D$20)/Settings!$E$20</f>
        <v>0.74049498457140617</v>
      </c>
      <c r="Q28" s="19">
        <f>(I28-Settings!$D$21)/Settings!$E$21</f>
        <v>2.9659085187934153E-2</v>
      </c>
      <c r="R28" s="19">
        <f>(J28-Settings!$D$22)/Settings!$E$22</f>
        <v>0.72155504637149281</v>
      </c>
      <c r="S28" s="19">
        <f>(K28-Settings!$D$23)/Settings!$E$23</f>
        <v>0.52933644064890362</v>
      </c>
      <c r="T28" s="19">
        <f>(L28-Settings!$D$24)/Settings!$E$24</f>
        <v>0.71357628377315507</v>
      </c>
      <c r="U28" s="19">
        <f>(M28-Settings!$D$25)/Settings!$E$25</f>
        <v>-0.49929002162554631</v>
      </c>
      <c r="V28" s="31">
        <f>Settings!$B$18*(N28-F$6)^2</f>
        <v>2.5544477135994604E-3</v>
      </c>
      <c r="W28" s="31">
        <f>Settings!$B$19*(O28-G$6)^2</f>
        <v>4.9197832232118988E-2</v>
      </c>
      <c r="X28" s="31">
        <f>Settings!$B$20*(P28-H$6)^2</f>
        <v>0.32614603308532863</v>
      </c>
      <c r="Y28" s="31">
        <f>Settings!$B$21*(Q28-I$6)^2</f>
        <v>7.8512881018309813E-6</v>
      </c>
      <c r="Z28" s="31">
        <f>Settings!$B$22*(R28-J$6)^2</f>
        <v>7.5202214135316137E-2</v>
      </c>
      <c r="AA28" s="31">
        <f>Settings!$B$23*(S28-K$6)^2</f>
        <v>9.5604167412704555E-2</v>
      </c>
      <c r="AB28" s="31">
        <f>Settings!$B$24*(T28-L$6)^2</f>
        <v>2.7885918015727994E-4</v>
      </c>
      <c r="AC28" s="31">
        <f>Settings!$B$25*(U28-M$6)^2</f>
        <v>1.1767826462321707</v>
      </c>
      <c r="AD28" s="19">
        <f t="shared" si="0"/>
        <v>1.313687196892585</v>
      </c>
      <c r="AE28" s="15">
        <f t="shared" si="1"/>
        <v>0.51998120914303902</v>
      </c>
      <c r="AF28" s="33">
        <f t="shared" si="2"/>
        <v>0.87354972145181553</v>
      </c>
      <c r="AG28" s="47">
        <f t="shared" si="3"/>
        <v>3.767753477113995E-3</v>
      </c>
      <c r="AH28" s="18">
        <v>0.31577573773325618</v>
      </c>
      <c r="AI28" s="46">
        <v>1</v>
      </c>
      <c r="AJ28" s="18">
        <v>1.9174943452392439</v>
      </c>
      <c r="AK28" s="46">
        <v>1</v>
      </c>
      <c r="AL28" s="18">
        <v>-0.22454855144001321</v>
      </c>
      <c r="AM28" s="46">
        <v>1</v>
      </c>
    </row>
    <row r="29" spans="1:39" ht="20" customHeight="1" x14ac:dyDescent="0.45">
      <c r="A29" s="26">
        <v>19</v>
      </c>
      <c r="B29" s="16" t="s">
        <v>440</v>
      </c>
      <c r="C29" s="16" t="s">
        <v>232</v>
      </c>
      <c r="D29" s="46">
        <v>28</v>
      </c>
      <c r="E29" s="46">
        <v>0</v>
      </c>
      <c r="F29" s="13">
        <v>2.5245812477404199E-2</v>
      </c>
      <c r="G29" s="13">
        <v>0.16264103722925141</v>
      </c>
      <c r="H29" s="13">
        <v>0.1933408263782086</v>
      </c>
      <c r="I29" s="13">
        <v>4.9112098126224107E-2</v>
      </c>
      <c r="J29" s="13">
        <v>0.56966022578891173</v>
      </c>
      <c r="K29" s="13">
        <v>17.62777777777778</v>
      </c>
      <c r="L29" s="13">
        <v>2.0084112566731922</v>
      </c>
      <c r="M29" s="13">
        <v>-3.4579286591687262</v>
      </c>
      <c r="N29" s="19">
        <f>(F29-Settings!$D$18)/Settings!$E$18</f>
        <v>-0.59795687879475423</v>
      </c>
      <c r="O29" s="19">
        <f>(G29-Settings!$D$19)/Settings!$E$19</f>
        <v>0.70525427752210956</v>
      </c>
      <c r="P29" s="19">
        <f>(H29-Settings!$D$20)/Settings!$E$20</f>
        <v>1.270362455298756</v>
      </c>
      <c r="Q29" s="19">
        <f>(I29-Settings!$D$21)/Settings!$E$21</f>
        <v>0.64015569925723792</v>
      </c>
      <c r="R29" s="19">
        <f>(J29-Settings!$D$22)/Settings!$E$22</f>
        <v>0.86581535052943714</v>
      </c>
      <c r="S29" s="19">
        <f>(K29-Settings!$D$23)/Settings!$E$23</f>
        <v>0.82393765991072676</v>
      </c>
      <c r="T29" s="19">
        <f>(L29-Settings!$D$24)/Settings!$E$24</f>
        <v>0.48404738674184777</v>
      </c>
      <c r="U29" s="19">
        <f>(M29-Settings!$D$25)/Settings!$E$25</f>
        <v>-2.2960953424183943</v>
      </c>
      <c r="V29" s="31">
        <f>Settings!$B$18*(N29-F$6)^2</f>
        <v>0.16592873879086048</v>
      </c>
      <c r="W29" s="31">
        <f>Settings!$B$19*(O29-G$6)^2</f>
        <v>0.35309264339279517</v>
      </c>
      <c r="X29" s="31">
        <f>Settings!$B$20*(P29-H$6)^2</f>
        <v>0.11164153963038036</v>
      </c>
      <c r="Y29" s="31">
        <f>Settings!$B$21*(Q29-I$6)^2</f>
        <v>7.3019048801266348E-2</v>
      </c>
      <c r="Z29" s="31">
        <f>Settings!$B$22*(R29-J$6)^2</f>
        <v>0.11474843948817133</v>
      </c>
      <c r="AA29" s="31">
        <f>Settings!$B$23*(S29-K$6)^2</f>
        <v>0.36457498951997741</v>
      </c>
      <c r="AB29" s="31">
        <f>Settings!$B$24*(T29-L$6)^2</f>
        <v>4.5296532198902922E-2</v>
      </c>
      <c r="AC29" s="31">
        <f>Settings!$B$25*(U29-M$6)^2</f>
        <v>0.50695708608718837</v>
      </c>
      <c r="AD29" s="19">
        <f t="shared" si="0"/>
        <v>1.3172923054165095</v>
      </c>
      <c r="AE29" s="15">
        <f t="shared" si="1"/>
        <v>0.52140817645595516</v>
      </c>
      <c r="AF29" s="33">
        <f t="shared" si="2"/>
        <v>0.87290090258192166</v>
      </c>
      <c r="AG29" s="47">
        <f t="shared" si="3"/>
        <v>3.7649550221514122E-3</v>
      </c>
      <c r="AH29" s="18">
        <v>-1.821883746939148</v>
      </c>
      <c r="AI29" s="46">
        <v>0</v>
      </c>
      <c r="AJ29" s="18">
        <v>-9.9872687358712131E-2</v>
      </c>
      <c r="AK29" s="46">
        <v>0</v>
      </c>
      <c r="AL29" s="18">
        <v>-0.75138744373328925</v>
      </c>
      <c r="AM29" s="46">
        <v>0</v>
      </c>
    </row>
    <row r="30" spans="1:39" ht="20" customHeight="1" x14ac:dyDescent="0.45">
      <c r="A30" s="26">
        <v>20</v>
      </c>
      <c r="B30" s="16" t="s">
        <v>495</v>
      </c>
      <c r="C30" s="16" t="s">
        <v>234</v>
      </c>
      <c r="D30" s="46">
        <v>28</v>
      </c>
      <c r="E30" s="46">
        <v>1</v>
      </c>
      <c r="F30" s="13">
        <v>0.52549142665198911</v>
      </c>
      <c r="G30" s="13">
        <v>-9.8425274748509692E-2</v>
      </c>
      <c r="H30" s="13">
        <v>0.11186426507879819</v>
      </c>
      <c r="I30" s="13">
        <v>6.113716482373301E-3</v>
      </c>
      <c r="J30" s="13">
        <v>0.25810531703832978</v>
      </c>
      <c r="K30" s="13">
        <v>14.99044943820225</v>
      </c>
      <c r="L30" s="13">
        <v>1.1134346600747269</v>
      </c>
      <c r="M30" s="13">
        <v>-1.4466619929969899</v>
      </c>
      <c r="N30" s="19">
        <f>(F30-Settings!$D$18)/Settings!$E$18</f>
        <v>1.1923909898509419</v>
      </c>
      <c r="O30" s="19">
        <f>(G30-Settings!$D$19)/Settings!$E$19</f>
        <v>-0.38238125272093471</v>
      </c>
      <c r="P30" s="19">
        <f>(H30-Settings!$D$20)/Settings!$E$20</f>
        <v>0.5321691421324477</v>
      </c>
      <c r="Q30" s="19">
        <f>(I30-Settings!$D$21)/Settings!$E$21</f>
        <v>0.11139137624010328</v>
      </c>
      <c r="R30" s="19">
        <f>(J30-Settings!$D$22)/Settings!$E$22</f>
        <v>2.7562200348672444E-2</v>
      </c>
      <c r="S30" s="19">
        <f>(K30-Settings!$D$23)/Settings!$E$23</f>
        <v>-9.1945810628383182E-2</v>
      </c>
      <c r="T30" s="19">
        <f>(L30-Settings!$D$24)/Settings!$E$24</f>
        <v>-0.13469888825893761</v>
      </c>
      <c r="U30" s="19">
        <f>(M30-Settings!$D$25)/Settings!$E$25</f>
        <v>-0.93967470226419747</v>
      </c>
      <c r="V30" s="31">
        <f>Settings!$B$18*(N30-F$6)^2</f>
        <v>0.15470407816842138</v>
      </c>
      <c r="W30" s="31">
        <f>Settings!$B$19*(O30-G$6)^2</f>
        <v>1.1623124275476732E-2</v>
      </c>
      <c r="X30" s="31">
        <f>Settings!$B$20*(P30-H$6)^2</f>
        <v>0.44123884275354391</v>
      </c>
      <c r="Y30" s="31">
        <f>Settings!$B$21*(Q30-I$6)^2</f>
        <v>1.1390474301662518E-3</v>
      </c>
      <c r="Z30" s="31">
        <f>Settings!$B$22*(R30-J$6)^2</f>
        <v>1.305580310749452E-3</v>
      </c>
      <c r="AA30" s="31">
        <f>Settings!$B$23*(S30-K$6)^2</f>
        <v>9.7395808556057437E-2</v>
      </c>
      <c r="AB30" s="31">
        <f>Settings!$B$24*(T30-L$6)^2</f>
        <v>0.69151880145507461</v>
      </c>
      <c r="AC30" s="31">
        <f>Settings!$B$25*(U30-M$6)^2</f>
        <v>0.41526611759419602</v>
      </c>
      <c r="AD30" s="19">
        <f t="shared" si="0"/>
        <v>1.3469192256938372</v>
      </c>
      <c r="AE30" s="15">
        <f t="shared" si="1"/>
        <v>0.5331350486256996</v>
      </c>
      <c r="AF30" s="33">
        <f t="shared" si="2"/>
        <v>0.86752019314057338</v>
      </c>
      <c r="AG30" s="47">
        <f t="shared" si="3"/>
        <v>3.7417471998499106E-3</v>
      </c>
      <c r="AH30" s="48"/>
      <c r="AI30" s="48"/>
      <c r="AJ30" s="48"/>
      <c r="AK30" s="48"/>
      <c r="AL30" s="48"/>
      <c r="AM30" s="48"/>
    </row>
    <row r="31" spans="1:39" ht="20" customHeight="1" x14ac:dyDescent="0.45">
      <c r="A31" s="26">
        <v>21</v>
      </c>
      <c r="B31" s="16" t="s">
        <v>574</v>
      </c>
      <c r="C31" s="16" t="s">
        <v>224</v>
      </c>
      <c r="D31" s="46">
        <v>28</v>
      </c>
      <c r="E31" s="46">
        <v>0</v>
      </c>
      <c r="F31" s="13">
        <v>0.15729143783163479</v>
      </c>
      <c r="G31" s="13">
        <v>0.1060907685787443</v>
      </c>
      <c r="H31" s="13">
        <v>1.627615471130088E-2</v>
      </c>
      <c r="I31" s="13">
        <v>-5.8912422666475978E-2</v>
      </c>
      <c r="J31" s="13">
        <v>0.66142921621184403</v>
      </c>
      <c r="K31" s="13">
        <v>15.509677419354841</v>
      </c>
      <c r="L31" s="13">
        <v>1.820642735202425</v>
      </c>
      <c r="M31" s="13">
        <v>-2.1186710162684901</v>
      </c>
      <c r="N31" s="19">
        <f>(F31-Settings!$D$18)/Settings!$E$18</f>
        <v>-0.12537381715809792</v>
      </c>
      <c r="O31" s="19">
        <f>(G31-Settings!$D$19)/Settings!$E$19</f>
        <v>0.46965865063662965</v>
      </c>
      <c r="P31" s="19">
        <f>(H31-Settings!$D$20)/Settings!$E$20</f>
        <v>-0.33387751921579234</v>
      </c>
      <c r="Q31" s="19">
        <f>(I31-Settings!$D$21)/Settings!$E$21</f>
        <v>-0.68825505534545539</v>
      </c>
      <c r="R31" s="19">
        <f>(J31-Settings!$D$22)/Settings!$E$22</f>
        <v>1.1127241398000787</v>
      </c>
      <c r="S31" s="19">
        <f>(K31-Settings!$D$23)/Settings!$E$23</f>
        <v>8.8370124343744444E-2</v>
      </c>
      <c r="T31" s="19">
        <f>(L31-Settings!$D$24)/Settings!$E$24</f>
        <v>0.35423273721468562</v>
      </c>
      <c r="U31" s="19">
        <f>(M31-Settings!$D$25)/Settings!$E$25</f>
        <v>-1.3928850720608261</v>
      </c>
      <c r="V31" s="31">
        <f>Settings!$B$18*(N31-F$6)^2</f>
        <v>3.8415194175892842E-2</v>
      </c>
      <c r="W31" s="31">
        <f>Settings!$B$19*(O31-G$6)^2</f>
        <v>0.23897864702267407</v>
      </c>
      <c r="X31" s="31">
        <f>Settings!$B$20*(P31-H$6)^2</f>
        <v>1.1057909594991908</v>
      </c>
      <c r="Y31" s="31">
        <f>Settings!$B$21*(Q31-I$6)^2</f>
        <v>0.10488722920278326</v>
      </c>
      <c r="Z31" s="31">
        <f>Settings!$B$22*(R31-J$6)^2</f>
        <v>0.20175041694998375</v>
      </c>
      <c r="AA31" s="31">
        <f>Settings!$B$23*(S31-K$6)^2</f>
        <v>1.7362563507665497E-2</v>
      </c>
      <c r="AB31" s="31">
        <f>Settings!$B$24*(T31-L$6)^2</f>
        <v>0.11740523236500436</v>
      </c>
      <c r="AC31" s="31">
        <f>Settings!$B$25*(U31-M$6)^2</f>
        <v>3.6557853279548469E-2</v>
      </c>
      <c r="AD31" s="19">
        <f t="shared" si="0"/>
        <v>1.3642390171823788</v>
      </c>
      <c r="AE31" s="15">
        <f t="shared" si="1"/>
        <v>0.53999053609761838</v>
      </c>
      <c r="AF31" s="33">
        <f t="shared" si="2"/>
        <v>0.86433496914974939</v>
      </c>
      <c r="AG31" s="47">
        <f t="shared" si="3"/>
        <v>3.7280088418926E-3</v>
      </c>
      <c r="AH31" s="18">
        <v>-1.919765262388281</v>
      </c>
      <c r="AI31" s="46">
        <v>0</v>
      </c>
      <c r="AJ31" s="18">
        <v>-0.6277992426172827</v>
      </c>
      <c r="AK31" s="46">
        <v>0</v>
      </c>
      <c r="AL31" s="18">
        <v>0.2405677129146637</v>
      </c>
      <c r="AM31" s="46">
        <v>1</v>
      </c>
    </row>
    <row r="32" spans="1:39" ht="20" customHeight="1" x14ac:dyDescent="0.45">
      <c r="A32" s="26">
        <v>22</v>
      </c>
      <c r="B32" s="16" t="s">
        <v>560</v>
      </c>
      <c r="C32" s="16" t="s">
        <v>229</v>
      </c>
      <c r="D32" s="46">
        <v>28</v>
      </c>
      <c r="E32" s="46">
        <v>1</v>
      </c>
      <c r="F32" s="13">
        <v>0.27825836639082457</v>
      </c>
      <c r="G32" s="13">
        <v>-0.1194412111288788</v>
      </c>
      <c r="H32" s="13">
        <v>8.8221334158168574E-2</v>
      </c>
      <c r="I32" s="13">
        <v>-2.5805340540559048E-2</v>
      </c>
      <c r="J32" s="13">
        <v>0.48827374778156879</v>
      </c>
      <c r="K32" s="13">
        <v>16.784278959810852</v>
      </c>
      <c r="L32" s="13">
        <v>1.671126737308906</v>
      </c>
      <c r="M32" s="13">
        <v>-0.97374674892594815</v>
      </c>
      <c r="N32" s="19">
        <f>(F32-Settings!$D$18)/Settings!$E$18</f>
        <v>0.30755927927676263</v>
      </c>
      <c r="O32" s="19">
        <f>(G32-Settings!$D$19)/Settings!$E$19</f>
        <v>-0.46993632229484422</v>
      </c>
      <c r="P32" s="19">
        <f>(H32-Settings!$D$20)/Settings!$E$20</f>
        <v>0.31795964149918965</v>
      </c>
      <c r="Q32" s="19">
        <f>(I32-Settings!$D$21)/Settings!$E$21</f>
        <v>-0.28112708452131041</v>
      </c>
      <c r="R32" s="19">
        <f>(J32-Settings!$D$22)/Settings!$E$22</f>
        <v>0.6468411997276956</v>
      </c>
      <c r="S32" s="19">
        <f>(K32-Settings!$D$23)/Settings!$E$23</f>
        <v>0.53100992194104868</v>
      </c>
      <c r="T32" s="19">
        <f>(L32-Settings!$D$24)/Settings!$E$24</f>
        <v>0.25086414958764375</v>
      </c>
      <c r="U32" s="19">
        <f>(M32-Settings!$D$25)/Settings!$E$25</f>
        <v>-0.62073539456786664</v>
      </c>
      <c r="V32" s="31">
        <f>Settings!$B$18*(N32-F$6)^2</f>
        <v>5.6852567678672745E-6</v>
      </c>
      <c r="W32" s="31">
        <f>Settings!$B$19*(O32-G$6)^2</f>
        <v>4.7134784022754223E-3</v>
      </c>
      <c r="X32" s="31">
        <f>Settings!$B$20*(P32-H$6)^2</f>
        <v>0.57768438667919664</v>
      </c>
      <c r="Y32" s="31">
        <f>Settings!$B$21*(Q32-I$6)^2</f>
        <v>2.0104351749678895E-2</v>
      </c>
      <c r="Z32" s="31">
        <f>Settings!$B$22*(R32-J$6)^2</f>
        <v>5.7992910838435122E-2</v>
      </c>
      <c r="AA32" s="31">
        <f>Settings!$B$23*(S32-K$6)^2</f>
        <v>9.6641846225617709E-2</v>
      </c>
      <c r="AB32" s="31">
        <f>Settings!$B$24*(T32-L$6)^2</f>
        <v>0.19892764697950693</v>
      </c>
      <c r="AC32" s="31">
        <f>Settings!$B$25*(U32-M$6)^2</f>
        <v>0.9280446834051711</v>
      </c>
      <c r="AD32" s="19">
        <f t="shared" si="0"/>
        <v>1.3726306821343641</v>
      </c>
      <c r="AE32" s="15">
        <f t="shared" si="1"/>
        <v>0.54331210922307627</v>
      </c>
      <c r="AF32" s="33">
        <f t="shared" si="2"/>
        <v>0.86278131234516464</v>
      </c>
      <c r="AG32" s="47">
        <f t="shared" si="3"/>
        <v>3.7213076826065694E-3</v>
      </c>
      <c r="AH32" s="18">
        <v>-0.58407622668757142</v>
      </c>
      <c r="AI32" s="46">
        <v>1</v>
      </c>
      <c r="AJ32" s="18">
        <v>-0.56595254912159865</v>
      </c>
      <c r="AK32" s="46">
        <v>1</v>
      </c>
      <c r="AL32" s="18">
        <v>0.5638536591639689</v>
      </c>
      <c r="AM32" s="46">
        <v>1</v>
      </c>
    </row>
    <row r="33" spans="1:39" ht="20" customHeight="1" x14ac:dyDescent="0.45">
      <c r="A33" s="26">
        <v>23</v>
      </c>
      <c r="B33" s="16" t="s">
        <v>511</v>
      </c>
      <c r="C33" s="16" t="s">
        <v>227</v>
      </c>
      <c r="D33" s="46">
        <v>28</v>
      </c>
      <c r="E33" s="46">
        <v>0</v>
      </c>
      <c r="F33" s="13">
        <v>0.50960057485634092</v>
      </c>
      <c r="G33" s="13">
        <v>3.8228440775782462E-2</v>
      </c>
      <c r="H33" s="13">
        <v>0.2325724652880341</v>
      </c>
      <c r="I33" s="13">
        <v>-1.280844624311152E-4</v>
      </c>
      <c r="J33" s="13">
        <v>0.21947043461741131</v>
      </c>
      <c r="K33" s="13">
        <v>16.85369047619043</v>
      </c>
      <c r="L33" s="13">
        <v>2.6950268988953359</v>
      </c>
      <c r="M33" s="13">
        <v>-0.64338406400757675</v>
      </c>
      <c r="N33" s="19">
        <f>(F33-Settings!$D$18)/Settings!$E$18</f>
        <v>1.1355186218837652</v>
      </c>
      <c r="O33" s="19">
        <f>(G33-Settings!$D$19)/Settings!$E$19</f>
        <v>0.18693554352892616</v>
      </c>
      <c r="P33" s="19">
        <f>(H33-Settings!$D$20)/Settings!$E$20</f>
        <v>1.6258086479941505</v>
      </c>
      <c r="Q33" s="19">
        <f>(I33-Settings!$D$21)/Settings!$E$21</f>
        <v>3.4634030386385212E-2</v>
      </c>
      <c r="R33" s="19">
        <f>(J33-Settings!$D$22)/Settings!$E$22</f>
        <v>-7.6386769757669587E-2</v>
      </c>
      <c r="S33" s="19">
        <f>(K33-Settings!$D$23)/Settings!$E$23</f>
        <v>0.55511494502942982</v>
      </c>
      <c r="T33" s="19">
        <f>(L33-Settings!$D$24)/Settings!$E$24</f>
        <v>0.95874233697508826</v>
      </c>
      <c r="U33" s="19">
        <f>(M33-Settings!$D$25)/Settings!$E$25</f>
        <v>-0.39793512044361307</v>
      </c>
      <c r="V33" s="31">
        <f>Settings!$B$18*(N33-F$6)^2</f>
        <v>0.13534327054371251</v>
      </c>
      <c r="W33" s="31">
        <f>Settings!$B$19*(O33-G$6)^2</f>
        <v>0.13134594118321516</v>
      </c>
      <c r="X33" s="31">
        <f>Settings!$B$20*(P33-H$6)^2</f>
        <v>3.0683708745116858E-2</v>
      </c>
      <c r="Y33" s="31">
        <f>Settings!$B$21*(Q33-I$6)^2</f>
        <v>3.3310429005931675E-7</v>
      </c>
      <c r="Z33" s="31">
        <f>Settings!$B$22*(R33-J$6)^2</f>
        <v>6.8260986946466207E-3</v>
      </c>
      <c r="AA33" s="31">
        <f>Settings!$B$23*(S33-K$6)^2</f>
        <v>0.11221008640930247</v>
      </c>
      <c r="AB33" s="31">
        <f>Settings!$B$24*(T33-L$6)^2</f>
        <v>6.8573346533369925E-2</v>
      </c>
      <c r="AC33" s="31">
        <f>Settings!$B$25*(U33-M$6)^2</f>
        <v>1.4069542715832026</v>
      </c>
      <c r="AD33" s="19">
        <f t="shared" si="0"/>
        <v>1.3754770288146785</v>
      </c>
      <c r="AE33" s="15">
        <f t="shared" si="1"/>
        <v>0.54443874484224886</v>
      </c>
      <c r="AF33" s="33">
        <f t="shared" si="2"/>
        <v>0.86225280552677697</v>
      </c>
      <c r="AG33" s="47">
        <f t="shared" si="3"/>
        <v>3.7190281519127138E-3</v>
      </c>
      <c r="AH33" s="18">
        <v>-0.1383971311655974</v>
      </c>
      <c r="AI33" s="46">
        <v>0</v>
      </c>
      <c r="AJ33" s="18">
        <v>0.21853071823737749</v>
      </c>
      <c r="AK33" s="46">
        <v>0</v>
      </c>
      <c r="AL33" s="18">
        <v>0.171630602340509</v>
      </c>
      <c r="AM33" s="46">
        <v>0</v>
      </c>
    </row>
    <row r="34" spans="1:39" ht="20" customHeight="1" x14ac:dyDescent="0.45">
      <c r="A34" s="26">
        <v>24</v>
      </c>
      <c r="B34" s="16" t="s">
        <v>233</v>
      </c>
      <c r="C34" s="16" t="s">
        <v>220</v>
      </c>
      <c r="D34" s="46">
        <v>28</v>
      </c>
      <c r="E34" s="46">
        <v>1</v>
      </c>
      <c r="F34" s="13">
        <v>0.24699372665043551</v>
      </c>
      <c r="G34" s="13">
        <v>-0.15939659514100421</v>
      </c>
      <c r="H34" s="13">
        <v>7.255146160930262E-2</v>
      </c>
      <c r="I34" s="13">
        <v>8.0823580598207087E-3</v>
      </c>
      <c r="J34" s="13">
        <v>0.51297585853943684</v>
      </c>
      <c r="K34" s="13">
        <v>18.334938271604909</v>
      </c>
      <c r="L34" s="13">
        <v>3.011594405327664</v>
      </c>
      <c r="M34" s="13">
        <v>-1.739633471722829</v>
      </c>
      <c r="N34" s="19">
        <f>(F34-Settings!$D$18)/Settings!$E$18</f>
        <v>0.19566508263189999</v>
      </c>
      <c r="O34" s="19">
        <f>(G34-Settings!$D$19)/Settings!$E$19</f>
        <v>-0.63639554465438919</v>
      </c>
      <c r="P34" s="19">
        <f>(H34-Settings!$D$20)/Settings!$E$20</f>
        <v>0.17598758291864605</v>
      </c>
      <c r="Q34" s="19">
        <f>(I34-Settings!$D$21)/Settings!$E$21</f>
        <v>0.13560036716409607</v>
      </c>
      <c r="R34" s="19">
        <f>(J34-Settings!$D$22)/Settings!$E$22</f>
        <v>0.71330339171156165</v>
      </c>
      <c r="S34" s="19">
        <f>(K34-Settings!$D$23)/Settings!$E$23</f>
        <v>1.0695182338557907</v>
      </c>
      <c r="T34" s="19">
        <f>(L34-Settings!$D$24)/Settings!$E$24</f>
        <v>1.1776027699023308</v>
      </c>
      <c r="U34" s="19">
        <f>(M34-Settings!$D$25)/Settings!$E$25</f>
        <v>-1.1372579304875463</v>
      </c>
      <c r="V34" s="31">
        <f>Settings!$B$18*(N34-F$6)^2</f>
        <v>2.7483789101828563E-3</v>
      </c>
      <c r="W34" s="31">
        <f>Settings!$B$19*(O34-G$6)^2</f>
        <v>3.3501526909666733E-5</v>
      </c>
      <c r="X34" s="31">
        <f>Settings!$B$20*(P34-H$6)^2</f>
        <v>0.67823023819080308</v>
      </c>
      <c r="Y34" s="31">
        <f>Settings!$B$21*(Q34-I$6)^2</f>
        <v>1.9870524607740804E-3</v>
      </c>
      <c r="Z34" s="31">
        <f>Settings!$B$22*(R34-J$6)^2</f>
        <v>7.3191874771004861E-2</v>
      </c>
      <c r="AA34" s="31">
        <f>Settings!$B$23*(S34-K$6)^2</f>
        <v>0.72144813241866945</v>
      </c>
      <c r="AB34" s="31">
        <f>Settings!$B$24*(T34-L$6)^2</f>
        <v>0.23109706726192381</v>
      </c>
      <c r="AC34" s="31">
        <f>Settings!$B$25*(U34-M$6)^2</f>
        <v>0.1996554602636019</v>
      </c>
      <c r="AD34" s="19">
        <f t="shared" si="0"/>
        <v>1.3814455131505801</v>
      </c>
      <c r="AE34" s="15">
        <f t="shared" si="1"/>
        <v>0.54680117914858484</v>
      </c>
      <c r="AF34" s="33">
        <f t="shared" si="2"/>
        <v>0.86114208515612189</v>
      </c>
      <c r="AG34" s="47">
        <f t="shared" si="3"/>
        <v>3.71423744517231E-3</v>
      </c>
      <c r="AH34" s="18">
        <v>-1.450132111969832</v>
      </c>
      <c r="AI34" s="46">
        <v>1</v>
      </c>
      <c r="AJ34" s="18">
        <v>-0.7533646426726619</v>
      </c>
      <c r="AK34" s="46">
        <v>1</v>
      </c>
      <c r="AL34" s="18">
        <v>1.148750662940309</v>
      </c>
      <c r="AM34" s="46">
        <v>1</v>
      </c>
    </row>
    <row r="35" spans="1:39" ht="20" customHeight="1" x14ac:dyDescent="0.45">
      <c r="A35" s="26">
        <v>25</v>
      </c>
      <c r="B35" s="16" t="s">
        <v>437</v>
      </c>
      <c r="C35" s="16" t="s">
        <v>260</v>
      </c>
      <c r="D35" s="46">
        <v>28</v>
      </c>
      <c r="E35" s="46">
        <v>1</v>
      </c>
      <c r="F35" s="13">
        <v>0.15747536608156559</v>
      </c>
      <c r="G35" s="13">
        <v>-4.3550626632141841E-2</v>
      </c>
      <c r="H35" s="13">
        <v>0.13254872914893051</v>
      </c>
      <c r="I35" s="13">
        <v>8.3632048062557991E-3</v>
      </c>
      <c r="J35" s="13">
        <v>0.65806207333110622</v>
      </c>
      <c r="K35" s="13">
        <v>19.121471471471441</v>
      </c>
      <c r="L35" s="13">
        <v>2.5416844474534548</v>
      </c>
      <c r="M35" s="13">
        <v>-1.9931385402739781</v>
      </c>
      <c r="N35" s="19">
        <f>(F35-Settings!$D$18)/Settings!$E$18</f>
        <v>-0.12471554941737885</v>
      </c>
      <c r="O35" s="19">
        <f>(G35-Settings!$D$19)/Settings!$E$19</f>
        <v>-0.15376647454905643</v>
      </c>
      <c r="P35" s="19">
        <f>(H35-Settings!$D$20)/Settings!$E$20</f>
        <v>0.71957436419243825</v>
      </c>
      <c r="Q35" s="19">
        <f>(I35-Settings!$D$21)/Settings!$E$21</f>
        <v>0.13905402597805641</v>
      </c>
      <c r="R35" s="19">
        <f>(J35-Settings!$D$22)/Settings!$E$22</f>
        <v>1.1036646833523975</v>
      </c>
      <c r="S35" s="19">
        <f>(K35-Settings!$D$23)/Settings!$E$23</f>
        <v>1.34266312293848</v>
      </c>
      <c r="T35" s="19">
        <f>(L35-Settings!$D$24)/Settings!$E$24</f>
        <v>0.85272831270924365</v>
      </c>
      <c r="U35" s="19">
        <f>(M35-Settings!$D$25)/Settings!$E$25</f>
        <v>-1.3082245721318335</v>
      </c>
      <c r="V35" s="31">
        <f>Settings!$B$18*(N35-F$6)^2</f>
        <v>3.8299882626520766E-2</v>
      </c>
      <c r="W35" s="31">
        <f>Settings!$B$19*(O35-G$6)^2</f>
        <v>4.4121099702711733E-2</v>
      </c>
      <c r="X35" s="31">
        <f>Settings!$B$20*(P35-H$6)^2</f>
        <v>0.33691982426486405</v>
      </c>
      <c r="Y35" s="31">
        <f>Settings!$B$21*(Q35-I$6)^2</f>
        <v>2.1271364752824895E-3</v>
      </c>
      <c r="Z35" s="31">
        <f>Settings!$B$22*(R35-J$6)^2</f>
        <v>0.19812722584126144</v>
      </c>
      <c r="AA35" s="31">
        <f>Settings!$B$23*(S35-K$6)^2</f>
        <v>1.2600644367588874</v>
      </c>
      <c r="AB35" s="31">
        <f>Settings!$B$24*(T35-L$6)^2</f>
        <v>2.4289567291548724E-2</v>
      </c>
      <c r="AC35" s="31">
        <f>Settings!$B$25*(U35-M$6)^2</f>
        <v>7.6099611694107019E-2</v>
      </c>
      <c r="AD35" s="19">
        <f t="shared" si="0"/>
        <v>1.4071420627126401</v>
      </c>
      <c r="AE35" s="15">
        <f t="shared" si="1"/>
        <v>0.55697233933320867</v>
      </c>
      <c r="AF35" s="33">
        <f t="shared" si="2"/>
        <v>0.85632175334373728</v>
      </c>
      <c r="AG35" s="47">
        <f t="shared" si="3"/>
        <v>3.6934466172423657E-3</v>
      </c>
      <c r="AH35" s="18">
        <v>-0.98281469044490244</v>
      </c>
      <c r="AI35" s="46">
        <v>1</v>
      </c>
      <c r="AJ35" s="18">
        <v>-1.17008555670829</v>
      </c>
      <c r="AK35" s="46">
        <v>1</v>
      </c>
      <c r="AL35" s="18">
        <v>0.17116243672306961</v>
      </c>
      <c r="AM35" s="46">
        <v>1</v>
      </c>
    </row>
    <row r="36" spans="1:39" ht="20" customHeight="1" x14ac:dyDescent="0.45">
      <c r="A36" s="26">
        <v>26</v>
      </c>
      <c r="B36" s="16" t="s">
        <v>538</v>
      </c>
      <c r="C36" s="16" t="s">
        <v>214</v>
      </c>
      <c r="D36" s="46">
        <v>28</v>
      </c>
      <c r="E36" s="46">
        <v>1</v>
      </c>
      <c r="F36" s="13">
        <v>1.19114912513326E-2</v>
      </c>
      <c r="G36" s="13">
        <v>-0.30044802823281402</v>
      </c>
      <c r="H36" s="13">
        <v>0.13635963566180051</v>
      </c>
      <c r="I36" s="13">
        <v>1.0130202205761E-2</v>
      </c>
      <c r="J36" s="13">
        <v>0.54115064264829194</v>
      </c>
      <c r="K36" s="13">
        <v>17.825444444444472</v>
      </c>
      <c r="L36" s="13">
        <v>1.0950459269245629</v>
      </c>
      <c r="M36" s="13">
        <v>-1.743957895180434</v>
      </c>
      <c r="N36" s="19">
        <f>(F36-Settings!$D$18)/Settings!$E$18</f>
        <v>-0.64567958322330865</v>
      </c>
      <c r="O36" s="19">
        <f>(G36-Settings!$D$19)/Settings!$E$19</f>
        <v>-1.2240337928072964</v>
      </c>
      <c r="P36" s="19">
        <f>(H36-Settings!$D$20)/Settings!$E$20</f>
        <v>0.75410191002938953</v>
      </c>
      <c r="Q36" s="19">
        <f>(I36-Settings!$D$21)/Settings!$E$21</f>
        <v>0.16078333643120976</v>
      </c>
      <c r="R36" s="19">
        <f>(J36-Settings!$D$22)/Settings!$E$22</f>
        <v>0.7891089748417508</v>
      </c>
      <c r="S36" s="19">
        <f>(K36-Settings!$D$23)/Settings!$E$23</f>
        <v>0.89258274666762427</v>
      </c>
      <c r="T36" s="19">
        <f>(L36-Settings!$D$24)/Settings!$E$24</f>
        <v>-0.14741202531960668</v>
      </c>
      <c r="U36" s="19">
        <f>(M36-Settings!$D$25)/Settings!$E$25</f>
        <v>-1.1401743698306332</v>
      </c>
      <c r="V36" s="31">
        <f>Settings!$B$18*(N36-F$6)^2</f>
        <v>0.18377147801190685</v>
      </c>
      <c r="W36" s="31">
        <f>Settings!$B$19*(O36-G$6)^2</f>
        <v>7.213944077647759E-2</v>
      </c>
      <c r="X36" s="31">
        <f>Settings!$B$20*(P36-H$6)^2</f>
        <v>0.31923264276186125</v>
      </c>
      <c r="Y36" s="31">
        <f>Settings!$B$21*(Q36-I$6)^2</f>
        <v>3.1179417506530032E-3</v>
      </c>
      <c r="Z36" s="31">
        <f>Settings!$B$22*(R36-J$6)^2</f>
        <v>9.2684478530228154E-2</v>
      </c>
      <c r="AA36" s="31">
        <f>Settings!$B$23*(S36-K$6)^2</f>
        <v>0.45218300669752037</v>
      </c>
      <c r="AB36" s="31">
        <f>Settings!$B$24*(T36-L$6)^2</f>
        <v>0.71282430704832189</v>
      </c>
      <c r="AC36" s="31">
        <f>Settings!$B$25*(U36-M$6)^2</f>
        <v>0.19705767106767977</v>
      </c>
      <c r="AD36" s="19">
        <f t="shared" si="0"/>
        <v>1.425836935503022</v>
      </c>
      <c r="AE36" s="15">
        <f t="shared" si="1"/>
        <v>0.56437210891405887</v>
      </c>
      <c r="AF36" s="33">
        <f t="shared" si="2"/>
        <v>0.85277636660475797</v>
      </c>
      <c r="AG36" s="47">
        <f t="shared" si="3"/>
        <v>3.6781548222987394E-3</v>
      </c>
      <c r="AH36" s="48"/>
      <c r="AI36" s="48"/>
      <c r="AJ36" s="48"/>
      <c r="AK36" s="48"/>
      <c r="AL36" s="48"/>
      <c r="AM36" s="48"/>
    </row>
    <row r="37" spans="1:39" ht="20" customHeight="1" x14ac:dyDescent="0.45">
      <c r="A37" s="26">
        <v>27</v>
      </c>
      <c r="B37" s="16" t="s">
        <v>341</v>
      </c>
      <c r="C37" s="16" t="s">
        <v>229</v>
      </c>
      <c r="D37" s="46">
        <v>28</v>
      </c>
      <c r="E37" s="46">
        <v>1</v>
      </c>
      <c r="F37" s="13">
        <v>-3.8438288786357293E-2</v>
      </c>
      <c r="G37" s="13">
        <v>0.11264995647148759</v>
      </c>
      <c r="H37" s="13">
        <v>0.15887586267181761</v>
      </c>
      <c r="I37" s="13">
        <v>1.843890206327518E-2</v>
      </c>
      <c r="J37" s="13">
        <v>0.6715969900070623</v>
      </c>
      <c r="K37" s="13">
        <v>17.623333333333338</v>
      </c>
      <c r="L37" s="13">
        <v>1.637969401955043</v>
      </c>
      <c r="M37" s="13">
        <v>-1.3103663907408729</v>
      </c>
      <c r="N37" s="19">
        <f>(F37-Settings!$D$18)/Settings!$E$18</f>
        <v>-0.8258783072560949</v>
      </c>
      <c r="O37" s="19">
        <f>(G37-Settings!$D$19)/Settings!$E$19</f>
        <v>0.49698506340755555</v>
      </c>
      <c r="P37" s="19">
        <f>(H37-Settings!$D$20)/Settings!$E$20</f>
        <v>0.95810325656939777</v>
      </c>
      <c r="Q37" s="19">
        <f>(I37-Settings!$D$21)/Settings!$E$21</f>
        <v>0.26295797387920639</v>
      </c>
      <c r="R37" s="19">
        <f>(J37-Settings!$D$22)/Settings!$E$22</f>
        <v>1.1400810139008506</v>
      </c>
      <c r="S37" s="19">
        <f>(K37-Settings!$D$23)/Settings!$E$23</f>
        <v>0.82239420658286067</v>
      </c>
      <c r="T37" s="19">
        <f>(L37-Settings!$D$24)/Settings!$E$24</f>
        <v>0.22794067000490428</v>
      </c>
      <c r="U37" s="19">
        <f>(M37-Settings!$D$25)/Settings!$E$25</f>
        <v>-0.84775543011003041</v>
      </c>
      <c r="V37" s="31">
        <f>Settings!$B$18*(N37-F$6)^2</f>
        <v>0.2593590659344957</v>
      </c>
      <c r="W37" s="31">
        <f>Settings!$B$19*(O37-G$6)^2</f>
        <v>0.25107632242940153</v>
      </c>
      <c r="X37" s="31">
        <f>Settings!$B$20*(P37-H$6)^2</f>
        <v>0.2244623600380482</v>
      </c>
      <c r="Y37" s="31">
        <f>Settings!$B$21*(Q37-I$6)^2</f>
        <v>1.0308832276605241E-2</v>
      </c>
      <c r="Z37" s="31">
        <f>Settings!$B$22*(R37-J$6)^2</f>
        <v>0.21289062791909635</v>
      </c>
      <c r="AA37" s="31">
        <f>Settings!$B$23*(S37-K$6)^2</f>
        <v>0.3627134961247212</v>
      </c>
      <c r="AB37" s="31">
        <f>Settings!$B$24*(T37-L$6)^2</f>
        <v>0.21990147530543891</v>
      </c>
      <c r="AC37" s="31">
        <f>Settings!$B$25*(U37-M$6)^2</f>
        <v>0.54218293319146038</v>
      </c>
      <c r="AD37" s="19">
        <f t="shared" si="0"/>
        <v>1.44322386108991</v>
      </c>
      <c r="AE37" s="15">
        <f t="shared" si="1"/>
        <v>0.57125416927921691</v>
      </c>
      <c r="AF37" s="33">
        <f t="shared" si="2"/>
        <v>0.8494504542815382</v>
      </c>
      <c r="AG37" s="47">
        <f t="shared" si="3"/>
        <v>3.6638096540585609E-3</v>
      </c>
      <c r="AH37" s="18">
        <v>-0.98770190080542797</v>
      </c>
      <c r="AI37" s="46">
        <v>1</v>
      </c>
      <c r="AJ37" s="18">
        <v>1.415591066310746</v>
      </c>
      <c r="AK37" s="46">
        <v>1</v>
      </c>
      <c r="AL37" s="18">
        <v>1.498714225733869</v>
      </c>
      <c r="AM37" s="46">
        <v>1</v>
      </c>
    </row>
    <row r="38" spans="1:39" ht="20" customHeight="1" x14ac:dyDescent="0.45">
      <c r="A38" s="26">
        <v>28</v>
      </c>
      <c r="B38" s="16" t="s">
        <v>482</v>
      </c>
      <c r="C38" s="16" t="s">
        <v>229</v>
      </c>
      <c r="D38" s="46">
        <v>28</v>
      </c>
      <c r="E38" s="46">
        <v>1</v>
      </c>
      <c r="F38" s="13">
        <v>0.31147836040675991</v>
      </c>
      <c r="G38" s="13">
        <v>-0.37609672451864279</v>
      </c>
      <c r="H38" s="13">
        <v>-2.0825004233757011E-2</v>
      </c>
      <c r="I38" s="13">
        <v>-1.7261454076527339E-3</v>
      </c>
      <c r="J38" s="13">
        <v>0.28987376543318749</v>
      </c>
      <c r="K38" s="13">
        <v>15.46880733944954</v>
      </c>
      <c r="L38" s="13">
        <v>1.310810476611693</v>
      </c>
      <c r="M38" s="13">
        <v>-2.3695021632266808</v>
      </c>
      <c r="N38" s="19">
        <f>(F38-Settings!$D$18)/Settings!$E$18</f>
        <v>0.42645156698025027</v>
      </c>
      <c r="O38" s="19">
        <f>(G38-Settings!$D$19)/Settings!$E$19</f>
        <v>-1.5391959034362666</v>
      </c>
      <c r="P38" s="19">
        <f>(H38-Settings!$D$20)/Settings!$E$20</f>
        <v>-0.67002115374299331</v>
      </c>
      <c r="Q38" s="19">
        <f>(I38-Settings!$D$21)/Settings!$E$21</f>
        <v>1.4982183467140179E-2</v>
      </c>
      <c r="R38" s="19">
        <f>(J38-Settings!$D$22)/Settings!$E$22</f>
        <v>0.11303670643216804</v>
      </c>
      <c r="S38" s="19">
        <f>(K38-Settings!$D$23)/Settings!$E$23</f>
        <v>7.4176885654737817E-2</v>
      </c>
      <c r="T38" s="19">
        <f>(L38-Settings!$D$24)/Settings!$E$24</f>
        <v>1.7578098509888401E-3</v>
      </c>
      <c r="U38" s="19">
        <f>(M38-Settings!$D$25)/Settings!$E$25</f>
        <v>-1.5620483912020131</v>
      </c>
      <c r="V38" s="31">
        <f>Settings!$B$18*(N38-F$6)^2</f>
        <v>2.579204572681178E-3</v>
      </c>
      <c r="W38" s="31">
        <f>Settings!$B$19*(O38-G$6)^2</f>
        <v>0.1677169871767801</v>
      </c>
      <c r="X38" s="31">
        <f>Settings!$B$20*(P38-H$6)^2</f>
        <v>1.4445490892808073</v>
      </c>
      <c r="Y38" s="31">
        <f>Settings!$B$21*(Q38-I$6)^2</f>
        <v>8.7716804715311421E-5</v>
      </c>
      <c r="Z38" s="31">
        <f>Settings!$B$22*(R38-J$6)^2</f>
        <v>4.3787500794086385E-6</v>
      </c>
      <c r="AA38" s="31">
        <f>Settings!$B$23*(S38-K$6)^2</f>
        <v>2.13044147823781E-2</v>
      </c>
      <c r="AB38" s="31">
        <f>Settings!$B$24*(T38-L$6)^2</f>
        <v>0.48319097566501673</v>
      </c>
      <c r="AC38" s="31">
        <f>Settings!$B$25*(U38-M$6)^2</f>
        <v>4.8566293667851544E-4</v>
      </c>
      <c r="AD38" s="19">
        <f t="shared" si="0"/>
        <v>1.4559939663230534</v>
      </c>
      <c r="AE38" s="15">
        <f t="shared" si="1"/>
        <v>0.57630880844729337</v>
      </c>
      <c r="AF38" s="33">
        <f t="shared" si="2"/>
        <v>0.84699039760112815</v>
      </c>
      <c r="AG38" s="47">
        <f t="shared" si="3"/>
        <v>3.6531990535582162E-3</v>
      </c>
      <c r="AH38" s="18">
        <v>-1.6421704935798309</v>
      </c>
      <c r="AI38" s="46">
        <v>1</v>
      </c>
      <c r="AJ38" s="48"/>
      <c r="AK38" s="48"/>
      <c r="AL38" s="48"/>
      <c r="AM38" s="48"/>
    </row>
    <row r="39" spans="1:39" ht="20" customHeight="1" x14ac:dyDescent="0.45">
      <c r="A39" s="26">
        <v>29</v>
      </c>
      <c r="B39" s="16" t="s">
        <v>346</v>
      </c>
      <c r="C39" s="16" t="s">
        <v>218</v>
      </c>
      <c r="D39" s="46">
        <v>28</v>
      </c>
      <c r="E39" s="46">
        <v>0</v>
      </c>
      <c r="F39" s="13">
        <v>-8.0974829494029371E-2</v>
      </c>
      <c r="G39" s="13">
        <v>0.1113899595611766</v>
      </c>
      <c r="H39" s="13">
        <v>2.5829756649490752E-2</v>
      </c>
      <c r="I39" s="13">
        <v>3.248446360513108E-3</v>
      </c>
      <c r="J39" s="13">
        <v>0.7785570079347901</v>
      </c>
      <c r="K39" s="13">
        <v>15.141666666666641</v>
      </c>
      <c r="L39" s="13">
        <v>1.9506706610959339</v>
      </c>
      <c r="M39" s="13">
        <v>-2.6932593834726788</v>
      </c>
      <c r="N39" s="19">
        <f>(F39-Settings!$D$18)/Settings!$E$18</f>
        <v>-0.97811393479117914</v>
      </c>
      <c r="O39" s="19">
        <f>(G39-Settings!$D$19)/Settings!$E$19</f>
        <v>0.49173575568466776</v>
      </c>
      <c r="P39" s="19">
        <f>(H39-Settings!$D$20)/Settings!$E$20</f>
        <v>-0.24732004851562078</v>
      </c>
      <c r="Q39" s="19">
        <f>(I39-Settings!$D$21)/Settings!$E$21</f>
        <v>7.6156268351727771E-2</v>
      </c>
      <c r="R39" s="19">
        <f>(J39-Settings!$D$22)/Settings!$E$22</f>
        <v>1.4278619778756043</v>
      </c>
      <c r="S39" s="19">
        <f>(K39-Settings!$D$23)/Settings!$E$23</f>
        <v>-3.9431545364937481E-2</v>
      </c>
      <c r="T39" s="19">
        <f>(L39-Settings!$D$24)/Settings!$E$24</f>
        <v>0.44412815470210276</v>
      </c>
      <c r="U39" s="19">
        <f>(M39-Settings!$D$25)/Settings!$E$25</f>
        <v>-1.7803938663828374</v>
      </c>
      <c r="V39" s="31">
        <f>Settings!$B$18*(N39-F$6)^2</f>
        <v>0.33333870174203961</v>
      </c>
      <c r="W39" s="31">
        <f>Settings!$B$19*(O39-G$6)^2</f>
        <v>0.24872922365576178</v>
      </c>
      <c r="X39" s="31">
        <f>Settings!$B$20*(P39-H$6)^2</f>
        <v>1.0258778402063322</v>
      </c>
      <c r="Y39" s="31">
        <f>Settings!$B$21*(Q39-I$6)^2</f>
        <v>3.2371772991703285E-4</v>
      </c>
      <c r="Z39" s="31">
        <f>Settings!$B$22*(R39-J$6)^2</f>
        <v>0.34821834448196171</v>
      </c>
      <c r="AA39" s="31">
        <f>Settings!$B$23*(S39-K$6)^2</f>
        <v>6.737593609311561E-2</v>
      </c>
      <c r="AB39" s="31">
        <f>Settings!$B$24*(T39-L$6)^2</f>
        <v>6.3882083209218191E-2</v>
      </c>
      <c r="AC39" s="31">
        <f>Settings!$B$25*(U39-M$6)^2</f>
        <v>3.8536718408301564E-2</v>
      </c>
      <c r="AD39" s="19">
        <f t="shared" si="0"/>
        <v>1.45817782369869</v>
      </c>
      <c r="AE39" s="15">
        <f t="shared" si="1"/>
        <v>0.57717321878901362</v>
      </c>
      <c r="AF39" s="33">
        <f t="shared" si="2"/>
        <v>0.84656824348812942</v>
      </c>
      <c r="AG39" s="47">
        <f t="shared" si="3"/>
        <v>3.6513782383394951E-3</v>
      </c>
      <c r="AH39" s="18">
        <v>-1.1417948205904811</v>
      </c>
      <c r="AI39" s="46">
        <v>0</v>
      </c>
      <c r="AJ39" s="18">
        <v>-0.14103874351632689</v>
      </c>
      <c r="AK39" s="46">
        <v>0</v>
      </c>
      <c r="AL39" s="18">
        <v>0.1899213229736052</v>
      </c>
      <c r="AM39" s="46">
        <v>0</v>
      </c>
    </row>
    <row r="40" spans="1:39" ht="20" customHeight="1" x14ac:dyDescent="0.45">
      <c r="A40" s="26">
        <v>30</v>
      </c>
      <c r="B40" s="16" t="s">
        <v>273</v>
      </c>
      <c r="C40" s="16" t="s">
        <v>246</v>
      </c>
      <c r="D40" s="46">
        <v>28</v>
      </c>
      <c r="E40" s="46">
        <v>1</v>
      </c>
      <c r="F40" s="13">
        <v>0.25528632449532962</v>
      </c>
      <c r="G40" s="13">
        <v>-8.9146494177065383E-2</v>
      </c>
      <c r="H40" s="13">
        <v>5.8403017811358968E-2</v>
      </c>
      <c r="I40" s="13">
        <v>2.0421745896729619E-4</v>
      </c>
      <c r="J40" s="13">
        <v>0.59695994605727887</v>
      </c>
      <c r="K40" s="13">
        <v>17.090156599552611</v>
      </c>
      <c r="L40" s="13">
        <v>1.8505402682515799</v>
      </c>
      <c r="M40" s="13">
        <v>-0.92474278130377585</v>
      </c>
      <c r="N40" s="19">
        <f>(F40-Settings!$D$18)/Settings!$E$18</f>
        <v>0.22534377337192638</v>
      </c>
      <c r="O40" s="19">
        <f>(G40-Settings!$D$19)/Settings!$E$19</f>
        <v>-0.34372467022134595</v>
      </c>
      <c r="P40" s="19">
        <f>(H40-Settings!$D$20)/Settings!$E$20</f>
        <v>4.7799961389423377E-2</v>
      </c>
      <c r="Q40" s="19">
        <f>(I40-Settings!$D$21)/Settings!$E$21</f>
        <v>3.8720449311657766E-2</v>
      </c>
      <c r="R40" s="19">
        <f>(J40-Settings!$D$22)/Settings!$E$22</f>
        <v>0.93926653319827602</v>
      </c>
      <c r="S40" s="19">
        <f>(K40-Settings!$D$23)/Settings!$E$23</f>
        <v>0.63723419066144726</v>
      </c>
      <c r="T40" s="19">
        <f>(L40-Settings!$D$24)/Settings!$E$24</f>
        <v>0.37490253715826682</v>
      </c>
      <c r="U40" s="19">
        <f>(M40-Settings!$D$25)/Settings!$E$25</f>
        <v>-0.58768657302165073</v>
      </c>
      <c r="V40" s="31">
        <f>Settings!$B$18*(N40-F$6)^2</f>
        <v>1.532900218704252E-3</v>
      </c>
      <c r="W40" s="31">
        <f>Settings!$B$19*(O40-G$6)^2</f>
        <v>1.5649595596113262E-2</v>
      </c>
      <c r="X40" s="31">
        <f>Settings!$B$20*(P40-H$6)^2</f>
        <v>0.77594005638952968</v>
      </c>
      <c r="Y40" s="31">
        <f>Settings!$B$21*(Q40-I$6)^2</f>
        <v>1.5633756788569517E-6</v>
      </c>
      <c r="Z40" s="31">
        <f>Settings!$B$22*(R40-J$6)^2</f>
        <v>0.13808192087467253</v>
      </c>
      <c r="AA40" s="31">
        <f>Settings!$B$23*(S40-K$6)^2</f>
        <v>0.17396989556500686</v>
      </c>
      <c r="AB40" s="31">
        <f>Settings!$B$24*(T40-L$6)^2</f>
        <v>0.10366768772890587</v>
      </c>
      <c r="AC40" s="31">
        <f>Settings!$B$25*(U40-M$6)^2</f>
        <v>0.99281212260185892</v>
      </c>
      <c r="AD40" s="19">
        <f t="shared" si="0"/>
        <v>1.4837977430736542</v>
      </c>
      <c r="AE40" s="15">
        <f t="shared" si="1"/>
        <v>0.58731404735631088</v>
      </c>
      <c r="AF40" s="33">
        <f t="shared" si="2"/>
        <v>0.8415844657960263</v>
      </c>
      <c r="AG40" s="47">
        <f t="shared" si="3"/>
        <v>3.6298824433464217E-3</v>
      </c>
      <c r="AH40" s="18">
        <v>-0.9231450502624341</v>
      </c>
      <c r="AI40" s="46">
        <v>1</v>
      </c>
      <c r="AJ40" s="48"/>
      <c r="AK40" s="48"/>
      <c r="AL40" s="48"/>
      <c r="AM40" s="48"/>
    </row>
    <row r="41" spans="1:39" ht="20" customHeight="1" x14ac:dyDescent="0.45">
      <c r="A41" s="26">
        <v>31</v>
      </c>
      <c r="B41" s="16" t="s">
        <v>222</v>
      </c>
      <c r="C41" s="16" t="s">
        <v>218</v>
      </c>
      <c r="D41" s="46">
        <v>28</v>
      </c>
      <c r="E41" s="46">
        <v>0</v>
      </c>
      <c r="F41" s="13">
        <v>0.38486531457543183</v>
      </c>
      <c r="G41" s="13">
        <v>-0.1083706701649842</v>
      </c>
      <c r="H41" s="13">
        <v>0.11967909591480309</v>
      </c>
      <c r="I41" s="13">
        <v>-7.7783458803015208E-3</v>
      </c>
      <c r="J41" s="13">
        <v>0.37930657346447932</v>
      </c>
      <c r="K41" s="13">
        <v>19.195909090909119</v>
      </c>
      <c r="L41" s="13">
        <v>2.4507561334790591</v>
      </c>
      <c r="M41" s="13">
        <v>-1.3882424842201511</v>
      </c>
      <c r="N41" s="19">
        <f>(F41-Settings!$D$18)/Settings!$E$18</f>
        <v>0.68909890112844507</v>
      </c>
      <c r="O41" s="19">
        <f>(G41-Settings!$D$19)/Settings!$E$19</f>
        <v>-0.4238150376291745</v>
      </c>
      <c r="P41" s="19">
        <f>(H41-Settings!$D$20)/Settings!$E$20</f>
        <v>0.6029730122843221</v>
      </c>
      <c r="Q41" s="19">
        <f>(I41-Settings!$D$21)/Settings!$E$21</f>
        <v>-5.9443587069779015E-2</v>
      </c>
      <c r="R41" s="19">
        <f>(J41-Settings!$D$22)/Settings!$E$22</f>
        <v>0.35365988698926765</v>
      </c>
      <c r="S41" s="19">
        <f>(K41-Settings!$D$23)/Settings!$E$23</f>
        <v>1.3685135960123873</v>
      </c>
      <c r="T41" s="19">
        <f>(L41-Settings!$D$24)/Settings!$E$24</f>
        <v>0.78986459562704026</v>
      </c>
      <c r="U41" s="19">
        <f>(M41-Settings!$D$25)/Settings!$E$25</f>
        <v>-0.900275934897659</v>
      </c>
      <c r="V41" s="31">
        <f>Settings!$B$18*(N41-F$6)^2</f>
        <v>2.8306490550656524E-2</v>
      </c>
      <c r="W41" s="31">
        <f>Settings!$B$19*(O41-G$6)^2</f>
        <v>7.9710688420012114E-3</v>
      </c>
      <c r="X41" s="31">
        <f>Settings!$B$20*(P41-H$6)^2</f>
        <v>0.40017474020320798</v>
      </c>
      <c r="Y41" s="31">
        <f>Settings!$B$21*(Q41-I$6)^2</f>
        <v>1.8190175045326624E-3</v>
      </c>
      <c r="Z41" s="31">
        <f>Settings!$B$22*(R41-J$6)^2</f>
        <v>1.2034639395352447E-2</v>
      </c>
      <c r="AA41" s="31">
        <f>Settings!$B$23*(S41-K$6)^2</f>
        <v>1.3187683357571558</v>
      </c>
      <c r="AB41" s="31">
        <f>Settings!$B$24*(T41-L$6)^2</f>
        <v>8.6466545276565575E-3</v>
      </c>
      <c r="AC41" s="31">
        <f>Settings!$B$25*(U41-M$6)^2</f>
        <v>0.4675964141209526</v>
      </c>
      <c r="AD41" s="19">
        <f t="shared" si="0"/>
        <v>1.4984383073391829</v>
      </c>
      <c r="AE41" s="15">
        <f t="shared" si="1"/>
        <v>0.5931090481200646</v>
      </c>
      <c r="AF41" s="33">
        <f t="shared" si="2"/>
        <v>0.83871093127676655</v>
      </c>
      <c r="AG41" s="47">
        <f t="shared" si="3"/>
        <v>3.6174884497239932E-3</v>
      </c>
      <c r="AH41" s="18">
        <v>-0.2160456429787265</v>
      </c>
      <c r="AI41" s="46">
        <v>0</v>
      </c>
      <c r="AJ41" s="18">
        <v>-1.0402919636069681</v>
      </c>
      <c r="AK41" s="46">
        <v>0</v>
      </c>
      <c r="AL41" s="48"/>
      <c r="AM41" s="48"/>
    </row>
    <row r="42" spans="1:39" ht="20" customHeight="1" x14ac:dyDescent="0.45">
      <c r="A42" s="26">
        <v>32</v>
      </c>
      <c r="B42" s="16" t="s">
        <v>393</v>
      </c>
      <c r="C42" s="16" t="s">
        <v>232</v>
      </c>
      <c r="D42" s="46">
        <v>28</v>
      </c>
      <c r="E42" s="46">
        <v>0</v>
      </c>
      <c r="F42" s="13">
        <v>0.32480299967533038</v>
      </c>
      <c r="G42" s="13">
        <v>-0.14527399986227121</v>
      </c>
      <c r="H42" s="13">
        <v>2.947518214537739E-2</v>
      </c>
      <c r="I42" s="13">
        <v>-5.0346450342995758E-2</v>
      </c>
      <c r="J42" s="13">
        <v>0.45010136797402511</v>
      </c>
      <c r="K42" s="13">
        <v>18.992388451443549</v>
      </c>
      <c r="L42" s="13">
        <v>2.2978372414195869</v>
      </c>
      <c r="M42" s="13">
        <v>-2.5110611124259101</v>
      </c>
      <c r="N42" s="19">
        <f>(F42-Settings!$D$18)/Settings!$E$18</f>
        <v>0.47413962028646534</v>
      </c>
      <c r="O42" s="19">
        <f>(G42-Settings!$D$19)/Settings!$E$19</f>
        <v>-0.57755901270958143</v>
      </c>
      <c r="P42" s="19">
        <f>(H42-Settings!$D$20)/Settings!$E$20</f>
        <v>-0.21429179251423547</v>
      </c>
      <c r="Q42" s="19">
        <f>(I42-Settings!$D$21)/Settings!$E$21</f>
        <v>-0.58291665926058145</v>
      </c>
      <c r="R42" s="19">
        <f>(J42-Settings!$D$22)/Settings!$E$22</f>
        <v>0.54413661467753205</v>
      </c>
      <c r="S42" s="19">
        <f>(K42-Settings!$D$23)/Settings!$E$23</f>
        <v>1.2978355591510136</v>
      </c>
      <c r="T42" s="19">
        <f>(L42-Settings!$D$24)/Settings!$E$24</f>
        <v>0.68414340113026795</v>
      </c>
      <c r="U42" s="19">
        <f>(M42-Settings!$D$25)/Settings!$E$25</f>
        <v>-1.6575173231551559</v>
      </c>
      <c r="V42" s="31">
        <f>Settings!$B$18*(N42-F$6)^2</f>
        <v>5.2002293279010681E-3</v>
      </c>
      <c r="W42" s="31">
        <f>Settings!$B$19*(O42-G$6)^2</f>
        <v>4.2125291000088275E-4</v>
      </c>
      <c r="X42" s="31">
        <f>Settings!$B$20*(P42-H$6)^2</f>
        <v>0.99617485103329262</v>
      </c>
      <c r="Y42" s="31">
        <f>Settings!$B$21*(Q42-I$6)^2</f>
        <v>7.6592896183540024E-2</v>
      </c>
      <c r="Z42" s="31">
        <f>Settings!$B$22*(R42-J$6)^2</f>
        <v>3.7980664588144482E-2</v>
      </c>
      <c r="AA42" s="31">
        <f>Settings!$B$23*(S42-K$6)^2</f>
        <v>1.1614337428424739</v>
      </c>
      <c r="AB42" s="31">
        <f>Settings!$B$24*(T42-L$6)^2</f>
        <v>1.621498004276527E-4</v>
      </c>
      <c r="AC42" s="31">
        <f>Settings!$B$25*(U42-M$6)^2</f>
        <v>5.3921367782991027E-3</v>
      </c>
      <c r="AD42" s="19">
        <f t="shared" si="0"/>
        <v>1.5110783975241258</v>
      </c>
      <c r="AE42" s="15">
        <f t="shared" si="1"/>
        <v>0.59811222497494343</v>
      </c>
      <c r="AF42" s="33">
        <f t="shared" si="2"/>
        <v>0.83621533874746068</v>
      </c>
      <c r="AG42" s="47">
        <f t="shared" si="3"/>
        <v>3.6067245776754452E-3</v>
      </c>
      <c r="AH42" s="18">
        <v>-0.13190140229620659</v>
      </c>
      <c r="AI42" s="46">
        <v>0</v>
      </c>
      <c r="AJ42" s="18">
        <v>0.27040870318167892</v>
      </c>
      <c r="AK42" s="46">
        <v>0</v>
      </c>
      <c r="AL42" s="18">
        <v>-1.3791336505647851</v>
      </c>
      <c r="AM42" s="46">
        <v>0</v>
      </c>
    </row>
    <row r="43" spans="1:39" ht="20" customHeight="1" x14ac:dyDescent="0.45">
      <c r="A43" s="26">
        <v>33</v>
      </c>
      <c r="B43" s="16" t="s">
        <v>332</v>
      </c>
      <c r="C43" s="16" t="s">
        <v>234</v>
      </c>
      <c r="D43" s="46">
        <v>28</v>
      </c>
      <c r="E43" s="46">
        <v>1</v>
      </c>
      <c r="F43" s="13">
        <v>0.21284527928576069</v>
      </c>
      <c r="G43" s="13">
        <v>0.14936945754212999</v>
      </c>
      <c r="H43" s="13">
        <v>2.8645103258922158E-3</v>
      </c>
      <c r="I43" s="13">
        <v>6.008324131668312E-2</v>
      </c>
      <c r="J43" s="13">
        <v>0.574837511529534</v>
      </c>
      <c r="K43" s="13">
        <v>14.77155555555553</v>
      </c>
      <c r="L43" s="13">
        <v>1.806216610488609</v>
      </c>
      <c r="M43" s="13">
        <v>-1.6526100865081741</v>
      </c>
      <c r="N43" s="19">
        <f>(F43-Settings!$D$18)/Settings!$E$18</f>
        <v>7.3449918271521655E-2</v>
      </c>
      <c r="O43" s="19">
        <f>(G43-Settings!$D$19)/Settings!$E$19</f>
        <v>0.6499631849992461</v>
      </c>
      <c r="P43" s="19">
        <f>(H43-Settings!$D$20)/Settings!$E$20</f>
        <v>-0.45538959638226917</v>
      </c>
      <c r="Q43" s="19">
        <f>(I43-Settings!$D$21)/Settings!$E$21</f>
        <v>0.77507122119192751</v>
      </c>
      <c r="R43" s="19">
        <f>(J43-Settings!$D$22)/Settings!$E$22</f>
        <v>0.87974508156422204</v>
      </c>
      <c r="S43" s="19">
        <f>(K43-Settings!$D$23)/Settings!$E$23</f>
        <v>-0.16796262124306954</v>
      </c>
      <c r="T43" s="19">
        <f>(L43-Settings!$D$24)/Settings!$E$24</f>
        <v>0.3442591681143361</v>
      </c>
      <c r="U43" s="19">
        <f>(M43-Settings!$D$25)/Settings!$E$25</f>
        <v>-1.0785683902755929</v>
      </c>
      <c r="V43" s="31">
        <f>Settings!$B$18*(N43-F$6)^2</f>
        <v>1.1466397683058915E-2</v>
      </c>
      <c r="W43" s="31">
        <f>Settings!$B$19*(O43-G$6)^2</f>
        <v>0.32431779200685273</v>
      </c>
      <c r="X43" s="31">
        <f>Settings!$B$20*(P43-H$6)^2</f>
        <v>1.2230320815086559</v>
      </c>
      <c r="Y43" s="31">
        <f>Settings!$B$21*(Q43-I$6)^2</f>
        <v>0.10926755107679874</v>
      </c>
      <c r="Z43" s="31">
        <f>Settings!$B$22*(R43-J$6)^2</f>
        <v>0.11900771989290047</v>
      </c>
      <c r="AA43" s="31">
        <f>Settings!$B$23*(S43-K$6)^2</f>
        <v>0.15062147502090331</v>
      </c>
      <c r="AB43" s="31">
        <f>Settings!$B$24*(T43-L$6)^2</f>
        <v>0.12433948102910922</v>
      </c>
      <c r="AC43" s="31">
        <f>Settings!$B$25*(U43-M$6)^2</f>
        <v>0.25554820823751917</v>
      </c>
      <c r="AD43" s="19">
        <f t="shared" si="0"/>
        <v>1.5223668107443091</v>
      </c>
      <c r="AE43" s="15">
        <f t="shared" si="1"/>
        <v>0.60258038358181853</v>
      </c>
      <c r="AF43" s="33">
        <f t="shared" si="2"/>
        <v>0.83397524498274334</v>
      </c>
      <c r="AG43" s="47">
        <f t="shared" si="3"/>
        <v>3.5970627108534311E-3</v>
      </c>
      <c r="AH43" s="18">
        <v>-1.5635162270351E-2</v>
      </c>
      <c r="AI43" s="46">
        <v>1</v>
      </c>
      <c r="AJ43" s="18">
        <v>0.77831942710259971</v>
      </c>
      <c r="AK43" s="46">
        <v>1</v>
      </c>
      <c r="AL43" s="18">
        <v>-0.62046171441563858</v>
      </c>
      <c r="AM43" s="46">
        <v>1</v>
      </c>
    </row>
    <row r="44" spans="1:39" ht="20" customHeight="1" x14ac:dyDescent="0.45">
      <c r="A44" s="26">
        <v>34</v>
      </c>
      <c r="B44" s="16" t="s">
        <v>329</v>
      </c>
      <c r="C44" s="16" t="s">
        <v>227</v>
      </c>
      <c r="D44" s="46">
        <v>28</v>
      </c>
      <c r="E44" s="46">
        <v>0</v>
      </c>
      <c r="F44" s="13">
        <v>0.25990435891648528</v>
      </c>
      <c r="G44" s="13">
        <v>-0.22658137681958271</v>
      </c>
      <c r="H44" s="13">
        <v>0.21458852149110519</v>
      </c>
      <c r="I44" s="13">
        <v>-4.3956859721967414E-3</v>
      </c>
      <c r="J44" s="13">
        <v>0.2945300568006301</v>
      </c>
      <c r="K44" s="13">
        <v>18.348162729658799</v>
      </c>
      <c r="L44" s="13">
        <v>0.63847484176248015</v>
      </c>
      <c r="M44" s="13">
        <v>-1.748880084833135</v>
      </c>
      <c r="N44" s="19">
        <f>(F44-Settings!$D$18)/Settings!$E$18</f>
        <v>0.24187143068460601</v>
      </c>
      <c r="O44" s="19">
        <f>(G44-Settings!$D$19)/Settings!$E$19</f>
        <v>-0.91629590825039597</v>
      </c>
      <c r="P44" s="19">
        <f>(H44-Settings!$D$20)/Settings!$E$20</f>
        <v>1.4628706589144898</v>
      </c>
      <c r="Q44" s="19">
        <f>(I44-Settings!$D$21)/Settings!$E$21</f>
        <v>-1.7845977859246819E-2</v>
      </c>
      <c r="R44" s="19">
        <f>(J44-Settings!$D$22)/Settings!$E$22</f>
        <v>0.12556467757719331</v>
      </c>
      <c r="S44" s="19">
        <f>(K44-Settings!$D$23)/Settings!$E$23</f>
        <v>1.0741107839591071</v>
      </c>
      <c r="T44" s="19">
        <f>(L44-Settings!$D$24)/Settings!$E$24</f>
        <v>-0.46306459019203827</v>
      </c>
      <c r="U44" s="19">
        <f>(M44-Settings!$D$25)/Settings!$E$25</f>
        <v>-1.1434939493533154</v>
      </c>
      <c r="V44" s="31">
        <f>Settings!$B$18*(N44-F$6)^2</f>
        <v>1.0087532822396059E-3</v>
      </c>
      <c r="W44" s="31">
        <f>Settings!$B$19*(O44-G$6)^2</f>
        <v>1.7151385512173784E-2</v>
      </c>
      <c r="X44" s="31">
        <f>Settings!$B$20*(P44-H$6)^2</f>
        <v>6.1521729755298904E-2</v>
      </c>
      <c r="Y44" s="31">
        <f>Settings!$B$21*(Q44-I$6)^2</f>
        <v>5.7825460470689561E-4</v>
      </c>
      <c r="Z44" s="31">
        <f>Settings!$B$22*(R44-J$6)^2</f>
        <v>5.921649295403724E-5</v>
      </c>
      <c r="AA44" s="31">
        <f>Settings!$B$23*(S44-K$6)^2</f>
        <v>0.72927087380006406</v>
      </c>
      <c r="AB44" s="31">
        <f>Settings!$B$24*(T44-L$6)^2</f>
        <v>1.3454649718255096</v>
      </c>
      <c r="AC44" s="31">
        <f>Settings!$B$25*(U44-M$6)^2</f>
        <v>0.19412148974657775</v>
      </c>
      <c r="AD44" s="19">
        <f t="shared" si="0"/>
        <v>1.5327024091517325</v>
      </c>
      <c r="AE44" s="15">
        <f t="shared" si="1"/>
        <v>0.60667140081165938</v>
      </c>
      <c r="AF44" s="33">
        <f t="shared" si="2"/>
        <v>0.83191492725745397</v>
      </c>
      <c r="AG44" s="47">
        <f t="shared" si="3"/>
        <v>3.588176245569558E-3</v>
      </c>
      <c r="AH44" s="18">
        <v>0.1217286052689518</v>
      </c>
      <c r="AI44" s="46">
        <v>0</v>
      </c>
      <c r="AJ44" s="18">
        <v>1.102173431034299</v>
      </c>
      <c r="AK44" s="46">
        <v>0</v>
      </c>
      <c r="AL44" s="18">
        <v>0.19896604499545931</v>
      </c>
      <c r="AM44" s="46">
        <v>0</v>
      </c>
    </row>
    <row r="45" spans="1:39" ht="20" customHeight="1" x14ac:dyDescent="0.45">
      <c r="A45" s="26">
        <v>35</v>
      </c>
      <c r="B45" s="16" t="s">
        <v>433</v>
      </c>
      <c r="C45" s="16" t="s">
        <v>232</v>
      </c>
      <c r="D45" s="46">
        <v>28</v>
      </c>
      <c r="E45" s="46">
        <v>0</v>
      </c>
      <c r="F45" s="13">
        <v>0.31141219781012808</v>
      </c>
      <c r="G45" s="13">
        <v>0.2148140319233334</v>
      </c>
      <c r="H45" s="13">
        <v>1.204022262725501E-2</v>
      </c>
      <c r="I45" s="13">
        <v>-1.7686275808401521E-2</v>
      </c>
      <c r="J45" s="13">
        <v>0.444047271830882</v>
      </c>
      <c r="K45" s="13">
        <v>17.459161147902911</v>
      </c>
      <c r="L45" s="13">
        <v>3.0126870200286291</v>
      </c>
      <c r="M45" s="13">
        <v>-3.0046097526793791</v>
      </c>
      <c r="N45" s="19">
        <f>(F45-Settings!$D$18)/Settings!$E$18</f>
        <v>0.42621477517137191</v>
      </c>
      <c r="O45" s="19">
        <f>(G45-Settings!$D$19)/Settings!$E$19</f>
        <v>0.92261362319402163</v>
      </c>
      <c r="P45" s="19">
        <f>(H45-Settings!$D$20)/Settings!$E$20</f>
        <v>-0.37225587845923669</v>
      </c>
      <c r="Q45" s="19">
        <f>(I45-Settings!$D$21)/Settings!$E$21</f>
        <v>-0.18128444853118303</v>
      </c>
      <c r="R45" s="19">
        <f>(J45-Settings!$D$22)/Settings!$E$22</f>
        <v>0.52784778397401821</v>
      </c>
      <c r="S45" s="19">
        <f>(K45-Settings!$D$23)/Settings!$E$23</f>
        <v>0.76538098274505428</v>
      </c>
      <c r="T45" s="19">
        <f>(L45-Settings!$D$24)/Settings!$E$24</f>
        <v>1.1783581542093648</v>
      </c>
      <c r="U45" s="19">
        <f>(M45-Settings!$D$25)/Settings!$E$25</f>
        <v>-1.9903720230414219</v>
      </c>
      <c r="V45" s="31">
        <f>Settings!$B$18*(N45-F$6)^2</f>
        <v>2.5684596933791275E-3</v>
      </c>
      <c r="W45" s="31">
        <f>Settings!$B$19*(O45-G$6)^2</f>
        <v>0.47806444433422934</v>
      </c>
      <c r="X45" s="31">
        <f>Settings!$B$20*(P45-H$6)^2</f>
        <v>1.1421822736620713</v>
      </c>
      <c r="Y45" s="31">
        <f>Settings!$B$21*(Q45-I$6)^2</f>
        <v>9.4359525209605586E-3</v>
      </c>
      <c r="Z45" s="31">
        <f>Settings!$B$22*(R45-J$6)^2</f>
        <v>3.5194397751138133E-2</v>
      </c>
      <c r="AA45" s="31">
        <f>Settings!$B$23*(S45-K$6)^2</f>
        <v>0.29729077732282938</v>
      </c>
      <c r="AB45" s="31">
        <f>Settings!$B$24*(T45-L$6)^2</f>
        <v>0.2318239029604704</v>
      </c>
      <c r="AC45" s="31">
        <f>Settings!$B$25*(U45-M$6)^2</f>
        <v>0.16506820834992403</v>
      </c>
      <c r="AD45" s="19">
        <f t="shared" si="0"/>
        <v>1.5367590626363661</v>
      </c>
      <c r="AE45" s="15">
        <f t="shared" si="1"/>
        <v>0.60827709780635009</v>
      </c>
      <c r="AF45" s="33">
        <f t="shared" si="2"/>
        <v>0.83110385678276832</v>
      </c>
      <c r="AG45" s="47">
        <f t="shared" si="3"/>
        <v>3.5846779746341582E-3</v>
      </c>
      <c r="AH45" s="18">
        <v>-0.84418729848285157</v>
      </c>
      <c r="AI45" s="46">
        <v>0</v>
      </c>
      <c r="AJ45" s="18">
        <v>-0.51455005757610439</v>
      </c>
      <c r="AK45" s="46">
        <v>0</v>
      </c>
      <c r="AL45" s="18">
        <v>-0.69335653931505914</v>
      </c>
      <c r="AM45" s="46">
        <v>0</v>
      </c>
    </row>
    <row r="46" spans="1:39" ht="20" customHeight="1" x14ac:dyDescent="0.45">
      <c r="A46" s="26">
        <v>36</v>
      </c>
      <c r="B46" s="16" t="s">
        <v>266</v>
      </c>
      <c r="C46" s="16" t="s">
        <v>214</v>
      </c>
      <c r="D46" s="46">
        <v>28</v>
      </c>
      <c r="E46" s="46">
        <v>1</v>
      </c>
      <c r="F46" s="13">
        <v>0.60905439776514547</v>
      </c>
      <c r="G46" s="13">
        <v>-4.7441255467116472E-2</v>
      </c>
      <c r="H46" s="13">
        <v>0.23691843997091599</v>
      </c>
      <c r="I46" s="13">
        <v>6.7386435241958073E-3</v>
      </c>
      <c r="J46" s="13">
        <v>-9.9847263272626052E-2</v>
      </c>
      <c r="K46" s="13">
        <v>17.964130434782611</v>
      </c>
      <c r="L46" s="13">
        <v>2.6195792745274629</v>
      </c>
      <c r="M46" s="13">
        <v>-0.68233773009743048</v>
      </c>
      <c r="N46" s="19">
        <f>(F46-Settings!$D$18)/Settings!$E$18</f>
        <v>1.4914576542873619</v>
      </c>
      <c r="O46" s="19">
        <f>(G46-Settings!$D$19)/Settings!$E$19</f>
        <v>-0.16997533016067964</v>
      </c>
      <c r="P46" s="19">
        <f>(H46-Settings!$D$20)/Settings!$E$20</f>
        <v>1.6651840143440395</v>
      </c>
      <c r="Q46" s="19">
        <f>(I46-Settings!$D$21)/Settings!$E$21</f>
        <v>0.11907629626666047</v>
      </c>
      <c r="R46" s="19">
        <f>(J46-Settings!$D$22)/Settings!$E$22</f>
        <v>-0.93552606959479201</v>
      </c>
      <c r="S46" s="19">
        <f>(K46-Settings!$D$23)/Settings!$E$23</f>
        <v>0.94074520116371185</v>
      </c>
      <c r="T46" s="19">
        <f>(L46-Settings!$D$24)/Settings!$E$24</f>
        <v>0.90658126738655642</v>
      </c>
      <c r="U46" s="19">
        <f>(M46-Settings!$D$25)/Settings!$E$25</f>
        <v>-0.4242059067011727</v>
      </c>
      <c r="V46" s="31">
        <f>Settings!$B$18*(N46-F$6)^2</f>
        <v>0.27780391425101636</v>
      </c>
      <c r="W46" s="31">
        <f>Settings!$B$19*(O46-G$6)^2</f>
        <v>4.1128412215492509E-2</v>
      </c>
      <c r="X46" s="31">
        <f>Settings!$B$20*(P46-H$6)^2</f>
        <v>2.4824668254348981E-2</v>
      </c>
      <c r="Y46" s="31">
        <f>Settings!$B$21*(Q46-I$6)^2</f>
        <v>1.3828415430897807E-3</v>
      </c>
      <c r="Z46" s="31">
        <f>Settings!$B$22*(R46-J$6)^2</f>
        <v>0.21793863591745644</v>
      </c>
      <c r="AA46" s="31">
        <f>Settings!$B$23*(S46-K$6)^2</f>
        <v>0.5192758843374623</v>
      </c>
      <c r="AB46" s="31">
        <f>Settings!$B$24*(T46-L$6)^2</f>
        <v>4.397579313199998E-2</v>
      </c>
      <c r="AC46" s="31">
        <f>Settings!$B$25*(U46-M$6)^2</f>
        <v>1.345322185312845</v>
      </c>
      <c r="AD46" s="19">
        <f t="shared" si="0"/>
        <v>1.5721489544453833</v>
      </c>
      <c r="AE46" s="15">
        <f t="shared" si="1"/>
        <v>0.62228505858866012</v>
      </c>
      <c r="AF46" s="33">
        <f t="shared" si="2"/>
        <v>0.82397149174225426</v>
      </c>
      <c r="AG46" s="47">
        <f t="shared" si="3"/>
        <v>3.5539149939800277E-3</v>
      </c>
      <c r="AH46" s="48"/>
      <c r="AI46" s="48"/>
      <c r="AJ46" s="48"/>
      <c r="AK46" s="48"/>
      <c r="AL46" s="48"/>
      <c r="AM46" s="48"/>
    </row>
    <row r="47" spans="1:39" ht="20" customHeight="1" x14ac:dyDescent="0.45">
      <c r="A47" s="26">
        <v>37</v>
      </c>
      <c r="B47" s="16" t="s">
        <v>348</v>
      </c>
      <c r="C47" s="16" t="s">
        <v>229</v>
      </c>
      <c r="D47" s="46">
        <v>28</v>
      </c>
      <c r="E47" s="46">
        <v>1</v>
      </c>
      <c r="F47" s="13">
        <v>1.534351852879182E-2</v>
      </c>
      <c r="G47" s="13">
        <v>-0.23417326038193331</v>
      </c>
      <c r="H47" s="13">
        <v>0.21795329467331709</v>
      </c>
      <c r="I47" s="13">
        <v>0.15492737143891269</v>
      </c>
      <c r="J47" s="13">
        <v>0.37760255497704498</v>
      </c>
      <c r="K47" s="13">
        <v>16.697011494252902</v>
      </c>
      <c r="L47" s="13">
        <v>0.59459115230540083</v>
      </c>
      <c r="M47" s="13">
        <v>-2.5168354098934329</v>
      </c>
      <c r="N47" s="19">
        <f>(F47-Settings!$D$18)/Settings!$E$18</f>
        <v>-0.6333965715441926</v>
      </c>
      <c r="O47" s="19">
        <f>(G47-Settings!$D$19)/Settings!$E$19</f>
        <v>-0.94792466280446519</v>
      </c>
      <c r="P47" s="19">
        <f>(H47-Settings!$D$20)/Settings!$E$20</f>
        <v>1.4933561509850555</v>
      </c>
      <c r="Q47" s="19">
        <f>(I47-Settings!$D$21)/Settings!$E$21</f>
        <v>1.9413986581549352</v>
      </c>
      <c r="R47" s="19">
        <f>(J47-Settings!$D$22)/Settings!$E$22</f>
        <v>0.34907514502263853</v>
      </c>
      <c r="S47" s="19">
        <f>(K47-Settings!$D$23)/Settings!$E$23</f>
        <v>0.50070393841181104</v>
      </c>
      <c r="T47" s="19">
        <f>(L47-Settings!$D$24)/Settings!$E$24</f>
        <v>-0.49340378508055144</v>
      </c>
      <c r="U47" s="19">
        <f>(M47-Settings!$D$25)/Settings!$E$25</f>
        <v>-1.6614115736785071</v>
      </c>
      <c r="V47" s="31">
        <f>Settings!$B$18*(N47-F$6)^2</f>
        <v>0.17909199946275492</v>
      </c>
      <c r="W47" s="31">
        <f>Settings!$B$19*(O47-G$6)^2</f>
        <v>2.1056362829037726E-2</v>
      </c>
      <c r="X47" s="31">
        <f>Settings!$B$20*(P47-H$6)^2</f>
        <v>5.4944399043488079E-2</v>
      </c>
      <c r="Y47" s="31">
        <f>Settings!$B$21*(Q47-I$6)^2</f>
        <v>0.72616629157534485</v>
      </c>
      <c r="Z47" s="31">
        <f>Settings!$B$22*(R47-J$6)^2</f>
        <v>1.1588984347430119E-2</v>
      </c>
      <c r="AA47" s="31">
        <f>Settings!$B$23*(S47-K$6)^2</f>
        <v>7.8717691976171164E-2</v>
      </c>
      <c r="AB47" s="31">
        <f>Settings!$B$24*(T47-L$6)^2</f>
        <v>1.4167688390332749</v>
      </c>
      <c r="AC47" s="31">
        <f>Settings!$B$25*(U47-M$6)^2</f>
        <v>5.9792207125336696E-3</v>
      </c>
      <c r="AD47" s="19">
        <f t="shared" si="0"/>
        <v>1.5793396686527048</v>
      </c>
      <c r="AE47" s="15">
        <f t="shared" si="1"/>
        <v>0.62513127363663301</v>
      </c>
      <c r="AF47" s="33">
        <f t="shared" si="2"/>
        <v>0.82251006886261924</v>
      </c>
      <c r="AG47" s="47">
        <f t="shared" si="3"/>
        <v>3.5476116537109387E-3</v>
      </c>
      <c r="AH47" s="18">
        <v>0.61636923713766323</v>
      </c>
      <c r="AI47" s="46">
        <v>1</v>
      </c>
      <c r="AJ47" s="18">
        <v>1.2673852080086681</v>
      </c>
      <c r="AK47" s="46">
        <v>1</v>
      </c>
      <c r="AL47" s="18">
        <v>-0.70057948747131515</v>
      </c>
      <c r="AM47" s="46">
        <v>1</v>
      </c>
    </row>
    <row r="48" spans="1:39" ht="20" customHeight="1" x14ac:dyDescent="0.45">
      <c r="A48" s="26">
        <v>38</v>
      </c>
      <c r="B48" s="16" t="s">
        <v>261</v>
      </c>
      <c r="C48" s="16" t="s">
        <v>220</v>
      </c>
      <c r="D48" s="46">
        <v>28</v>
      </c>
      <c r="E48" s="46">
        <v>1</v>
      </c>
      <c r="F48" s="13">
        <v>0.36826623871437753</v>
      </c>
      <c r="G48" s="13">
        <v>1.5280441492031629E-3</v>
      </c>
      <c r="H48" s="13">
        <v>0.10562348128652781</v>
      </c>
      <c r="I48" s="13">
        <v>-2.7316975912381952E-2</v>
      </c>
      <c r="J48" s="13">
        <v>0.49726525993750942</v>
      </c>
      <c r="K48" s="13">
        <v>18.858838383838389</v>
      </c>
      <c r="L48" s="13">
        <v>2.8488434556725428</v>
      </c>
      <c r="M48" s="13">
        <v>-1.220020111116906</v>
      </c>
      <c r="N48" s="19">
        <f>(F48-Settings!$D$18)/Settings!$E$18</f>
        <v>0.62969184338069795</v>
      </c>
      <c r="O48" s="19">
        <f>(G48-Settings!$D$19)/Settings!$E$19</f>
        <v>3.4037013486183994E-2</v>
      </c>
      <c r="P48" s="19">
        <f>(H48-Settings!$D$20)/Settings!$E$20</f>
        <v>0.47562644088317424</v>
      </c>
      <c r="Q48" s="19">
        <f>(I48-Settings!$D$21)/Settings!$E$21</f>
        <v>-0.29971612958470756</v>
      </c>
      <c r="R48" s="19">
        <f>(J48-Settings!$D$22)/Settings!$E$22</f>
        <v>0.67103328650890504</v>
      </c>
      <c r="S48" s="19">
        <f>(K48-Settings!$D$23)/Settings!$E$23</f>
        <v>1.2514566924875501</v>
      </c>
      <c r="T48" s="19">
        <f>(L48-Settings!$D$24)/Settings!$E$24</f>
        <v>1.0650841361920387</v>
      </c>
      <c r="U48" s="19">
        <f>(M48-Settings!$D$25)/Settings!$E$25</f>
        <v>-0.78682489289969149</v>
      </c>
      <c r="V48" s="31">
        <f>Settings!$B$18*(N48-F$6)^2</f>
        <v>2.0072566305861239E-2</v>
      </c>
      <c r="W48" s="31">
        <f>Settings!$B$19*(O48-G$6)^2</f>
        <v>8.6458642135349567E-2</v>
      </c>
      <c r="X48" s="31">
        <f>Settings!$B$20*(P48-H$6)^2</f>
        <v>0.4754720026336921</v>
      </c>
      <c r="Y48" s="31">
        <f>Settings!$B$21*(Q48-I$6)^2</f>
        <v>2.2530937349697751E-2</v>
      </c>
      <c r="Z48" s="31">
        <f>Settings!$B$22*(R48-J$6)^2</f>
        <v>6.3320778744583556E-2</v>
      </c>
      <c r="AA48" s="31">
        <f>Settings!$B$23*(S48-K$6)^2</f>
        <v>1.063619885561228</v>
      </c>
      <c r="AB48" s="31">
        <f>Settings!$B$24*(T48-L$6)^2</f>
        <v>0.13557634303757224</v>
      </c>
      <c r="AC48" s="31">
        <f>Settings!$B$25*(U48-M$6)^2</f>
        <v>0.63562551655334032</v>
      </c>
      <c r="AD48" s="19">
        <f t="shared" si="0"/>
        <v>1.581985041750182</v>
      </c>
      <c r="AE48" s="15">
        <f t="shared" si="1"/>
        <v>0.62617836026814955</v>
      </c>
      <c r="AF48" s="33">
        <f t="shared" si="2"/>
        <v>0.82197140680966141</v>
      </c>
      <c r="AG48" s="47">
        <f t="shared" si="3"/>
        <v>3.5452883219380797E-3</v>
      </c>
      <c r="AH48" s="18">
        <v>-1.8664488369230621</v>
      </c>
      <c r="AI48" s="46">
        <v>1</v>
      </c>
      <c r="AJ48" s="18">
        <v>-7.0114668733373131E-2</v>
      </c>
      <c r="AK48" s="46">
        <v>1</v>
      </c>
      <c r="AL48" s="18">
        <v>1.408386131052193</v>
      </c>
      <c r="AM48" s="46">
        <v>1</v>
      </c>
    </row>
    <row r="49" spans="1:39" ht="20" customHeight="1" x14ac:dyDescent="0.45">
      <c r="A49" s="26">
        <v>39</v>
      </c>
      <c r="B49" s="16" t="s">
        <v>414</v>
      </c>
      <c r="C49" s="16" t="s">
        <v>246</v>
      </c>
      <c r="D49" s="46">
        <v>28</v>
      </c>
      <c r="E49" s="46">
        <v>1</v>
      </c>
      <c r="F49" s="13">
        <v>0.51480801947082122</v>
      </c>
      <c r="G49" s="13">
        <v>-0.11951366360284491</v>
      </c>
      <c r="H49" s="13">
        <v>0.18856489736704901</v>
      </c>
      <c r="I49" s="13">
        <v>2.0304597041573919E-2</v>
      </c>
      <c r="J49" s="13">
        <v>0.156808822517711</v>
      </c>
      <c r="K49" s="13">
        <v>16.417126436781651</v>
      </c>
      <c r="L49" s="13">
        <v>0.90475862613370728</v>
      </c>
      <c r="M49" s="13">
        <v>-0.7620765312440253</v>
      </c>
      <c r="N49" s="19">
        <f>(F49-Settings!$D$18)/Settings!$E$18</f>
        <v>1.1541557415354959</v>
      </c>
      <c r="O49" s="19">
        <f>(G49-Settings!$D$19)/Settings!$E$19</f>
        <v>-0.47023816853591055</v>
      </c>
      <c r="P49" s="19">
        <f>(H49-Settings!$D$20)/Settings!$E$20</f>
        <v>1.2270916200552404</v>
      </c>
      <c r="Q49" s="19">
        <f>(I49-Settings!$D$21)/Settings!$E$21</f>
        <v>0.28590099881274317</v>
      </c>
      <c r="R49" s="19">
        <f>(J49-Settings!$D$22)/Settings!$E$22</f>
        <v>-0.24498078725726</v>
      </c>
      <c r="S49" s="19">
        <f>(K49-Settings!$D$23)/Settings!$E$23</f>
        <v>0.40350629565259927</v>
      </c>
      <c r="T49" s="19">
        <f>(L49-Settings!$D$24)/Settings!$E$24</f>
        <v>-0.27896804476390086</v>
      </c>
      <c r="U49" s="19">
        <f>(M49-Settings!$D$25)/Settings!$E$25</f>
        <v>-0.47798264228555137</v>
      </c>
      <c r="V49" s="31">
        <f>Settings!$B$18*(N49-F$6)^2</f>
        <v>0.14154530342920665</v>
      </c>
      <c r="W49" s="31">
        <f>Settings!$B$19*(O49-G$6)^2</f>
        <v>4.69496124313895E-3</v>
      </c>
      <c r="X49" s="31">
        <f>Settings!$B$20*(P49-H$6)^2</f>
        <v>0.12494763999664422</v>
      </c>
      <c r="Y49" s="31">
        <f>Settings!$B$21*(Q49-I$6)^2</f>
        <v>1.2497641870649346E-2</v>
      </c>
      <c r="Z49" s="31">
        <f>Settings!$B$22*(R49-J$6)^2</f>
        <v>2.4969607510491702E-2</v>
      </c>
      <c r="AA49" s="31">
        <f>Settings!$B$23*(S49-K$6)^2</f>
        <v>3.3624223458260202E-2</v>
      </c>
      <c r="AB49" s="31">
        <f>Settings!$B$24*(T49-L$6)^2</f>
        <v>0.95227395450882912</v>
      </c>
      <c r="AC49" s="31">
        <f>Settings!$B$25*(U49-M$6)^2</f>
        <v>1.2234649759939096</v>
      </c>
      <c r="AD49" s="19">
        <f t="shared" si="0"/>
        <v>1.5868264895731763</v>
      </c>
      <c r="AE49" s="15">
        <f t="shared" si="1"/>
        <v>0.62809469308996468</v>
      </c>
      <c r="AF49" s="33">
        <f t="shared" si="2"/>
        <v>0.82098415303509975</v>
      </c>
      <c r="AG49" s="47">
        <f t="shared" si="3"/>
        <v>3.541030145499403E-3</v>
      </c>
      <c r="AH49" s="18">
        <v>-0.11551483460870959</v>
      </c>
      <c r="AI49" s="46">
        <v>1</v>
      </c>
      <c r="AJ49" s="48"/>
      <c r="AK49" s="48"/>
      <c r="AL49" s="48"/>
      <c r="AM49" s="48"/>
    </row>
    <row r="50" spans="1:39" ht="20" customHeight="1" x14ac:dyDescent="0.45">
      <c r="A50" s="26">
        <v>40</v>
      </c>
      <c r="B50" s="16" t="s">
        <v>480</v>
      </c>
      <c r="C50" s="16" t="s">
        <v>236</v>
      </c>
      <c r="D50" s="46">
        <v>28</v>
      </c>
      <c r="E50" s="46">
        <v>0</v>
      </c>
      <c r="F50" s="13">
        <v>0.30643404791946749</v>
      </c>
      <c r="G50" s="13">
        <v>5.8923711335991287E-2</v>
      </c>
      <c r="H50" s="13">
        <v>0.27451161899697801</v>
      </c>
      <c r="I50" s="13">
        <v>-1.065286153437307E-4</v>
      </c>
      <c r="J50" s="13">
        <v>0.3600240931322195</v>
      </c>
      <c r="K50" s="13">
        <v>15.00419222903883</v>
      </c>
      <c r="L50" s="13">
        <v>2.9809437157403198</v>
      </c>
      <c r="M50" s="13">
        <v>-0.22451471854418029</v>
      </c>
      <c r="N50" s="19">
        <f>(F50-Settings!$D$18)/Settings!$E$18</f>
        <v>0.40839828704233755</v>
      </c>
      <c r="O50" s="19">
        <f>(G50-Settings!$D$19)/Settings!$E$19</f>
        <v>0.27315467842517199</v>
      </c>
      <c r="P50" s="19">
        <f>(H50-Settings!$D$20)/Settings!$E$20</f>
        <v>2.0057854454196993</v>
      </c>
      <c r="Q50" s="19">
        <f>(I50-Settings!$D$21)/Settings!$E$21</f>
        <v>3.4899109267414484E-2</v>
      </c>
      <c r="R50" s="19">
        <f>(J50-Settings!$D$22)/Settings!$E$22</f>
        <v>0.30177946582487075</v>
      </c>
      <c r="S50" s="19">
        <f>(K50-Settings!$D$23)/Settings!$E$23</f>
        <v>-8.7173255471930236E-2</v>
      </c>
      <c r="T50" s="19">
        <f>(L50-Settings!$D$24)/Settings!$E$24</f>
        <v>1.1564122716474547</v>
      </c>
      <c r="U50" s="19">
        <f>(M50-Settings!$D$25)/Settings!$E$25</f>
        <v>-0.1154449687046214</v>
      </c>
      <c r="V50" s="31">
        <f>Settings!$B$18*(N50-F$6)^2</f>
        <v>1.8243318222477497E-3</v>
      </c>
      <c r="W50" s="31">
        <f>Settings!$B$19*(O50-G$6)^2</f>
        <v>0.16078109112378555</v>
      </c>
      <c r="X50" s="31">
        <f>Settings!$B$20*(P50-H$6)^2</f>
        <v>2.7424798762253257E-5</v>
      </c>
      <c r="Y50" s="31">
        <f>Settings!$B$21*(Q50-I$6)^2</f>
        <v>2.1031854449650639E-7</v>
      </c>
      <c r="Z50" s="31">
        <f>Settings!$B$22*(R50-J$6)^2</f>
        <v>7.4824012663164755E-3</v>
      </c>
      <c r="AA50" s="31">
        <f>Settings!$B$23*(S50-K$6)^2</f>
        <v>9.4439719029161956E-2</v>
      </c>
      <c r="AB50" s="31">
        <f>Settings!$B$24*(T50-L$6)^2</f>
        <v>0.2111724760555635</v>
      </c>
      <c r="AC50" s="31">
        <f>Settings!$B$25*(U50-M$6)^2</f>
        <v>2.156906927649652</v>
      </c>
      <c r="AD50" s="19">
        <f t="shared" si="0"/>
        <v>1.6225395471494781</v>
      </c>
      <c r="AE50" s="15">
        <f t="shared" si="1"/>
        <v>0.64223056874182949</v>
      </c>
      <c r="AF50" s="33">
        <f t="shared" si="2"/>
        <v>0.81364587412335554</v>
      </c>
      <c r="AG50" s="47">
        <f t="shared" si="3"/>
        <v>3.509379026843209E-3</v>
      </c>
      <c r="AH50" s="18">
        <v>-1.051623757574019</v>
      </c>
      <c r="AI50" s="46">
        <v>0</v>
      </c>
      <c r="AJ50" s="18">
        <v>-0.40989195608075191</v>
      </c>
      <c r="AK50" s="46">
        <v>1</v>
      </c>
      <c r="AL50" s="18">
        <v>0.78255321002628109</v>
      </c>
      <c r="AM50" s="46">
        <v>1</v>
      </c>
    </row>
    <row r="51" spans="1:39" ht="20" customHeight="1" x14ac:dyDescent="0.45">
      <c r="A51" s="26">
        <v>41</v>
      </c>
      <c r="B51" s="16" t="s">
        <v>470</v>
      </c>
      <c r="C51" s="16" t="s">
        <v>236</v>
      </c>
      <c r="D51" s="46">
        <v>28</v>
      </c>
      <c r="E51" s="46">
        <v>0</v>
      </c>
      <c r="F51" s="13">
        <v>0.64350671994584108</v>
      </c>
      <c r="G51" s="13">
        <v>-0.1933120760169319</v>
      </c>
      <c r="H51" s="13">
        <v>0.1475929865849839</v>
      </c>
      <c r="I51" s="13">
        <v>-3.7907733762668308E-4</v>
      </c>
      <c r="J51" s="13">
        <v>1.520914011461637E-2</v>
      </c>
      <c r="K51" s="13">
        <v>14.10967741935484</v>
      </c>
      <c r="L51" s="13">
        <v>0.58927725798919506</v>
      </c>
      <c r="M51" s="13">
        <v>-1.913029357843167</v>
      </c>
      <c r="N51" s="19">
        <f>(F51-Settings!$D$18)/Settings!$E$18</f>
        <v>1.6147603676712248</v>
      </c>
      <c r="O51" s="19">
        <f>(G51-Settings!$D$19)/Settings!$E$19</f>
        <v>-0.77769176072488588</v>
      </c>
      <c r="P51" s="19">
        <f>(H51-Settings!$D$20)/Settings!$E$20</f>
        <v>0.85587822954625858</v>
      </c>
      <c r="Q51" s="19">
        <f>(I51-Settings!$D$21)/Settings!$E$21</f>
        <v>3.1547493808469884E-2</v>
      </c>
      <c r="R51" s="19">
        <f>(J51-Settings!$D$22)/Settings!$E$22</f>
        <v>-0.62596139935865136</v>
      </c>
      <c r="S51" s="19">
        <f>(K51-Settings!$D$23)/Settings!$E$23</f>
        <v>-0.3978176739343896</v>
      </c>
      <c r="T51" s="19">
        <f>(L51-Settings!$D$24)/Settings!$E$24</f>
        <v>-0.49707757088276866</v>
      </c>
      <c r="U51" s="19">
        <f>(M51-Settings!$D$25)/Settings!$E$25</f>
        <v>-1.2541980472842567</v>
      </c>
      <c r="V51" s="31">
        <f>Settings!$B$18*(N51-F$6)^2</f>
        <v>0.33897281707720306</v>
      </c>
      <c r="W51" s="31">
        <f>Settings!$B$19*(O51-G$6)^2</f>
        <v>4.7579147060492835E-3</v>
      </c>
      <c r="X51" s="31">
        <f>Settings!$B$20*(P51-H$6)^2</f>
        <v>0.26987090913595468</v>
      </c>
      <c r="Y51" s="31">
        <f>Settings!$B$21*(Q51-I$6)^2</f>
        <v>3.8317788390253884E-6</v>
      </c>
      <c r="Z51" s="31">
        <f>Settings!$B$22*(R51-J$6)^2</f>
        <v>0.10784488755960851</v>
      </c>
      <c r="AA51" s="31">
        <f>Settings!$B$23*(S51-K$6)^2</f>
        <v>0.381868232225264</v>
      </c>
      <c r="AB51" s="31">
        <f>Settings!$B$24*(T51-L$6)^2</f>
        <v>1.425528010550787</v>
      </c>
      <c r="AC51" s="31">
        <f>Settings!$B$25*(U51-M$6)^2</f>
        <v>0.10882616216718516</v>
      </c>
      <c r="AD51" s="19">
        <f t="shared" si="0"/>
        <v>1.6240913660262131</v>
      </c>
      <c r="AE51" s="15">
        <f t="shared" si="1"/>
        <v>0.64284480678708433</v>
      </c>
      <c r="AF51" s="33">
        <f t="shared" si="2"/>
        <v>0.81332481497717735</v>
      </c>
      <c r="AG51" s="47">
        <f t="shared" si="3"/>
        <v>3.5079942496694934E-3</v>
      </c>
      <c r="AH51" s="18">
        <v>-0.81941972980133215</v>
      </c>
      <c r="AI51" s="46">
        <v>0</v>
      </c>
      <c r="AJ51" s="18">
        <v>0.5537626696070268</v>
      </c>
      <c r="AK51" s="46">
        <v>1</v>
      </c>
      <c r="AL51" s="18">
        <v>8.5680079859852376E-2</v>
      </c>
      <c r="AM51" s="46">
        <v>1</v>
      </c>
    </row>
    <row r="52" spans="1:39" ht="20" customHeight="1" x14ac:dyDescent="0.45">
      <c r="A52" s="26">
        <v>42</v>
      </c>
      <c r="B52" s="16" t="s">
        <v>612</v>
      </c>
      <c r="C52" s="16" t="s">
        <v>218</v>
      </c>
      <c r="D52" s="46">
        <v>28</v>
      </c>
      <c r="E52" s="46">
        <v>0</v>
      </c>
      <c r="F52" s="13">
        <v>0.23357938378441079</v>
      </c>
      <c r="G52" s="13">
        <v>0.1879969961040108</v>
      </c>
      <c r="H52" s="13">
        <v>2.834442242960775E-2</v>
      </c>
      <c r="I52" s="13">
        <v>-5.9107047377487308E-2</v>
      </c>
      <c r="J52" s="13">
        <v>0.49097215030448338</v>
      </c>
      <c r="K52" s="13">
        <v>14.28684210526313</v>
      </c>
      <c r="L52" s="13">
        <v>1.9096963831623031</v>
      </c>
      <c r="M52" s="13">
        <v>-1.1922035078738349</v>
      </c>
      <c r="N52" s="19">
        <f>(F52-Settings!$D$18)/Settings!$E$18</f>
        <v>0.14765598574237024</v>
      </c>
      <c r="O52" s="19">
        <f>(G52-Settings!$D$19)/Settings!$E$19</f>
        <v>0.81089043397081673</v>
      </c>
      <c r="P52" s="19">
        <f>(H52-Settings!$D$20)/Settings!$E$20</f>
        <v>-0.22453669298213266</v>
      </c>
      <c r="Q52" s="19">
        <f>(I52-Settings!$D$21)/Settings!$E$21</f>
        <v>-0.69064841527264309</v>
      </c>
      <c r="R52" s="19">
        <f>(J52-Settings!$D$22)/Settings!$E$22</f>
        <v>0.65410137875796637</v>
      </c>
      <c r="S52" s="19">
        <f>(K52-Settings!$D$23)/Settings!$E$23</f>
        <v>-0.33629245352411213</v>
      </c>
      <c r="T52" s="19">
        <f>(L52-Settings!$D$24)/Settings!$E$24</f>
        <v>0.41580039513985412</v>
      </c>
      <c r="U52" s="19">
        <f>(M52-Settings!$D$25)/Settings!$E$25</f>
        <v>-0.76806506586506984</v>
      </c>
      <c r="V52" s="31">
        <f>Settings!$B$18*(N52-F$6)^2</f>
        <v>5.4605160244451962E-3</v>
      </c>
      <c r="W52" s="31">
        <f>Settings!$B$19*(O52-G$6)^2</f>
        <v>0.41146825782311958</v>
      </c>
      <c r="X52" s="31">
        <f>Settings!$B$20*(P52-H$6)^2</f>
        <v>1.0053416178590939</v>
      </c>
      <c r="Y52" s="31">
        <f>Settings!$B$21*(Q52-I$6)^2</f>
        <v>0.10558166384602651</v>
      </c>
      <c r="Z52" s="31">
        <f>Settings!$B$22*(R52-J$6)^2</f>
        <v>5.9567247724959554E-2</v>
      </c>
      <c r="AA52" s="31">
        <f>Settings!$B$23*(S52-K$6)^2</f>
        <v>0.30961396472898733</v>
      </c>
      <c r="AB52" s="31">
        <f>Settings!$B$24*(T52-L$6)^2</f>
        <v>7.9004173911613004E-2</v>
      </c>
      <c r="AC52" s="31">
        <f>Settings!$B$25*(U52-M$6)^2</f>
        <v>0.66589041433834295</v>
      </c>
      <c r="AD52" s="19">
        <f t="shared" si="0"/>
        <v>1.6254008294130369</v>
      </c>
      <c r="AE52" s="15">
        <f t="shared" si="1"/>
        <v>0.64336311613562613</v>
      </c>
      <c r="AF52" s="33">
        <f t="shared" si="2"/>
        <v>0.81305375720097472</v>
      </c>
      <c r="AG52" s="47">
        <f t="shared" si="3"/>
        <v>3.5068251360475594E-3</v>
      </c>
      <c r="AH52" s="18">
        <v>0.1358140768489329</v>
      </c>
      <c r="AI52" s="46">
        <v>0</v>
      </c>
      <c r="AJ52" s="18">
        <v>-0.15347630957372951</v>
      </c>
      <c r="AK52" s="46">
        <v>0</v>
      </c>
      <c r="AL52" s="18">
        <v>-1.413607029835998</v>
      </c>
      <c r="AM52" s="46">
        <v>0</v>
      </c>
    </row>
    <row r="53" spans="1:39" ht="20" customHeight="1" x14ac:dyDescent="0.45">
      <c r="A53" s="26">
        <v>43</v>
      </c>
      <c r="B53" s="16" t="s">
        <v>389</v>
      </c>
      <c r="C53" s="16" t="s">
        <v>271</v>
      </c>
      <c r="D53" s="46">
        <v>28</v>
      </c>
      <c r="E53" s="46">
        <v>0</v>
      </c>
      <c r="F53" s="13">
        <v>0.43219868414779677</v>
      </c>
      <c r="G53" s="13">
        <v>-0.22301259439989049</v>
      </c>
      <c r="H53" s="13">
        <v>0.19792474712343749</v>
      </c>
      <c r="I53" s="13">
        <v>3.4003008517282811E-6</v>
      </c>
      <c r="J53" s="13">
        <v>0.14686057402802349</v>
      </c>
      <c r="K53" s="13">
        <v>17.31970649895176</v>
      </c>
      <c r="L53" s="13">
        <v>1.1474511678566639</v>
      </c>
      <c r="M53" s="13">
        <v>-0.56128516367078174</v>
      </c>
      <c r="N53" s="19">
        <f>(F53-Settings!$D$18)/Settings!$E$18</f>
        <v>0.85850208014387852</v>
      </c>
      <c r="O53" s="19">
        <f>(G53-Settings!$D$19)/Settings!$E$19</f>
        <v>-0.90142790582618948</v>
      </c>
      <c r="P53" s="19">
        <f>(H53-Settings!$D$20)/Settings!$E$20</f>
        <v>1.3118936587301013</v>
      </c>
      <c r="Q53" s="19">
        <f>(I53-Settings!$D$21)/Settings!$E$21</f>
        <v>3.6250938957972427E-2</v>
      </c>
      <c r="R53" s="19">
        <f>(J53-Settings!$D$22)/Settings!$E$22</f>
        <v>-0.27174701818812158</v>
      </c>
      <c r="S53" s="19">
        <f>(K53-Settings!$D$23)/Settings!$E$23</f>
        <v>0.71695159079276116</v>
      </c>
      <c r="T53" s="19">
        <f>(L53-Settings!$D$24)/Settings!$E$24</f>
        <v>-0.11118141578132844</v>
      </c>
      <c r="U53" s="19">
        <f>(M53-Settings!$D$25)/Settings!$E$25</f>
        <v>-0.34256670767975217</v>
      </c>
      <c r="V53" s="31">
        <f>Settings!$B$18*(N53-F$6)^2</f>
        <v>5.953830984483495E-2</v>
      </c>
      <c r="W53" s="31">
        <f>Settings!$B$19*(O53-G$6)^2</f>
        <v>1.5454001803375009E-2</v>
      </c>
      <c r="X53" s="31">
        <f>Settings!$B$20*(P53-H$6)^2</f>
        <v>9.9574774996201376E-2</v>
      </c>
      <c r="Y53" s="31">
        <f>Settings!$B$21*(Q53-I$6)^2</f>
        <v>2.1301874821475879E-8</v>
      </c>
      <c r="Z53" s="31">
        <f>Settings!$B$22*(R53-J$6)^2</f>
        <v>2.8895908810067223E-2</v>
      </c>
      <c r="AA53" s="31">
        <f>Settings!$B$23*(S53-K$6)^2</f>
        <v>0.24682453407016841</v>
      </c>
      <c r="AB53" s="31">
        <f>Settings!$B$24*(T53-L$6)^2</f>
        <v>0.65295873712146968</v>
      </c>
      <c r="AC53" s="31">
        <f>Settings!$B$25*(U53-M$6)^2</f>
        <v>1.5413705326358451</v>
      </c>
      <c r="AD53" s="19">
        <f t="shared" si="0"/>
        <v>1.6262277886519578</v>
      </c>
      <c r="AE53" s="15">
        <f t="shared" si="1"/>
        <v>0.64369044159482469</v>
      </c>
      <c r="AF53" s="33">
        <f t="shared" si="2"/>
        <v>0.81288251140008683</v>
      </c>
      <c r="AG53" s="47">
        <f t="shared" si="3"/>
        <v>3.5060865267321512E-3</v>
      </c>
      <c r="AH53" s="18">
        <v>0.1383624361722362</v>
      </c>
      <c r="AI53" s="46">
        <v>1</v>
      </c>
      <c r="AJ53" s="18">
        <v>0.79545961221263339</v>
      </c>
      <c r="AK53" s="46">
        <v>1</v>
      </c>
      <c r="AL53" s="18">
        <v>0.42651102535867569</v>
      </c>
      <c r="AM53" s="46">
        <v>1</v>
      </c>
    </row>
    <row r="54" spans="1:39" ht="20" customHeight="1" x14ac:dyDescent="0.45">
      <c r="A54" s="26">
        <v>44</v>
      </c>
      <c r="B54" s="16" t="s">
        <v>743</v>
      </c>
      <c r="C54" s="16" t="s">
        <v>227</v>
      </c>
      <c r="D54" s="46">
        <v>28</v>
      </c>
      <c r="E54" s="46">
        <v>0</v>
      </c>
      <c r="F54" s="13">
        <v>0.21347418732976531</v>
      </c>
      <c r="G54" s="13">
        <v>-1.027879588650347E-2</v>
      </c>
      <c r="H54" s="13">
        <v>-6.7841050718319765E-2</v>
      </c>
      <c r="I54" s="13">
        <v>0.108013369954054</v>
      </c>
      <c r="J54" s="13">
        <v>0.60039259611135753</v>
      </c>
      <c r="K54" s="13">
        <v>15.39415954415955</v>
      </c>
      <c r="L54" s="13">
        <v>2.6208408455416459</v>
      </c>
      <c r="M54" s="13">
        <v>-2.050498440099715</v>
      </c>
      <c r="N54" s="19">
        <f>(F54-Settings!$D$18)/Settings!$E$18</f>
        <v>7.5700740955925716E-2</v>
      </c>
      <c r="O54" s="19">
        <f>(G54-Settings!$D$19)/Settings!$E$19</f>
        <v>-1.5151786958602973E-2</v>
      </c>
      <c r="P54" s="19">
        <f>(H54-Settings!$D$20)/Settings!$E$20</f>
        <v>-1.0959955759928399</v>
      </c>
      <c r="Q54" s="19">
        <f>(I54-Settings!$D$21)/Settings!$E$21</f>
        <v>1.3644827537231292</v>
      </c>
      <c r="R54" s="19">
        <f>(J54-Settings!$D$22)/Settings!$E$22</f>
        <v>0.94850223977994685</v>
      </c>
      <c r="S54" s="19">
        <f>(K54-Settings!$D$23)/Settings!$E$23</f>
        <v>4.8253423341625301E-2</v>
      </c>
      <c r="T54" s="19">
        <f>(L54-Settings!$D$24)/Settings!$E$24</f>
        <v>0.9074534604345551</v>
      </c>
      <c r="U54" s="19">
        <f>(M54-Settings!$D$25)/Settings!$E$25</f>
        <v>-1.3469087274203511</v>
      </c>
      <c r="V54" s="31">
        <f>Settings!$B$18*(N54-F$6)^2</f>
        <v>1.125183523750347E-2</v>
      </c>
      <c r="W54" s="31">
        <f>Settings!$B$19*(O54-G$6)^2</f>
        <v>7.4006090336896188E-2</v>
      </c>
      <c r="X54" s="31">
        <f>Settings!$B$20*(P54-H$6)^2</f>
        <v>1.9387652624365406</v>
      </c>
      <c r="Y54" s="31">
        <f>Settings!$B$21*(Q54-I$6)^2</f>
        <v>0.35301336354576307</v>
      </c>
      <c r="Z54" s="31">
        <f>Settings!$B$22*(R54-J$6)^2</f>
        <v>0.14116859285798622</v>
      </c>
      <c r="AA54" s="31">
        <f>Settings!$B$23*(S54-K$6)^2</f>
        <v>2.9544034348910429E-2</v>
      </c>
      <c r="AB54" s="31">
        <f>Settings!$B$24*(T54-L$6)^2</f>
        <v>4.4342358700713166E-2</v>
      </c>
      <c r="AC54" s="31">
        <f>Settings!$B$25*(U54-M$6)^2</f>
        <v>5.6253131114333929E-2</v>
      </c>
      <c r="AD54" s="19">
        <f t="shared" si="0"/>
        <v>1.6273735491824386</v>
      </c>
      <c r="AE54" s="15">
        <f t="shared" si="1"/>
        <v>0.64414395438495997</v>
      </c>
      <c r="AF54" s="33">
        <f t="shared" si="2"/>
        <v>0.81264516429798406</v>
      </c>
      <c r="AG54" s="47">
        <f t="shared" si="3"/>
        <v>3.5050628124005338E-3</v>
      </c>
      <c r="AH54" s="18">
        <v>-1.7122700259191861</v>
      </c>
      <c r="AI54" s="46">
        <v>0</v>
      </c>
      <c r="AJ54" s="18">
        <v>-0.77424558143526145</v>
      </c>
      <c r="AK54" s="46">
        <v>0</v>
      </c>
      <c r="AL54" s="18">
        <v>-0.1219656427334829</v>
      </c>
      <c r="AM54" s="46">
        <v>0</v>
      </c>
    </row>
    <row r="55" spans="1:39" ht="20" customHeight="1" x14ac:dyDescent="0.45">
      <c r="A55" s="26">
        <v>45</v>
      </c>
      <c r="B55" s="16" t="s">
        <v>451</v>
      </c>
      <c r="C55" s="16" t="s">
        <v>214</v>
      </c>
      <c r="D55" s="46">
        <v>28</v>
      </c>
      <c r="E55" s="46">
        <v>1</v>
      </c>
      <c r="F55" s="13">
        <v>0.44613224064935031</v>
      </c>
      <c r="G55" s="13">
        <v>-6.0234441604518747E-2</v>
      </c>
      <c r="H55" s="13">
        <v>0.1678739826869117</v>
      </c>
      <c r="I55" s="13">
        <v>-2.1503608357003909E-3</v>
      </c>
      <c r="J55" s="13">
        <v>0.32360897422351892</v>
      </c>
      <c r="K55" s="13">
        <v>17.519678714859431</v>
      </c>
      <c r="L55" s="13">
        <v>3.3397004283263372</v>
      </c>
      <c r="M55" s="13">
        <v>-0.53845305083440032</v>
      </c>
      <c r="N55" s="19">
        <f>(F55-Settings!$D$18)/Settings!$E$18</f>
        <v>0.90836941026804563</v>
      </c>
      <c r="O55" s="19">
        <f>(G55-Settings!$D$19)/Settings!$E$19</f>
        <v>-0.2232733741811459</v>
      </c>
      <c r="P55" s="19">
        <f>(H55-Settings!$D$20)/Settings!$E$20</f>
        <v>1.0396279542281641</v>
      </c>
      <c r="Q55" s="19">
        <f>(I55-Settings!$D$21)/Settings!$E$21</f>
        <v>9.7654758830508642E-3</v>
      </c>
      <c r="R55" s="19">
        <f>(J55-Settings!$D$22)/Settings!$E$22</f>
        <v>0.2038028739559154</v>
      </c>
      <c r="S55" s="19">
        <f>(K55-Settings!$D$23)/Settings!$E$23</f>
        <v>0.78639734177058285</v>
      </c>
      <c r="T55" s="19">
        <f>(L55-Settings!$D$24)/Settings!$E$24</f>
        <v>1.4044404104700807</v>
      </c>
      <c r="U55" s="19">
        <f>(M55-Settings!$D$25)/Settings!$E$25</f>
        <v>-0.32716847649017755</v>
      </c>
      <c r="V55" s="31">
        <f>Settings!$B$18*(N55-F$6)^2</f>
        <v>7.0918928908334497E-2</v>
      </c>
      <c r="W55" s="31">
        <f>Settings!$B$19*(O55-G$6)^2</f>
        <v>3.2028757885796906E-2</v>
      </c>
      <c r="X55" s="31">
        <f>Settings!$B$20*(P55-H$6)^2</f>
        <v>0.19124496429234361</v>
      </c>
      <c r="Y55" s="31">
        <f>Settings!$B$21*(Q55-I$6)^2</f>
        <v>1.3685975839032366E-4</v>
      </c>
      <c r="Z55" s="31">
        <f>Settings!$B$22*(R55-J$6)^2</f>
        <v>1.8219588948498314E-3</v>
      </c>
      <c r="AA55" s="31">
        <f>Settings!$B$23*(S55-K$6)^2</f>
        <v>0.32065054265447285</v>
      </c>
      <c r="AB55" s="31">
        <f>Settings!$B$24*(T55-L$6)^2</f>
        <v>0.50064568754386929</v>
      </c>
      <c r="AC55" s="31">
        <f>Settings!$B$25*(U55-M$6)^2</f>
        <v>1.579842045044541</v>
      </c>
      <c r="AD55" s="19">
        <f t="shared" si="0"/>
        <v>1.642342761113708</v>
      </c>
      <c r="AE55" s="15">
        <f t="shared" si="1"/>
        <v>0.65006903985306197</v>
      </c>
      <c r="AF55" s="33">
        <f t="shared" si="2"/>
        <v>0.80953531729374206</v>
      </c>
      <c r="AG55" s="47">
        <f t="shared" si="3"/>
        <v>3.4916495669082771E-3</v>
      </c>
      <c r="AH55" s="48"/>
      <c r="AI55" s="48"/>
      <c r="AJ55" s="48"/>
      <c r="AK55" s="48"/>
      <c r="AL55" s="48"/>
      <c r="AM55" s="48"/>
    </row>
    <row r="56" spans="1:39" ht="20" customHeight="1" x14ac:dyDescent="0.45">
      <c r="A56" s="26">
        <v>46</v>
      </c>
      <c r="B56" s="16" t="s">
        <v>455</v>
      </c>
      <c r="C56" s="16" t="s">
        <v>260</v>
      </c>
      <c r="D56" s="46">
        <v>28</v>
      </c>
      <c r="E56" s="46">
        <v>1</v>
      </c>
      <c r="F56" s="13">
        <v>0.165702221145199</v>
      </c>
      <c r="G56" s="13">
        <v>3.3199276109314592E-2</v>
      </c>
      <c r="H56" s="13">
        <v>1.7839402803902549E-2</v>
      </c>
      <c r="I56" s="13">
        <v>-2.1519625330705668E-2</v>
      </c>
      <c r="J56" s="13">
        <v>0.76173947461087832</v>
      </c>
      <c r="K56" s="13">
        <v>17.698347107437989</v>
      </c>
      <c r="L56" s="13">
        <v>2.8958071364102498</v>
      </c>
      <c r="M56" s="13">
        <v>-1.285799733244007</v>
      </c>
      <c r="N56" s="19">
        <f>(F56-Settings!$D$18)/Settings!$E$18</f>
        <v>-9.5272147993188144E-2</v>
      </c>
      <c r="O56" s="19">
        <f>(G56-Settings!$D$19)/Settings!$E$19</f>
        <v>0.16598340252974847</v>
      </c>
      <c r="P56" s="19">
        <f>(H56-Settings!$D$20)/Settings!$E$20</f>
        <v>-0.31971419088707348</v>
      </c>
      <c r="Q56" s="19">
        <f>(I56-Settings!$D$21)/Settings!$E$21</f>
        <v>-0.22842432653491906</v>
      </c>
      <c r="R56" s="19">
        <f>(J56-Settings!$D$22)/Settings!$E$22</f>
        <v>1.3826136126883146</v>
      </c>
      <c r="S56" s="19">
        <f>(K56-Settings!$D$23)/Settings!$E$23</f>
        <v>0.84844476492034171</v>
      </c>
      <c r="T56" s="19">
        <f>(L56-Settings!$D$24)/Settings!$E$24</f>
        <v>1.0975526975233911</v>
      </c>
      <c r="U56" s="19">
        <f>(M56-Settings!$D$25)/Settings!$E$25</f>
        <v>-0.83118740268292912</v>
      </c>
      <c r="V56" s="31">
        <f>Settings!$B$18*(N56-F$6)^2</f>
        <v>3.3319416346401134E-2</v>
      </c>
      <c r="W56" s="31">
        <f>Settings!$B$19*(O56-G$6)^2</f>
        <v>0.12464198902272963</v>
      </c>
      <c r="X56" s="31">
        <f>Settings!$B$20*(P56-H$6)^2</f>
        <v>1.0925097725701853</v>
      </c>
      <c r="Y56" s="31">
        <f>Settings!$B$21*(Q56-I$6)^2</f>
        <v>1.3976069006086132E-2</v>
      </c>
      <c r="Z56" s="31">
        <f>Settings!$B$22*(R56-J$6)^2</f>
        <v>0.32474566156416507</v>
      </c>
      <c r="AA56" s="31">
        <f>Settings!$B$23*(S56-K$6)^2</f>
        <v>0.39477039002951342</v>
      </c>
      <c r="AB56" s="31">
        <f>Settings!$B$24*(T56-L$6)^2</f>
        <v>0.1605408490680249</v>
      </c>
      <c r="AC56" s="31">
        <f>Settings!$B$25*(U56-M$6)^2</f>
        <v>0.56685652794249741</v>
      </c>
      <c r="AD56" s="19">
        <f t="shared" si="0"/>
        <v>1.6466209872188569</v>
      </c>
      <c r="AE56" s="15">
        <f t="shared" si="1"/>
        <v>0.65176243930797384</v>
      </c>
      <c r="AF56" s="33">
        <f t="shared" si="2"/>
        <v>0.80864349020772086</v>
      </c>
      <c r="AG56" s="47">
        <f t="shared" si="3"/>
        <v>3.4878029803639462E-3</v>
      </c>
      <c r="AH56" s="18">
        <v>-0.86816450813666535</v>
      </c>
      <c r="AI56" s="46">
        <v>1</v>
      </c>
      <c r="AJ56" s="18">
        <v>-0.74693986355774977</v>
      </c>
      <c r="AK56" s="46">
        <v>1</v>
      </c>
      <c r="AL56" s="18">
        <v>-0.76871772709407993</v>
      </c>
      <c r="AM56" s="46">
        <v>1</v>
      </c>
    </row>
    <row r="57" spans="1:39" ht="20" customHeight="1" x14ac:dyDescent="0.45">
      <c r="A57" s="26">
        <v>47</v>
      </c>
      <c r="B57" s="16" t="s">
        <v>351</v>
      </c>
      <c r="C57" s="16" t="s">
        <v>218</v>
      </c>
      <c r="D57" s="46">
        <v>28</v>
      </c>
      <c r="E57" s="46">
        <v>0</v>
      </c>
      <c r="F57" s="13">
        <v>-5.6999396029623556E-3</v>
      </c>
      <c r="G57" s="13">
        <v>-7.865635044576446E-3</v>
      </c>
      <c r="H57" s="13">
        <v>0.32021675066782213</v>
      </c>
      <c r="I57" s="13">
        <v>-8.8959072315365692E-2</v>
      </c>
      <c r="J57" s="13">
        <v>0.57725860236927351</v>
      </c>
      <c r="K57" s="13">
        <v>18.44496124031005</v>
      </c>
      <c r="L57" s="13">
        <v>2.2729323747099959</v>
      </c>
      <c r="M57" s="13">
        <v>-0.72865758746657217</v>
      </c>
      <c r="N57" s="19">
        <f>(F57-Settings!$D$18)/Settings!$E$18</f>
        <v>-0.70870979638332632</v>
      </c>
      <c r="O57" s="19">
        <f>(G57-Settings!$D$19)/Settings!$E$19</f>
        <v>-5.0982513186057718E-3</v>
      </c>
      <c r="P57" s="19">
        <f>(H57-Settings!$D$20)/Settings!$E$20</f>
        <v>2.4198827273707351</v>
      </c>
      <c r="Q57" s="19">
        <f>(I57-Settings!$D$21)/Settings!$E$21</f>
        <v>-1.0577479467785049</v>
      </c>
      <c r="R57" s="19">
        <f>(J57-Settings!$D$22)/Settings!$E$22</f>
        <v>0.88625914045491394</v>
      </c>
      <c r="S57" s="19">
        <f>(K57-Settings!$D$23)/Settings!$E$23</f>
        <v>1.1077266802234884</v>
      </c>
      <c r="T57" s="19">
        <f>(L57-Settings!$D$24)/Settings!$E$24</f>
        <v>0.66692530451800069</v>
      </c>
      <c r="U57" s="19">
        <f>(M57-Settings!$D$25)/Settings!$E$25</f>
        <v>-0.45544453439845956</v>
      </c>
      <c r="V57" s="31">
        <f>Settings!$B$18*(N57-F$6)^2</f>
        <v>0.2087336005673055</v>
      </c>
      <c r="W57" s="31">
        <f>Settings!$B$19*(O57-G$6)^2</f>
        <v>7.6472536506662636E-2</v>
      </c>
      <c r="X57" s="31">
        <f>Settings!$B$20*(P57-H$6)^2</f>
        <v>3.2383105664975063E-2</v>
      </c>
      <c r="Y57" s="31">
        <f>Settings!$B$21*(Q57-I$6)^2</f>
        <v>0.23922391969907603</v>
      </c>
      <c r="Z57" s="31">
        <f>Settings!$B$22*(R57-J$6)^2</f>
        <v>0.12102615179872689</v>
      </c>
      <c r="AA57" s="31">
        <f>Settings!$B$23*(S57-K$6)^2</f>
        <v>0.7878150767767863</v>
      </c>
      <c r="AB57" s="31">
        <f>Settings!$B$24*(T57-L$6)^2</f>
        <v>8.9711643524052797E-4</v>
      </c>
      <c r="AC57" s="31">
        <f>Settings!$B$25*(U57-M$6)^2</f>
        <v>1.2738319028100091</v>
      </c>
      <c r="AD57" s="19">
        <f t="shared" si="0"/>
        <v>1.6554103449775774</v>
      </c>
      <c r="AE57" s="15">
        <f t="shared" si="1"/>
        <v>0.65524142645634598</v>
      </c>
      <c r="AF57" s="33">
        <f t="shared" si="2"/>
        <v>0.80680710747927453</v>
      </c>
      <c r="AG57" s="47">
        <f t="shared" si="3"/>
        <v>3.4798823809515664E-3</v>
      </c>
      <c r="AH57" s="18">
        <v>-0.59574336463684086</v>
      </c>
      <c r="AI57" s="46">
        <v>0</v>
      </c>
      <c r="AJ57" s="18">
        <v>-0.37028785064356518</v>
      </c>
      <c r="AK57" s="46">
        <v>0</v>
      </c>
      <c r="AL57" s="18">
        <v>-0.70280076695599225</v>
      </c>
      <c r="AM57" s="46">
        <v>0</v>
      </c>
    </row>
    <row r="58" spans="1:39" ht="20" customHeight="1" x14ac:dyDescent="0.45">
      <c r="A58" s="26">
        <v>48</v>
      </c>
      <c r="B58" s="16" t="s">
        <v>513</v>
      </c>
      <c r="C58" s="16" t="s">
        <v>229</v>
      </c>
      <c r="D58" s="46">
        <v>28</v>
      </c>
      <c r="E58" s="46">
        <v>1</v>
      </c>
      <c r="F58" s="13">
        <v>0.2063212799273868</v>
      </c>
      <c r="G58" s="13">
        <v>8.2168640551190594E-2</v>
      </c>
      <c r="H58" s="13">
        <v>1.7119975717471678E-2</v>
      </c>
      <c r="I58" s="13">
        <v>3.494844697082105E-2</v>
      </c>
      <c r="J58" s="13">
        <v>0.65944165683312994</v>
      </c>
      <c r="K58" s="13">
        <v>15.73047138047138</v>
      </c>
      <c r="L58" s="13">
        <v>3.132607970504989</v>
      </c>
      <c r="M58" s="13">
        <v>-0.99068382994498672</v>
      </c>
      <c r="N58" s="19">
        <f>(F58-Settings!$D$18)/Settings!$E$18</f>
        <v>5.0100931263243352E-2</v>
      </c>
      <c r="O58" s="19">
        <f>(G58-Settings!$D$19)/Settings!$E$19</f>
        <v>0.36999601624814238</v>
      </c>
      <c r="P58" s="19">
        <f>(H58-Settings!$D$20)/Settings!$E$20</f>
        <v>-0.32623233863464945</v>
      </c>
      <c r="Q58" s="19">
        <f>(I58-Settings!$D$21)/Settings!$E$21</f>
        <v>0.46598092503736704</v>
      </c>
      <c r="R58" s="19">
        <f>(J58-Settings!$D$22)/Settings!$E$22</f>
        <v>1.1073765177161905</v>
      </c>
      <c r="S58" s="19">
        <f>(K58-Settings!$D$23)/Settings!$E$23</f>
        <v>0.16504678850685756</v>
      </c>
      <c r="T58" s="19">
        <f>(L58-Settings!$D$24)/Settings!$E$24</f>
        <v>1.261266066755699</v>
      </c>
      <c r="U58" s="19">
        <f>(M58-Settings!$D$25)/Settings!$E$25</f>
        <v>-0.63215795064389235</v>
      </c>
      <c r="V58" s="31">
        <f>Settings!$B$18*(N58-F$6)^2</f>
        <v>1.3811714561928024E-2</v>
      </c>
      <c r="W58" s="31">
        <f>Settings!$B$19*(O58-G$6)^2</f>
        <v>0.1973882176334199</v>
      </c>
      <c r="X58" s="31">
        <f>Settings!$B$20*(P58-H$6)^2</f>
        <v>1.0986119808989778</v>
      </c>
      <c r="Y58" s="31">
        <f>Settings!$B$21*(Q58-I$6)^2</f>
        <v>3.6989691771768689E-2</v>
      </c>
      <c r="Z58" s="31">
        <f>Settings!$B$22*(R58-J$6)^2</f>
        <v>0.19960774735246398</v>
      </c>
      <c r="AA58" s="31">
        <f>Settings!$B$23*(S58-K$6)^2</f>
        <v>3.0349539739158095E-3</v>
      </c>
      <c r="AB58" s="31">
        <f>Settings!$B$24*(T58-L$6)^2</f>
        <v>0.31853478552605846</v>
      </c>
      <c r="AC58" s="31">
        <f>Settings!$B$25*(U58-M$6)^2</f>
        <v>0.9061673020786819</v>
      </c>
      <c r="AD58" s="19">
        <f t="shared" si="0"/>
        <v>1.6655768951919376</v>
      </c>
      <c r="AE58" s="15">
        <f t="shared" si="1"/>
        <v>0.6592655313465976</v>
      </c>
      <c r="AF58" s="33">
        <f t="shared" si="2"/>
        <v>0.80467603753281136</v>
      </c>
      <c r="AG58" s="47">
        <f t="shared" si="3"/>
        <v>3.4706907505227739E-3</v>
      </c>
      <c r="AH58" s="18">
        <v>-1.369764493409042</v>
      </c>
      <c r="AI58" s="46">
        <v>1</v>
      </c>
      <c r="AJ58" s="18">
        <v>-0.33330575722055888</v>
      </c>
      <c r="AK58" s="46">
        <v>1</v>
      </c>
      <c r="AL58" s="18">
        <v>-0.20314660479023419</v>
      </c>
      <c r="AM58" s="46">
        <v>1</v>
      </c>
    </row>
    <row r="59" spans="1:39" ht="20" customHeight="1" x14ac:dyDescent="0.45">
      <c r="A59" s="26">
        <v>49</v>
      </c>
      <c r="B59" s="16" t="s">
        <v>315</v>
      </c>
      <c r="C59" s="16" t="s">
        <v>236</v>
      </c>
      <c r="D59" s="46">
        <v>28</v>
      </c>
      <c r="E59" s="46">
        <v>0</v>
      </c>
      <c r="F59" s="13">
        <v>0.1153211024323616</v>
      </c>
      <c r="G59" s="13">
        <v>-0.14224926531939569</v>
      </c>
      <c r="H59" s="13">
        <v>7.4710835625703451E-2</v>
      </c>
      <c r="I59" s="13">
        <v>-1.493039599977649E-2</v>
      </c>
      <c r="J59" s="13">
        <v>0.65278840062276289</v>
      </c>
      <c r="K59" s="13">
        <v>17.681601731601749</v>
      </c>
      <c r="L59" s="13">
        <v>1.6600638262008669</v>
      </c>
      <c r="M59" s="13">
        <v>-0.72068043993551556</v>
      </c>
      <c r="N59" s="19">
        <f>(F59-Settings!$D$18)/Settings!$E$18</f>
        <v>-0.27558303119072614</v>
      </c>
      <c r="O59" s="19">
        <f>(G59-Settings!$D$19)/Settings!$E$19</f>
        <v>-0.56495758308251753</v>
      </c>
      <c r="P59" s="19">
        <f>(H59-Settings!$D$20)/Settings!$E$20</f>
        <v>0.19555192675090965</v>
      </c>
      <c r="Q59" s="19">
        <f>(I59-Settings!$D$21)/Settings!$E$21</f>
        <v>-0.14739454696711798</v>
      </c>
      <c r="R59" s="19">
        <f>(J59-Settings!$D$22)/Settings!$E$22</f>
        <v>1.0894756186430044</v>
      </c>
      <c r="S59" s="19">
        <f>(K59-Settings!$D$23)/Settings!$E$23</f>
        <v>0.84262948105665481</v>
      </c>
      <c r="T59" s="19">
        <f>(L59-Settings!$D$24)/Settings!$E$24</f>
        <v>0.24321575401531223</v>
      </c>
      <c r="U59" s="19">
        <f>(M59-Settings!$D$25)/Settings!$E$25</f>
        <v>-0.45006465725801259</v>
      </c>
      <c r="V59" s="31">
        <f>Settings!$B$18*(N59-F$6)^2</f>
        <v>6.9260315840683026E-2</v>
      </c>
      <c r="W59" s="31">
        <f>Settings!$B$19*(O59-G$6)^2</f>
        <v>6.8434441207216668E-4</v>
      </c>
      <c r="X59" s="31">
        <f>Settings!$B$20*(P59-H$6)^2</f>
        <v>0.66389563373948834</v>
      </c>
      <c r="Y59" s="31">
        <f>Settings!$B$21*(Q59-I$6)^2</f>
        <v>6.7211805517477024E-3</v>
      </c>
      <c r="Z59" s="31">
        <f>Settings!$B$22*(R59-J$6)^2</f>
        <v>0.19251850128198852</v>
      </c>
      <c r="AA59" s="31">
        <f>Settings!$B$23*(S59-K$6)^2</f>
        <v>0.38749663392502093</v>
      </c>
      <c r="AB59" s="31">
        <f>Settings!$B$24*(T59-L$6)^2</f>
        <v>0.20580871351445965</v>
      </c>
      <c r="AC59" s="31">
        <f>Settings!$B$25*(U59-M$6)^2</f>
        <v>1.2860047523733513</v>
      </c>
      <c r="AD59" s="19">
        <f t="shared" si="0"/>
        <v>1.6770182096920747</v>
      </c>
      <c r="AE59" s="15">
        <f t="shared" si="1"/>
        <v>0.66379421105211622</v>
      </c>
      <c r="AF59" s="33">
        <f t="shared" si="2"/>
        <v>0.80226895071581683</v>
      </c>
      <c r="AG59" s="47">
        <f t="shared" si="3"/>
        <v>3.4603086171401732E-3</v>
      </c>
      <c r="AH59" s="18">
        <v>-1.2175304536352221</v>
      </c>
      <c r="AI59" s="46">
        <v>0</v>
      </c>
      <c r="AJ59" s="18">
        <v>-0.79546139290051343</v>
      </c>
      <c r="AK59" s="46">
        <v>1</v>
      </c>
      <c r="AL59" s="18">
        <v>-0.33140338514900758</v>
      </c>
      <c r="AM59" s="46">
        <v>1</v>
      </c>
    </row>
    <row r="60" spans="1:39" ht="20" customHeight="1" x14ac:dyDescent="0.45">
      <c r="A60" s="26">
        <v>50</v>
      </c>
      <c r="B60" s="16" t="s">
        <v>338</v>
      </c>
      <c r="C60" s="16" t="s">
        <v>227</v>
      </c>
      <c r="D60" s="46">
        <v>28</v>
      </c>
      <c r="E60" s="46">
        <v>0</v>
      </c>
      <c r="F60" s="13">
        <v>0.33985854074058008</v>
      </c>
      <c r="G60" s="13">
        <v>9.4595672755518376E-2</v>
      </c>
      <c r="H60" s="13">
        <v>9.9432759231260506E-2</v>
      </c>
      <c r="I60" s="13">
        <v>6.4130704815067052E-2</v>
      </c>
      <c r="J60" s="13">
        <v>0.40198232245757393</v>
      </c>
      <c r="K60" s="13">
        <v>18.569461697722549</v>
      </c>
      <c r="L60" s="13">
        <v>2.7829817764841951</v>
      </c>
      <c r="M60" s="13">
        <v>-0.92612663828619102</v>
      </c>
      <c r="N60" s="19">
        <f>(F60-Settings!$D$18)/Settings!$E$18</f>
        <v>0.52802246322143687</v>
      </c>
      <c r="O60" s="19">
        <f>(G60-Settings!$D$19)/Settings!$E$19</f>
        <v>0.42176861631479823</v>
      </c>
      <c r="P60" s="19">
        <f>(H60-Settings!$D$20)/Settings!$E$20</f>
        <v>0.4195373085979292</v>
      </c>
      <c r="Q60" s="19">
        <f>(I60-Settings!$D$21)/Settings!$E$21</f>
        <v>0.8248441246092264</v>
      </c>
      <c r="R60" s="19">
        <f>(J60-Settings!$D$22)/Settings!$E$22</f>
        <v>0.41467005724271366</v>
      </c>
      <c r="S60" s="19">
        <f>(K60-Settings!$D$23)/Settings!$E$23</f>
        <v>1.150962825419205</v>
      </c>
      <c r="T60" s="19">
        <f>(L60-Settings!$D$24)/Settings!$E$24</f>
        <v>1.0195503548418092</v>
      </c>
      <c r="U60" s="19">
        <f>(M60-Settings!$D$25)/Settings!$E$25</f>
        <v>-0.58861986158330237</v>
      </c>
      <c r="V60" s="31">
        <f>Settings!$B$18*(N60-F$6)^2</f>
        <v>9.2563170570937395E-3</v>
      </c>
      <c r="W60" s="31">
        <f>Settings!$B$19*(O60-G$6)^2</f>
        <v>0.21849767496102174</v>
      </c>
      <c r="X60" s="31">
        <f>Settings!$B$20*(P60-H$6)^2</f>
        <v>0.5106940385088562</v>
      </c>
      <c r="Y60" s="31">
        <f>Settings!$B$21*(Q60-I$6)^2</f>
        <v>0.12447880918876345</v>
      </c>
      <c r="Z60" s="31">
        <f>Settings!$B$22*(R60-J$6)^2</f>
        <v>1.8765460539926948E-2</v>
      </c>
      <c r="AA60" s="31">
        <f>Settings!$B$23*(S60-K$6)^2</f>
        <v>0.86643633589021951</v>
      </c>
      <c r="AB60" s="31">
        <f>Settings!$B$24*(T60-L$6)^2</f>
        <v>0.10411796062956009</v>
      </c>
      <c r="AC60" s="31">
        <f>Settings!$B$25*(U60-M$6)^2</f>
        <v>0.99095313696809684</v>
      </c>
      <c r="AD60" s="19">
        <f t="shared" si="0"/>
        <v>1.6861790337160341</v>
      </c>
      <c r="AE60" s="15">
        <f t="shared" si="1"/>
        <v>0.6674202312828017</v>
      </c>
      <c r="AF60" s="33">
        <f t="shared" si="2"/>
        <v>0.80033500512432754</v>
      </c>
      <c r="AG60" s="47">
        <f t="shared" si="3"/>
        <v>3.4519672141862887E-3</v>
      </c>
      <c r="AH60" s="18">
        <v>-0.38712469395703009</v>
      </c>
      <c r="AI60" s="46">
        <v>0</v>
      </c>
      <c r="AJ60" s="18">
        <v>0.44799602473555522</v>
      </c>
      <c r="AK60" s="46">
        <v>0</v>
      </c>
      <c r="AL60" s="18">
        <v>-0.47610049296454632</v>
      </c>
      <c r="AM60" s="46">
        <v>0</v>
      </c>
    </row>
    <row r="61" spans="1:39" ht="20" customHeight="1" x14ac:dyDescent="0.45">
      <c r="A61" s="26">
        <v>51</v>
      </c>
      <c r="B61" s="16" t="s">
        <v>322</v>
      </c>
      <c r="C61" s="16" t="s">
        <v>216</v>
      </c>
      <c r="D61" s="46">
        <v>28</v>
      </c>
      <c r="E61" s="46">
        <v>1</v>
      </c>
      <c r="F61" s="13">
        <v>0.36154315149254801</v>
      </c>
      <c r="G61" s="13">
        <v>0.1228782302566621</v>
      </c>
      <c r="H61" s="13">
        <v>6.0337001222449858E-2</v>
      </c>
      <c r="I61" s="13">
        <v>1.8889620027602479E-2</v>
      </c>
      <c r="J61" s="13">
        <v>0.43635199700073751</v>
      </c>
      <c r="K61" s="13">
        <v>18.856410256410278</v>
      </c>
      <c r="L61" s="13">
        <v>3.47643440969193</v>
      </c>
      <c r="M61" s="13">
        <v>-2.0448486803808339</v>
      </c>
      <c r="N61" s="19">
        <f>(F61-Settings!$D$18)/Settings!$E$18</f>
        <v>0.60563033331992044</v>
      </c>
      <c r="O61" s="19">
        <f>(G61-Settings!$D$19)/Settings!$E$19</f>
        <v>0.53959735565442701</v>
      </c>
      <c r="P61" s="19">
        <f>(H61-Settings!$D$20)/Settings!$E$20</f>
        <v>6.5322222995377946E-2</v>
      </c>
      <c r="Q61" s="19">
        <f>(I61-Settings!$D$21)/Settings!$E$21</f>
        <v>0.2685005913026523</v>
      </c>
      <c r="R61" s="19">
        <f>(J61-Settings!$D$22)/Settings!$E$22</f>
        <v>0.50714328474547465</v>
      </c>
      <c r="S61" s="19">
        <f>(K61-Settings!$D$23)/Settings!$E$23</f>
        <v>1.2506134596816845</v>
      </c>
      <c r="T61" s="19">
        <f>(L61-Settings!$D$24)/Settings!$E$24</f>
        <v>1.4989720909157374</v>
      </c>
      <c r="U61" s="19">
        <f>(M61-Settings!$D$25)/Settings!$E$25</f>
        <v>-1.3430984665417234</v>
      </c>
      <c r="V61" s="31">
        <f>Settings!$B$18*(N61-F$6)^2</f>
        <v>1.7139274018718155E-2</v>
      </c>
      <c r="W61" s="31">
        <f>Settings!$B$19*(O61-G$6)^2</f>
        <v>0.27053725880392182</v>
      </c>
      <c r="X61" s="31">
        <f>Settings!$B$20*(P61-H$6)^2</f>
        <v>0.76219605452956785</v>
      </c>
      <c r="Y61" s="31">
        <f>Settings!$B$21*(Q61-I$6)^2</f>
        <v>1.0818320093331864E-2</v>
      </c>
      <c r="Z61" s="31">
        <f>Settings!$B$22*(R61-J$6)^2</f>
        <v>3.180599958625132E-2</v>
      </c>
      <c r="AA61" s="31">
        <f>Settings!$B$23*(S61-K$6)^2</f>
        <v>1.0618813117521999</v>
      </c>
      <c r="AB61" s="31">
        <f>Settings!$B$24*(T61-L$6)^2</f>
        <v>0.64335620352820166</v>
      </c>
      <c r="AC61" s="31">
        <f>Settings!$B$25*(U61-M$6)^2</f>
        <v>5.8075064932806696E-2</v>
      </c>
      <c r="AD61" s="19">
        <f t="shared" si="0"/>
        <v>1.6899140472950096</v>
      </c>
      <c r="AE61" s="15">
        <f t="shared" si="1"/>
        <v>0.6688986173716327</v>
      </c>
      <c r="AF61" s="33">
        <f t="shared" si="2"/>
        <v>0.79954482646117686</v>
      </c>
      <c r="AG61" s="47">
        <f t="shared" si="3"/>
        <v>3.4485590528275062E-3</v>
      </c>
      <c r="AH61" s="18">
        <v>-1.2278808347992041</v>
      </c>
      <c r="AI61" s="46">
        <v>1</v>
      </c>
      <c r="AJ61" s="18">
        <v>-1.0790995491613571</v>
      </c>
      <c r="AK61" s="46">
        <v>1</v>
      </c>
      <c r="AL61" s="48"/>
      <c r="AM61" s="48"/>
    </row>
    <row r="62" spans="1:39" ht="20" customHeight="1" x14ac:dyDescent="0.45">
      <c r="A62" s="26">
        <v>52</v>
      </c>
      <c r="B62" s="16" t="s">
        <v>243</v>
      </c>
      <c r="C62" s="16" t="s">
        <v>258</v>
      </c>
      <c r="D62" s="46">
        <v>28</v>
      </c>
      <c r="E62" s="46">
        <v>0</v>
      </c>
      <c r="F62" s="13">
        <v>0.37137786171109949</v>
      </c>
      <c r="G62" s="13">
        <v>0.20173357615570661</v>
      </c>
      <c r="H62" s="13">
        <v>-2.0140205380644219E-2</v>
      </c>
      <c r="I62" s="13">
        <v>-2.5608603495695961E-2</v>
      </c>
      <c r="J62" s="13">
        <v>0.38113975325685379</v>
      </c>
      <c r="K62" s="13">
        <v>18.587148594377521</v>
      </c>
      <c r="L62" s="13">
        <v>2.6382538341820219</v>
      </c>
      <c r="M62" s="13">
        <v>-2.636847570963778</v>
      </c>
      <c r="N62" s="19">
        <f>(F62-Settings!$D$18)/Settings!$E$18</f>
        <v>0.64082814811252897</v>
      </c>
      <c r="O62" s="19">
        <f>(G62-Settings!$D$19)/Settings!$E$19</f>
        <v>0.86811877727971865</v>
      </c>
      <c r="P62" s="19">
        <f>(H62-Settings!$D$20)/Settings!$E$20</f>
        <v>-0.66381674444822514</v>
      </c>
      <c r="Q62" s="19">
        <f>(I62-Settings!$D$21)/Settings!$E$21</f>
        <v>-0.27870774857510977</v>
      </c>
      <c r="R62" s="19">
        <f>(J62-Settings!$D$22)/Settings!$E$22</f>
        <v>0.35859214352782792</v>
      </c>
      <c r="S62" s="19">
        <f>(K62-Settings!$D$23)/Settings!$E$23</f>
        <v>1.1571050778071006</v>
      </c>
      <c r="T62" s="19">
        <f>(L62-Settings!$D$24)/Settings!$E$24</f>
        <v>0.91949201194396124</v>
      </c>
      <c r="U62" s="19">
        <f>(M62-Settings!$D$25)/Settings!$E$25</f>
        <v>-1.7423491117401189</v>
      </c>
      <c r="V62" s="31">
        <f>Settings!$B$18*(N62-F$6)^2</f>
        <v>2.1508566456832849E-2</v>
      </c>
      <c r="W62" s="31">
        <f>Settings!$B$19*(O62-G$6)^2</f>
        <v>0.4449573154797733</v>
      </c>
      <c r="X62" s="31">
        <f>Settings!$B$20*(P62-H$6)^2</f>
        <v>1.4378870070439236</v>
      </c>
      <c r="Y62" s="31">
        <f>Settings!$B$21*(Q62-I$6)^2</f>
        <v>1.9798700590272153E-2</v>
      </c>
      <c r="Z62" s="31">
        <f>Settings!$B$22*(R62-J$6)^2</f>
        <v>1.2523462289412812E-2</v>
      </c>
      <c r="AA62" s="31">
        <f>Settings!$B$23*(S62-K$6)^2</f>
        <v>0.87790879493580964</v>
      </c>
      <c r="AB62" s="31">
        <f>Settings!$B$24*(T62-L$6)^2</f>
        <v>4.9557351581289558E-2</v>
      </c>
      <c r="AC62" s="31">
        <f>Settings!$B$25*(U62-M$6)^2</f>
        <v>2.5047164169402277E-2</v>
      </c>
      <c r="AD62" s="19">
        <f t="shared" si="0"/>
        <v>1.6997612663391044</v>
      </c>
      <c r="AE62" s="15">
        <f t="shared" si="1"/>
        <v>0.67279632519534938</v>
      </c>
      <c r="AF62" s="33">
        <f t="shared" si="2"/>
        <v>0.79745693355102609</v>
      </c>
      <c r="AG62" s="47">
        <f t="shared" si="3"/>
        <v>3.4395536515562566E-3</v>
      </c>
      <c r="AH62" s="18">
        <v>1.488460347832576</v>
      </c>
      <c r="AI62" s="46">
        <v>0</v>
      </c>
      <c r="AJ62" s="18">
        <v>1.2673511626252389</v>
      </c>
      <c r="AK62" s="46">
        <v>0</v>
      </c>
      <c r="AL62" s="18">
        <v>-3.1875179129217361</v>
      </c>
      <c r="AM62" s="46">
        <v>0</v>
      </c>
    </row>
    <row r="63" spans="1:39" ht="20" customHeight="1" x14ac:dyDescent="0.45">
      <c r="A63" s="26">
        <v>53</v>
      </c>
      <c r="B63" s="16" t="s">
        <v>603</v>
      </c>
      <c r="C63" s="16" t="s">
        <v>246</v>
      </c>
      <c r="D63" s="46">
        <v>28</v>
      </c>
      <c r="E63" s="46">
        <v>1</v>
      </c>
      <c r="F63" s="13">
        <v>0.45174730692188292</v>
      </c>
      <c r="G63" s="13">
        <v>-8.9205016810564447E-3</v>
      </c>
      <c r="H63" s="13">
        <v>7.4658262869647394E-3</v>
      </c>
      <c r="I63" s="13">
        <v>7.2490472766014016E-2</v>
      </c>
      <c r="J63" s="13">
        <v>0.45937589234408188</v>
      </c>
      <c r="K63" s="13">
        <v>13.46013888888889</v>
      </c>
      <c r="L63" s="13">
        <v>1.1278381117060601</v>
      </c>
      <c r="M63" s="13">
        <v>-2.6122841279489419</v>
      </c>
      <c r="N63" s="19">
        <f>(F63-Settings!$D$18)/Settings!$E$18</f>
        <v>0.92846538242348498</v>
      </c>
      <c r="O63" s="19">
        <f>(G63-Settings!$D$19)/Settings!$E$19</f>
        <v>-9.4929601755698728E-3</v>
      </c>
      <c r="P63" s="19">
        <f>(H63-Settings!$D$20)/Settings!$E$20</f>
        <v>-0.41370078895031243</v>
      </c>
      <c r="Q63" s="19">
        <f>(I63-Settings!$D$21)/Settings!$E$21</f>
        <v>0.9276467621079092</v>
      </c>
      <c r="R63" s="19">
        <f>(J63-Settings!$D$22)/Settings!$E$22</f>
        <v>0.56909015914520156</v>
      </c>
      <c r="S63" s="19">
        <f>(K63-Settings!$D$23)/Settings!$E$23</f>
        <v>-0.62338746538014311</v>
      </c>
      <c r="T63" s="19">
        <f>(L63-Settings!$D$24)/Settings!$E$24</f>
        <v>-0.12474099430068943</v>
      </c>
      <c r="U63" s="19">
        <f>(M63-Settings!$D$25)/Settings!$E$25</f>
        <v>-1.7257832521954999</v>
      </c>
      <c r="V63" s="31">
        <f>Settings!$B$18*(N63-F$6)^2</f>
        <v>7.5786386273684891E-2</v>
      </c>
      <c r="W63" s="31">
        <f>Settings!$B$19*(O63-G$6)^2</f>
        <v>7.5389403439426378E-2</v>
      </c>
      <c r="X63" s="31">
        <f>Settings!$B$20*(P63-H$6)^2</f>
        <v>1.182143021593665</v>
      </c>
      <c r="Y63" s="31">
        <f>Settings!$B$21*(Q63-I$6)^2</f>
        <v>0.15903368957802946</v>
      </c>
      <c r="Z63" s="31">
        <f>Settings!$B$22*(R63-J$6)^2</f>
        <v>4.2454892567083763E-2</v>
      </c>
      <c r="AA63" s="31">
        <f>Settings!$B$23*(S63-K$6)^2</f>
        <v>0.71153386930302598</v>
      </c>
      <c r="AB63" s="31">
        <f>Settings!$B$24*(T63-L$6)^2</f>
        <v>0.6750564679665465</v>
      </c>
      <c r="AC63" s="31">
        <f>Settings!$B$25*(U63-M$6)^2</f>
        <v>2.007806797434104E-2</v>
      </c>
      <c r="AD63" s="19">
        <f t="shared" si="0"/>
        <v>1.7150731175946416</v>
      </c>
      <c r="AE63" s="15">
        <f t="shared" si="1"/>
        <v>0.67885703351990778</v>
      </c>
      <c r="AF63" s="33">
        <f t="shared" si="2"/>
        <v>0.79419723960803568</v>
      </c>
      <c r="AG63" s="47">
        <f t="shared" si="3"/>
        <v>3.4254940933119726E-3</v>
      </c>
      <c r="AH63" s="18">
        <v>-0.45834609282017558</v>
      </c>
      <c r="AI63" s="46">
        <v>1</v>
      </c>
      <c r="AJ63" s="48"/>
      <c r="AK63" s="48"/>
      <c r="AL63" s="48"/>
      <c r="AM63" s="48"/>
    </row>
    <row r="64" spans="1:39" ht="20" customHeight="1" x14ac:dyDescent="0.45">
      <c r="A64" s="26">
        <v>54</v>
      </c>
      <c r="B64" s="16" t="s">
        <v>343</v>
      </c>
      <c r="C64" s="16" t="s">
        <v>229</v>
      </c>
      <c r="D64" s="46">
        <v>28</v>
      </c>
      <c r="E64" s="46">
        <v>1</v>
      </c>
      <c r="F64" s="13">
        <v>0.45962517317709489</v>
      </c>
      <c r="G64" s="13">
        <v>-0.31813990207197601</v>
      </c>
      <c r="H64" s="13">
        <v>8.807111457901437E-2</v>
      </c>
      <c r="I64" s="13">
        <v>1.8029661020892249E-4</v>
      </c>
      <c r="J64" s="13">
        <v>0.13398351356170579</v>
      </c>
      <c r="K64" s="13">
        <v>19.447402597402601</v>
      </c>
      <c r="L64" s="13">
        <v>1.834556002105211</v>
      </c>
      <c r="M64" s="13">
        <v>-1.3295762242248601</v>
      </c>
      <c r="N64" s="19">
        <f>(F64-Settings!$D$18)/Settings!$E$18</f>
        <v>0.95665977465772112</v>
      </c>
      <c r="O64" s="19">
        <f>(G64-Settings!$D$19)/Settings!$E$19</f>
        <v>-1.2977403941618562</v>
      </c>
      <c r="P64" s="19">
        <f>(H64-Settings!$D$20)/Settings!$E$20</f>
        <v>0.31659862322510235</v>
      </c>
      <c r="Q64" s="19">
        <f>(I64-Settings!$D$21)/Settings!$E$21</f>
        <v>3.8426287277735602E-2</v>
      </c>
      <c r="R64" s="19">
        <f>(J64-Settings!$D$22)/Settings!$E$22</f>
        <v>-0.30639335563228753</v>
      </c>
      <c r="S64" s="19">
        <f>(K64-Settings!$D$23)/Settings!$E$23</f>
        <v>1.4558515061576112</v>
      </c>
      <c r="T64" s="19">
        <f>(L64-Settings!$D$24)/Settings!$E$24</f>
        <v>0.36385173965777728</v>
      </c>
      <c r="U64" s="19">
        <f>(M64-Settings!$D$25)/Settings!$E$25</f>
        <v>-0.86071075576120415</v>
      </c>
      <c r="V64" s="31">
        <f>Settings!$B$18*(N64-F$6)^2</f>
        <v>8.2887670276796652E-2</v>
      </c>
      <c r="W64" s="31">
        <f>Settings!$B$19*(O64-G$6)^2</f>
        <v>9.093267894219817E-2</v>
      </c>
      <c r="X64" s="31">
        <f>Settings!$B$20*(P64-H$6)^2</f>
        <v>0.57860999686551728</v>
      </c>
      <c r="Y64" s="31">
        <f>Settings!$B$21*(Q64-I$6)^2</f>
        <v>1.2517066413537608E-6</v>
      </c>
      <c r="Z64" s="31">
        <f>Settings!$B$22*(R64-J$6)^2</f>
        <v>3.4403676120494511E-2</v>
      </c>
      <c r="AA64" s="31">
        <f>Settings!$B$23*(S64-K$6)^2</f>
        <v>1.5269898344324924</v>
      </c>
      <c r="AB64" s="31">
        <f>Settings!$B$24*(T64-L$6)^2</f>
        <v>0.11090596159773826</v>
      </c>
      <c r="AC64" s="31">
        <f>Settings!$B$25*(U64-M$6)^2</f>
        <v>0.52327196505511098</v>
      </c>
      <c r="AD64" s="19">
        <f t="shared" si="0"/>
        <v>1.7169749663279861</v>
      </c>
      <c r="AE64" s="15">
        <f t="shared" si="1"/>
        <v>0.67960981972830714</v>
      </c>
      <c r="AF64" s="33">
        <f t="shared" si="2"/>
        <v>0.79379125641863058</v>
      </c>
      <c r="AG64" s="47">
        <f t="shared" si="3"/>
        <v>3.4237430257585554E-3</v>
      </c>
      <c r="AH64" s="18">
        <v>0.11549885170946129</v>
      </c>
      <c r="AI64" s="46">
        <v>1</v>
      </c>
      <c r="AJ64" s="18">
        <v>2.081291944475065</v>
      </c>
      <c r="AK64" s="46">
        <v>1</v>
      </c>
      <c r="AL64" s="18">
        <v>0.48150131815902242</v>
      </c>
      <c r="AM64" s="46">
        <v>1</v>
      </c>
    </row>
    <row r="65" spans="1:39" ht="20" customHeight="1" x14ac:dyDescent="0.45">
      <c r="A65" s="26">
        <v>55</v>
      </c>
      <c r="B65" s="16" t="s">
        <v>370</v>
      </c>
      <c r="C65" s="16" t="s">
        <v>246</v>
      </c>
      <c r="D65" s="46">
        <v>28</v>
      </c>
      <c r="E65" s="46">
        <v>1</v>
      </c>
      <c r="F65" s="13">
        <v>0.4147820473127603</v>
      </c>
      <c r="G65" s="13">
        <v>0.26252092414268141</v>
      </c>
      <c r="H65" s="13">
        <v>0.1051682929835733</v>
      </c>
      <c r="I65" s="13">
        <v>1.435959712499209E-2</v>
      </c>
      <c r="J65" s="13">
        <v>0.20316913843599291</v>
      </c>
      <c r="K65" s="13">
        <v>16.042638036809819</v>
      </c>
      <c r="L65" s="13">
        <v>2.5668639503502062</v>
      </c>
      <c r="M65" s="13">
        <v>-0.43193477434528699</v>
      </c>
      <c r="N65" s="19">
        <f>(F65-Settings!$D$18)/Settings!$E$18</f>
        <v>0.7961690226356497</v>
      </c>
      <c r="O65" s="19">
        <f>(G65-Settings!$D$19)/Settings!$E$19</f>
        <v>1.1213666167233374</v>
      </c>
      <c r="P65" s="19">
        <f>(H65-Settings!$D$20)/Settings!$E$20</f>
        <v>0.47150234732652868</v>
      </c>
      <c r="Q65" s="19">
        <f>(I65-Settings!$D$21)/Settings!$E$21</f>
        <v>0.21279350648278791</v>
      </c>
      <c r="R65" s="19">
        <f>(J65-Settings!$D$22)/Settings!$E$22</f>
        <v>-0.1202461746083342</v>
      </c>
      <c r="S65" s="19">
        <f>(K65-Settings!$D$23)/Settings!$E$23</f>
        <v>0.27345508803616653</v>
      </c>
      <c r="T65" s="19">
        <f>(L65-Settings!$D$24)/Settings!$E$24</f>
        <v>0.87013628033985013</v>
      </c>
      <c r="U65" s="19">
        <f>(M65-Settings!$D$25)/Settings!$E$25</f>
        <v>-0.25533136447832477</v>
      </c>
      <c r="V65" s="31">
        <f>Settings!$B$18*(N65-F$6)^2</f>
        <v>4.6711546872768392E-2</v>
      </c>
      <c r="W65" s="31">
        <f>Settings!$B$19*(O65-G$6)^2</f>
        <v>0.60887914825692357</v>
      </c>
      <c r="X65" s="31">
        <f>Settings!$B$20*(P65-H$6)^2</f>
        <v>0.47801892906646554</v>
      </c>
      <c r="Y65" s="31">
        <f>Settings!$B$21*(Q65-I$6)^2</f>
        <v>6.2565233448281833E-3</v>
      </c>
      <c r="Z65" s="31">
        <f>Settings!$B$22*(R65-J$6)^2</f>
        <v>1.0451939953551077E-2</v>
      </c>
      <c r="AA65" s="31">
        <f>Settings!$B$23*(S65-K$6)^2</f>
        <v>2.8427966664326117E-3</v>
      </c>
      <c r="AB65" s="31">
        <f>Settings!$B$24*(T65-L$6)^2</f>
        <v>3.0018706651060229E-2</v>
      </c>
      <c r="AC65" s="31">
        <f>Settings!$B$25*(U65-M$6)^2</f>
        <v>1.7655892875136345</v>
      </c>
      <c r="AD65" s="19">
        <f t="shared" si="0"/>
        <v>1.7171979729564277</v>
      </c>
      <c r="AE65" s="15">
        <f t="shared" si="1"/>
        <v>0.67969808979486357</v>
      </c>
      <c r="AF65" s="33">
        <f t="shared" si="2"/>
        <v>0.79374363584901342</v>
      </c>
      <c r="AG65" s="47">
        <f t="shared" si="3"/>
        <v>3.4235376309626427E-3</v>
      </c>
      <c r="AH65" s="18">
        <v>-1.1601994018493149</v>
      </c>
      <c r="AI65" s="46">
        <v>1</v>
      </c>
      <c r="AJ65" s="48"/>
      <c r="AK65" s="48"/>
      <c r="AL65" s="48"/>
      <c r="AM65" s="48"/>
    </row>
    <row r="66" spans="1:39" ht="20" customHeight="1" x14ac:dyDescent="0.45">
      <c r="A66" s="26">
        <v>56</v>
      </c>
      <c r="B66" s="16" t="s">
        <v>211</v>
      </c>
      <c r="C66" s="16" t="s">
        <v>218</v>
      </c>
      <c r="D66" s="46">
        <v>28</v>
      </c>
      <c r="E66" s="46">
        <v>0</v>
      </c>
      <c r="F66" s="13">
        <v>0.32845840962975209</v>
      </c>
      <c r="G66" s="13">
        <v>-6.7398831348839547E-2</v>
      </c>
      <c r="H66" s="13">
        <v>0.44980927292918371</v>
      </c>
      <c r="I66" s="13">
        <v>-3.5472706066401197E-2</v>
      </c>
      <c r="J66" s="13">
        <v>0.11886078002582361</v>
      </c>
      <c r="K66" s="13">
        <v>17.82201834862385</v>
      </c>
      <c r="L66" s="13">
        <v>1.887218104764222</v>
      </c>
      <c r="M66" s="13">
        <v>-0.40258024194369502</v>
      </c>
      <c r="N66" s="19">
        <f>(F66-Settings!$D$18)/Settings!$E$18</f>
        <v>0.48722210464112309</v>
      </c>
      <c r="O66" s="19">
        <f>(G66-Settings!$D$19)/Settings!$E$19</f>
        <v>-0.25312113500252664</v>
      </c>
      <c r="P66" s="19">
        <f>(H66-Settings!$D$20)/Settings!$E$20</f>
        <v>3.5940158994635705</v>
      </c>
      <c r="Q66" s="19">
        <f>(I66-Settings!$D$21)/Settings!$E$21</f>
        <v>-0.40000965154374024</v>
      </c>
      <c r="R66" s="19">
        <f>(J66-Settings!$D$22)/Settings!$E$22</f>
        <v>-0.34708178219771829</v>
      </c>
      <c r="S66" s="19">
        <f>(K66-Settings!$D$23)/Settings!$E$23</f>
        <v>0.89139294239354006</v>
      </c>
      <c r="T66" s="19">
        <f>(L66-Settings!$D$24)/Settings!$E$24</f>
        <v>0.40025993175778951</v>
      </c>
      <c r="U66" s="19">
        <f>(M66-Settings!$D$25)/Settings!$E$25</f>
        <v>-0.23553434089050646</v>
      </c>
      <c r="V66" s="31">
        <f>Settings!$B$18*(N66-F$6)^2</f>
        <v>6.0782731002348772E-3</v>
      </c>
      <c r="W66" s="31">
        <f>Settings!$B$19*(O66-G$6)^2</f>
        <v>2.7429148505247671E-2</v>
      </c>
      <c r="X66" s="31">
        <f>Settings!$B$20*(P66-H$6)^2</f>
        <v>0.49708335126298292</v>
      </c>
      <c r="Y66" s="31">
        <f>Settings!$B$21*(Q66-I$6)^2</f>
        <v>3.8007731058802258E-2</v>
      </c>
      <c r="Z66" s="31">
        <f>Settings!$B$22*(R66-J$6)^2</f>
        <v>4.1485011750697631E-2</v>
      </c>
      <c r="AA66" s="31">
        <f>Settings!$B$23*(S66-K$6)^2</f>
        <v>0.4505842651722668</v>
      </c>
      <c r="AB66" s="31">
        <f>Settings!$B$24*(T66-L$6)^2</f>
        <v>8.7981807704227255E-2</v>
      </c>
      <c r="AC66" s="31">
        <f>Settings!$B$25*(U66-M$6)^2</f>
        <v>1.8185919894306182</v>
      </c>
      <c r="AD66" s="19">
        <f t="shared" si="0"/>
        <v>1.7225683086557344</v>
      </c>
      <c r="AE66" s="15">
        <f t="shared" si="1"/>
        <v>0.68182376602664452</v>
      </c>
      <c r="AF66" s="33">
        <f t="shared" si="2"/>
        <v>0.79259585809439004</v>
      </c>
      <c r="AG66" s="47">
        <f t="shared" si="3"/>
        <v>3.4185870900606905E-3</v>
      </c>
      <c r="AH66" s="18">
        <v>0.51394690060748305</v>
      </c>
      <c r="AI66" s="46">
        <v>0</v>
      </c>
      <c r="AJ66" s="18">
        <v>1.704444149765743</v>
      </c>
      <c r="AK66" s="46">
        <v>0</v>
      </c>
      <c r="AL66" s="18">
        <v>-0.91910327767958311</v>
      </c>
      <c r="AM66" s="46">
        <v>0</v>
      </c>
    </row>
    <row r="67" spans="1:39" ht="20" customHeight="1" x14ac:dyDescent="0.45">
      <c r="A67" s="26">
        <v>57</v>
      </c>
      <c r="B67" s="16" t="s">
        <v>744</v>
      </c>
      <c r="C67" s="16" t="s">
        <v>234</v>
      </c>
      <c r="D67" s="46">
        <v>28</v>
      </c>
      <c r="E67" s="46">
        <v>1</v>
      </c>
      <c r="F67" s="13">
        <v>0.36546654303552351</v>
      </c>
      <c r="G67" s="13">
        <v>0.25098613825916138</v>
      </c>
      <c r="H67" s="13">
        <v>0.20068465854979561</v>
      </c>
      <c r="I67" s="13">
        <v>-2.0053702554672009E-2</v>
      </c>
      <c r="J67" s="13">
        <v>0.16280895760084749</v>
      </c>
      <c r="K67" s="13">
        <v>19.827777777777779</v>
      </c>
      <c r="L67" s="13">
        <v>3.041272992031923</v>
      </c>
      <c r="M67" s="13">
        <v>-1.8064499921240751</v>
      </c>
      <c r="N67" s="19">
        <f>(F67-Settings!$D$18)/Settings!$E$18</f>
        <v>0.61967190707448272</v>
      </c>
      <c r="O67" s="19">
        <f>(G67-Settings!$D$19)/Settings!$E$19</f>
        <v>1.0733112285515729</v>
      </c>
      <c r="P67" s="19">
        <f>(H67-Settings!$D$20)/Settings!$E$20</f>
        <v>1.336898986978823</v>
      </c>
      <c r="Q67" s="19">
        <f>(I67-Settings!$D$21)/Settings!$E$21</f>
        <v>-0.21039742332062827</v>
      </c>
      <c r="R67" s="19">
        <f>(J67-Settings!$D$22)/Settings!$E$22</f>
        <v>-0.22883714132621225</v>
      </c>
      <c r="S67" s="19">
        <f>(K67-Settings!$D$23)/Settings!$E$23</f>
        <v>1.587947057204937</v>
      </c>
      <c r="T67" s="19">
        <f>(L67-Settings!$D$24)/Settings!$E$24</f>
        <v>1.1981212002616746</v>
      </c>
      <c r="U67" s="19">
        <f>(M67-Settings!$D$25)/Settings!$E$25</f>
        <v>-1.1823197360153248</v>
      </c>
      <c r="V67" s="31">
        <f>Settings!$B$18*(N67-F$6)^2</f>
        <v>1.8822916060012074E-2</v>
      </c>
      <c r="W67" s="31">
        <f>Settings!$B$19*(O67-G$6)^2</f>
        <v>0.57580181737769298</v>
      </c>
      <c r="X67" s="31">
        <f>Settings!$B$20*(P67-H$6)^2</f>
        <v>9.2642306614094186E-2</v>
      </c>
      <c r="Y67" s="31">
        <f>Settings!$B$21*(Q67-I$6)^2</f>
        <v>1.2134905984035797E-2</v>
      </c>
      <c r="Z67" s="31">
        <f>Settings!$B$22*(R67-J$6)^2</f>
        <v>2.2740062846421587E-2</v>
      </c>
      <c r="AA67" s="31">
        <f>Settings!$B$23*(S67-K$6)^2</f>
        <v>1.8709037921730396</v>
      </c>
      <c r="AB67" s="31">
        <f>Settings!$B$24*(T67-L$6)^2</f>
        <v>0.2512455412336016</v>
      </c>
      <c r="AC67" s="31">
        <f>Settings!$B$25*(U67-M$6)^2</f>
        <v>0.1614162536638149</v>
      </c>
      <c r="AD67" s="19">
        <f t="shared" si="0"/>
        <v>1.7336976656708956</v>
      </c>
      <c r="AE67" s="15">
        <f t="shared" si="1"/>
        <v>0.68622896730394767</v>
      </c>
      <c r="AF67" s="33">
        <f t="shared" si="2"/>
        <v>0.79021114444407747</v>
      </c>
      <c r="AG67" s="47">
        <f t="shared" si="3"/>
        <v>3.4083014555658922E-3</v>
      </c>
      <c r="AH67" s="18">
        <v>-0.14916704816261281</v>
      </c>
      <c r="AI67" s="46">
        <v>1</v>
      </c>
      <c r="AJ67" s="18">
        <v>9.6827347148967569E-2</v>
      </c>
      <c r="AK67" s="46">
        <v>1</v>
      </c>
      <c r="AL67" s="18">
        <v>-0.51005393204079486</v>
      </c>
      <c r="AM67" s="46">
        <v>1</v>
      </c>
    </row>
    <row r="68" spans="1:39" ht="20" customHeight="1" x14ac:dyDescent="0.45">
      <c r="A68" s="26">
        <v>58</v>
      </c>
      <c r="B68" s="16" t="s">
        <v>330</v>
      </c>
      <c r="C68" s="16" t="s">
        <v>234</v>
      </c>
      <c r="D68" s="46">
        <v>28</v>
      </c>
      <c r="E68" s="46">
        <v>1</v>
      </c>
      <c r="F68" s="13">
        <v>0.27805036017168011</v>
      </c>
      <c r="G68" s="13">
        <v>-0.12628503988411011</v>
      </c>
      <c r="H68" s="13">
        <v>0.11649171175731179</v>
      </c>
      <c r="I68" s="13">
        <v>3.8097919246512318E-2</v>
      </c>
      <c r="J68" s="13">
        <v>0.44107496894038573</v>
      </c>
      <c r="K68" s="13">
        <v>18.262949640287768</v>
      </c>
      <c r="L68" s="13">
        <v>1.6349900591540401</v>
      </c>
      <c r="M68" s="13">
        <v>-0.51447031085688244</v>
      </c>
      <c r="N68" s="19">
        <f>(F68-Settings!$D$18)/Settings!$E$18</f>
        <v>0.30681483798520864</v>
      </c>
      <c r="O68" s="19">
        <f>(G68-Settings!$D$19)/Settings!$E$19</f>
        <v>-0.49844858517816359</v>
      </c>
      <c r="P68" s="19">
        <f>(H68-Settings!$D$20)/Settings!$E$20</f>
        <v>0.57409469888930975</v>
      </c>
      <c r="Q68" s="19">
        <f>(I68-Settings!$D$21)/Settings!$E$21</f>
        <v>0.50471095421639045</v>
      </c>
      <c r="R68" s="19">
        <f>(J68-Settings!$D$22)/Settings!$E$22</f>
        <v>0.51985066310937944</v>
      </c>
      <c r="S68" s="19">
        <f>(K68-Settings!$D$23)/Settings!$E$23</f>
        <v>1.0445182380264075</v>
      </c>
      <c r="T68" s="19">
        <f>(L68-Settings!$D$24)/Settings!$E$24</f>
        <v>0.2258808873613386</v>
      </c>
      <c r="U68" s="19">
        <f>(M68-Settings!$D$25)/Settings!$E$25</f>
        <v>-0.31099424954150762</v>
      </c>
      <c r="V68" s="31">
        <f>Settings!$B$18*(N68-F$6)^2</f>
        <v>7.3837296948036264E-6</v>
      </c>
      <c r="W68" s="31">
        <f>Settings!$B$19*(O68-G$6)^2</f>
        <v>3.1252242753091854E-3</v>
      </c>
      <c r="X68" s="31">
        <f>Settings!$B$20*(P68-H$6)^2</f>
        <v>0.41668114039908466</v>
      </c>
      <c r="Y68" s="31">
        <f>Settings!$B$21*(Q68-I$6)^2</f>
        <v>4.3952132701701688E-2</v>
      </c>
      <c r="Z68" s="31">
        <f>Settings!$B$22*(R68-J$6)^2</f>
        <v>3.3865303156423845E-2</v>
      </c>
      <c r="AA68" s="31">
        <f>Settings!$B$23*(S68-K$6)^2</f>
        <v>0.67960408784521353</v>
      </c>
      <c r="AB68" s="31">
        <f>Settings!$B$24*(T68-L$6)^2</f>
        <v>0.22183753268778994</v>
      </c>
      <c r="AC68" s="31">
        <f>Settings!$B$25*(U68-M$6)^2</f>
        <v>1.6207629941671022</v>
      </c>
      <c r="AD68" s="19">
        <f t="shared" si="0"/>
        <v>1.7377674755163073</v>
      </c>
      <c r="AE68" s="15">
        <f t="shared" si="1"/>
        <v>0.68783987182475392</v>
      </c>
      <c r="AF68" s="33">
        <f t="shared" si="2"/>
        <v>0.78933706452903052</v>
      </c>
      <c r="AG68" s="47">
        <f t="shared" si="3"/>
        <v>3.404531415282758E-3</v>
      </c>
      <c r="AH68" s="18">
        <v>-0.20712968271777041</v>
      </c>
      <c r="AI68" s="46">
        <v>1</v>
      </c>
      <c r="AJ68" s="18">
        <v>-0.25275413764250271</v>
      </c>
      <c r="AK68" s="46">
        <v>1</v>
      </c>
      <c r="AL68" s="18">
        <v>-1.578437789360595</v>
      </c>
      <c r="AM68" s="46">
        <v>1</v>
      </c>
    </row>
    <row r="69" spans="1:39" ht="20" customHeight="1" x14ac:dyDescent="0.45">
      <c r="A69" s="26">
        <v>59</v>
      </c>
      <c r="B69" s="16" t="s">
        <v>237</v>
      </c>
      <c r="C69" s="16" t="s">
        <v>246</v>
      </c>
      <c r="D69" s="46">
        <v>28</v>
      </c>
      <c r="E69" s="46">
        <v>1</v>
      </c>
      <c r="F69" s="13">
        <v>0.37458346623241112</v>
      </c>
      <c r="G69" s="13">
        <v>2.0834500016696039E-2</v>
      </c>
      <c r="H69" s="13">
        <v>0.23803818792599221</v>
      </c>
      <c r="I69" s="13">
        <v>-1.634364314724927E-2</v>
      </c>
      <c r="J69" s="13">
        <v>0.35020020267765162</v>
      </c>
      <c r="K69" s="13">
        <v>19.27711111111114</v>
      </c>
      <c r="L69" s="13">
        <v>4.057364808444766</v>
      </c>
      <c r="M69" s="13">
        <v>-2.2047424491080121</v>
      </c>
      <c r="N69" s="19">
        <f>(F69-Settings!$D$18)/Settings!$E$18</f>
        <v>0.65230080686221326</v>
      </c>
      <c r="O69" s="19">
        <f>(G69-Settings!$D$19)/Settings!$E$19</f>
        <v>0.11447016935940632</v>
      </c>
      <c r="P69" s="19">
        <f>(H69-Settings!$D$20)/Settings!$E$20</f>
        <v>1.675329146142513</v>
      </c>
      <c r="Q69" s="19">
        <f>(I69-Settings!$D$21)/Settings!$E$21</f>
        <v>-0.16477368177686283</v>
      </c>
      <c r="R69" s="19">
        <f>(J69-Settings!$D$22)/Settings!$E$22</f>
        <v>0.27534782604234753</v>
      </c>
      <c r="S69" s="19">
        <f>(K69-Settings!$D$23)/Settings!$E$23</f>
        <v>1.3967131898822136</v>
      </c>
      <c r="T69" s="19">
        <f>(L69-Settings!$D$24)/Settings!$E$24</f>
        <v>1.9006010515267671</v>
      </c>
      <c r="U69" s="19">
        <f>(M69-Settings!$D$25)/Settings!$E$25</f>
        <v>-1.4509326049886178</v>
      </c>
      <c r="V69" s="31">
        <f>Settings!$B$18*(N69-F$6)^2</f>
        <v>2.3039815647264379E-2</v>
      </c>
      <c r="W69" s="31">
        <f>Settings!$B$19*(O69-G$6)^2</f>
        <v>0.10890614161558017</v>
      </c>
      <c r="X69" s="31">
        <f>Settings!$B$20*(P69-H$6)^2</f>
        <v>2.3415554651641739E-2</v>
      </c>
      <c r="Y69" s="31">
        <f>Settings!$B$21*(Q69-I$6)^2</f>
        <v>8.055958553871926E-3</v>
      </c>
      <c r="Z69" s="31">
        <f>Settings!$B$22*(R69-J$6)^2</f>
        <v>5.57714507301783E-3</v>
      </c>
      <c r="AA69" s="31">
        <f>Settings!$B$23*(S69-K$6)^2</f>
        <v>1.3843310485319911</v>
      </c>
      <c r="AB69" s="31">
        <f>Settings!$B$24*(T69-L$6)^2</f>
        <v>1.4489510949694275</v>
      </c>
      <c r="AC69" s="31">
        <f>Settings!$B$25*(U69-M$6)^2</f>
        <v>1.7729867297348951E-2</v>
      </c>
      <c r="AD69" s="19">
        <f t="shared" si="0"/>
        <v>1.73781662621237</v>
      </c>
      <c r="AE69" s="15">
        <f t="shared" si="1"/>
        <v>0.68785932656133753</v>
      </c>
      <c r="AF69" s="33">
        <f t="shared" si="2"/>
        <v>0.78932650174418229</v>
      </c>
      <c r="AG69" s="47">
        <f t="shared" si="3"/>
        <v>3.4044858563771086E-3</v>
      </c>
      <c r="AH69" s="18">
        <v>-1.3468143685501439</v>
      </c>
      <c r="AI69" s="46">
        <v>1</v>
      </c>
      <c r="AJ69" s="48"/>
      <c r="AK69" s="48"/>
      <c r="AL69" s="48"/>
      <c r="AM69" s="48"/>
    </row>
    <row r="70" spans="1:39" ht="20" customHeight="1" x14ac:dyDescent="0.45">
      <c r="A70" s="26">
        <v>60</v>
      </c>
      <c r="B70" s="16" t="s">
        <v>452</v>
      </c>
      <c r="C70" s="16" t="s">
        <v>216</v>
      </c>
      <c r="D70" s="46">
        <v>28</v>
      </c>
      <c r="E70" s="46">
        <v>1</v>
      </c>
      <c r="F70" s="13">
        <v>-7.6487798517030345E-2</v>
      </c>
      <c r="G70" s="13">
        <v>-0.20499169016660701</v>
      </c>
      <c r="H70" s="13">
        <v>3.0213103779452782E-2</v>
      </c>
      <c r="I70" s="13">
        <v>5.6630015507635262E-6</v>
      </c>
      <c r="J70" s="13">
        <v>0.68830174453535919</v>
      </c>
      <c r="K70" s="13">
        <v>12.919973544973571</v>
      </c>
      <c r="L70" s="13">
        <v>1.4185084887254611</v>
      </c>
      <c r="M70" s="13">
        <v>-2.1906219899583319</v>
      </c>
      <c r="N70" s="19">
        <f>(F70-Settings!$D$18)/Settings!$E$18</f>
        <v>-0.96205513063859793</v>
      </c>
      <c r="O70" s="19">
        <f>(G70-Settings!$D$19)/Settings!$E$19</f>
        <v>-0.82635052191272607</v>
      </c>
      <c r="P70" s="19">
        <f>(H70-Settings!$D$20)/Settings!$E$20</f>
        <v>-0.20760608060853245</v>
      </c>
      <c r="Q70" s="19">
        <f>(I70-Settings!$D$21)/Settings!$E$21</f>
        <v>3.6278764084351038E-2</v>
      </c>
      <c r="R70" s="19">
        <f>(J70-Settings!$D$22)/Settings!$E$22</f>
        <v>1.1850259424288467</v>
      </c>
      <c r="S70" s="19">
        <f>(K70-Settings!$D$23)/Settings!$E$23</f>
        <v>-0.81097446485467173</v>
      </c>
      <c r="T70" s="19">
        <f>(L70-Settings!$D$24)/Settings!$E$24</f>
        <v>7.6215336532304653E-2</v>
      </c>
      <c r="U70" s="19">
        <f>(M70-Settings!$D$25)/Settings!$E$25</f>
        <v>-1.4414096100714211</v>
      </c>
      <c r="V70" s="31">
        <f>Settings!$B$18*(N70-F$6)^2</f>
        <v>0.3250974811965911</v>
      </c>
      <c r="W70" s="31">
        <f>Settings!$B$19*(O70-G$6)^2</f>
        <v>8.2334751495258332E-3</v>
      </c>
      <c r="X70" s="31">
        <f>Settings!$B$20*(P70-H$6)^2</f>
        <v>0.99021535619109502</v>
      </c>
      <c r="Y70" s="31">
        <f>Settings!$B$21*(Q70-I$6)^2</f>
        <v>2.5089100491150998E-8</v>
      </c>
      <c r="Z70" s="31">
        <f>Settings!$B$22*(R70-J$6)^2</f>
        <v>0.23184293072794851</v>
      </c>
      <c r="AA70" s="31">
        <f>Settings!$B$23*(S70-K$6)^2</f>
        <v>1.063191275420903</v>
      </c>
      <c r="AB70" s="31">
        <f>Settings!$B$24*(T70-L$6)^2</f>
        <v>0.38522115689191566</v>
      </c>
      <c r="AC70" s="31">
        <f>Settings!$B$25*(U70-M$6)^2</f>
        <v>2.0356595847756193E-2</v>
      </c>
      <c r="AD70" s="19">
        <f t="shared" si="0"/>
        <v>1.7390107235192185</v>
      </c>
      <c r="AE70" s="15">
        <f t="shared" si="1"/>
        <v>0.68833197192388518</v>
      </c>
      <c r="AF70" s="33">
        <f t="shared" si="2"/>
        <v>0.78906983460046831</v>
      </c>
      <c r="AG70" s="47">
        <f t="shared" si="3"/>
        <v>3.4033788117528115E-3</v>
      </c>
      <c r="AH70" s="18">
        <v>-0.22820191523842451</v>
      </c>
      <c r="AI70" s="46">
        <v>1</v>
      </c>
      <c r="AJ70" s="18">
        <v>2.9183349121505438E-2</v>
      </c>
      <c r="AK70" s="46">
        <v>1</v>
      </c>
      <c r="AL70" s="48"/>
      <c r="AM70" s="48"/>
    </row>
    <row r="71" spans="1:39" ht="20" customHeight="1" x14ac:dyDescent="0.45">
      <c r="A71" s="26">
        <v>61</v>
      </c>
      <c r="B71" s="16" t="s">
        <v>324</v>
      </c>
      <c r="C71" s="16" t="s">
        <v>218</v>
      </c>
      <c r="D71" s="46">
        <v>28</v>
      </c>
      <c r="E71" s="46">
        <v>0</v>
      </c>
      <c r="F71" s="13">
        <v>0.43770078845070398</v>
      </c>
      <c r="G71" s="13">
        <v>-0.12548264818969809</v>
      </c>
      <c r="H71" s="13">
        <v>-8.0071105588258529E-2</v>
      </c>
      <c r="I71" s="13">
        <v>-1.2671111443438279E-3</v>
      </c>
      <c r="J71" s="13">
        <v>0.35547834662699529</v>
      </c>
      <c r="K71" s="13">
        <v>16.129273504273499</v>
      </c>
      <c r="L71" s="13">
        <v>0.95891934418637392</v>
      </c>
      <c r="M71" s="13">
        <v>-2.323125376705879</v>
      </c>
      <c r="N71" s="19">
        <f>(F71-Settings!$D$18)/Settings!$E$18</f>
        <v>0.87819376845189112</v>
      </c>
      <c r="O71" s="19">
        <f>(G71-Settings!$D$19)/Settings!$E$19</f>
        <v>-0.49510571910937423</v>
      </c>
      <c r="P71" s="19">
        <f>(H71-Settings!$D$20)/Settings!$E$20</f>
        <v>-1.2068022249316579</v>
      </c>
      <c r="Q71" s="19">
        <f>(I71-Settings!$D$21)/Settings!$E$21</f>
        <v>2.0627068976800153E-2</v>
      </c>
      <c r="R71" s="19">
        <f>(J71-Settings!$D$22)/Settings!$E$22</f>
        <v>0.28954892083616085</v>
      </c>
      <c r="S71" s="19">
        <f>(K71-Settings!$D$23)/Settings!$E$23</f>
        <v>0.30354159316399743</v>
      </c>
      <c r="T71" s="19">
        <f>(L71-Settings!$D$24)/Settings!$E$24</f>
        <v>-0.24152377787041646</v>
      </c>
      <c r="U71" s="19">
        <f>(M71-Settings!$D$25)/Settings!$E$25</f>
        <v>-1.5307713698507981</v>
      </c>
      <c r="V71" s="31">
        <f>Settings!$B$18*(N71-F$6)^2</f>
        <v>6.3913464404177084E-2</v>
      </c>
      <c r="W71" s="31">
        <f>Settings!$B$19*(O71-G$6)^2</f>
        <v>3.2946085271303863E-3</v>
      </c>
      <c r="X71" s="31">
        <f>Settings!$B$20*(P71-H$6)^2</f>
        <v>2.0792190875589154</v>
      </c>
      <c r="Y71" s="31">
        <f>Settings!$B$21*(Q71-I$6)^2</f>
        <v>4.6802776157049212E-5</v>
      </c>
      <c r="Z71" s="31">
        <f>Settings!$B$22*(R71-J$6)^2</f>
        <v>6.5660567295826762E-3</v>
      </c>
      <c r="AA71" s="31">
        <f>Settings!$B$23*(S71-K$6)^2</f>
        <v>6.9562919884347983E-3</v>
      </c>
      <c r="AB71" s="31">
        <f>Settings!$B$24*(T71-L$6)^2</f>
        <v>0.88059640755826307</v>
      </c>
      <c r="AC71" s="31">
        <f>Settings!$B$25*(U71-M$6)^2</f>
        <v>2.8424660819579071E-3</v>
      </c>
      <c r="AD71" s="19">
        <f t="shared" si="0"/>
        <v>1.7445444063206352</v>
      </c>
      <c r="AE71" s="15">
        <f t="shared" si="1"/>
        <v>0.69052230390009772</v>
      </c>
      <c r="AF71" s="33">
        <f t="shared" si="2"/>
        <v>0.78787917973296007</v>
      </c>
      <c r="AG71" s="47">
        <f t="shared" si="3"/>
        <v>3.3982433353089052E-3</v>
      </c>
      <c r="AH71" s="48"/>
      <c r="AI71" s="48"/>
      <c r="AJ71" s="48"/>
      <c r="AK71" s="48"/>
      <c r="AL71" s="48"/>
      <c r="AM71" s="48"/>
    </row>
    <row r="72" spans="1:39" ht="20" customHeight="1" x14ac:dyDescent="0.45">
      <c r="A72" s="26">
        <v>62</v>
      </c>
      <c r="B72" s="16" t="s">
        <v>745</v>
      </c>
      <c r="C72" s="16" t="s">
        <v>224</v>
      </c>
      <c r="D72" s="46">
        <v>28</v>
      </c>
      <c r="E72" s="46">
        <v>0</v>
      </c>
      <c r="F72" s="13">
        <v>0.14602339309300871</v>
      </c>
      <c r="G72" s="13">
        <v>-2.7420808964755419E-2</v>
      </c>
      <c r="H72" s="13">
        <v>3.3925171995476608E-2</v>
      </c>
      <c r="I72" s="13">
        <v>-1.3068649032380019E-5</v>
      </c>
      <c r="J72" s="13">
        <v>0.79261755729772687</v>
      </c>
      <c r="K72" s="13">
        <v>13.507371794871769</v>
      </c>
      <c r="L72" s="13">
        <v>0.94821675259905269</v>
      </c>
      <c r="M72" s="13">
        <v>-2.0159956018071541</v>
      </c>
      <c r="N72" s="19">
        <f>(F72-Settings!$D$18)/Settings!$E$18</f>
        <v>-0.16570144684634736</v>
      </c>
      <c r="O72" s="19">
        <f>(G72-Settings!$D$19)/Settings!$E$19</f>
        <v>-8.6567598299998744E-2</v>
      </c>
      <c r="P72" s="19">
        <f>(H72-Settings!$D$20)/Settings!$E$20</f>
        <v>-0.17397402874743106</v>
      </c>
      <c r="Q72" s="19">
        <f>(I72-Settings!$D$21)/Settings!$E$21</f>
        <v>3.6048415216302282E-2</v>
      </c>
      <c r="R72" s="19">
        <f>(J72-Settings!$D$22)/Settings!$E$22</f>
        <v>1.4656925479154734</v>
      </c>
      <c r="S72" s="19">
        <f>(K72-Settings!$D$23)/Settings!$E$23</f>
        <v>-0.60698456354721875</v>
      </c>
      <c r="T72" s="19">
        <f>(L72-Settings!$D$24)/Settings!$E$24</f>
        <v>-0.2489230648491807</v>
      </c>
      <c r="U72" s="19">
        <f>(M72-Settings!$D$25)/Settings!$E$25</f>
        <v>-1.3236396290003924</v>
      </c>
      <c r="V72" s="31">
        <f>Settings!$B$18*(N72-F$6)^2</f>
        <v>4.5810128764524539E-2</v>
      </c>
      <c r="W72" s="31">
        <f>Settings!$B$19*(O72-G$6)^2</f>
        <v>5.7649202074190435E-2</v>
      </c>
      <c r="X72" s="31">
        <f>Settings!$B$20*(P72-H$6)^2</f>
        <v>0.96050768726673008</v>
      </c>
      <c r="Y72" s="31">
        <f>Settings!$B$21*(Q72-I$6)^2</f>
        <v>3.0669718018706445E-9</v>
      </c>
      <c r="Z72" s="31">
        <f>Settings!$B$22*(R72-J$6)^2</f>
        <v>0.36847161553848057</v>
      </c>
      <c r="AA72" s="31">
        <f>Settings!$B$23*(S72-K$6)^2</f>
        <v>0.68413041977238254</v>
      </c>
      <c r="AB72" s="31">
        <f>Settings!$B$24*(T72-L$6)^2</f>
        <v>0.89453815337579701</v>
      </c>
      <c r="AC72" s="31">
        <f>Settings!$B$25*(U72-M$6)^2</f>
        <v>6.7832391764367297E-2</v>
      </c>
      <c r="AD72" s="19">
        <f t="shared" si="0"/>
        <v>1.7546907424453586</v>
      </c>
      <c r="AE72" s="15">
        <f t="shared" si="1"/>
        <v>0.69453840768719788</v>
      </c>
      <c r="AF72" s="33">
        <f t="shared" si="2"/>
        <v>0.78569091651511558</v>
      </c>
      <c r="AG72" s="47">
        <f t="shared" si="3"/>
        <v>3.3888050215582334E-3</v>
      </c>
      <c r="AH72" s="18">
        <v>-0.86542677705312898</v>
      </c>
      <c r="AI72" s="46">
        <v>0</v>
      </c>
      <c r="AJ72" s="48"/>
      <c r="AK72" s="48"/>
      <c r="AL72" s="48"/>
      <c r="AM72" s="48"/>
    </row>
    <row r="73" spans="1:39" ht="20" customHeight="1" x14ac:dyDescent="0.45">
      <c r="A73" s="26">
        <v>63</v>
      </c>
      <c r="B73" s="16" t="s">
        <v>345</v>
      </c>
      <c r="C73" s="16" t="s">
        <v>258</v>
      </c>
      <c r="D73" s="46">
        <v>28</v>
      </c>
      <c r="E73" s="46">
        <v>0</v>
      </c>
      <c r="F73" s="13">
        <v>5.6983179970554423E-2</v>
      </c>
      <c r="G73" s="13">
        <v>-0.18634402499900371</v>
      </c>
      <c r="H73" s="13">
        <v>3.5431237079602391E-2</v>
      </c>
      <c r="I73" s="13">
        <v>-3.017618420922932E-2</v>
      </c>
      <c r="J73" s="13">
        <v>0.69106537374161026</v>
      </c>
      <c r="K73" s="13">
        <v>17.83989071038252</v>
      </c>
      <c r="L73" s="13">
        <v>1.4436438356976531</v>
      </c>
      <c r="M73" s="13">
        <v>-0.94853174053012101</v>
      </c>
      <c r="N73" s="19">
        <f>(F73-Settings!$D$18)/Settings!$E$18</f>
        <v>-0.4843708189918266</v>
      </c>
      <c r="O73" s="19">
        <f>(G73-Settings!$D$19)/Settings!$E$19</f>
        <v>-0.74866197206226248</v>
      </c>
      <c r="P73" s="19">
        <f>(H73-Settings!$D$20)/Settings!$E$20</f>
        <v>-0.16032878947169163</v>
      </c>
      <c r="Q73" s="19">
        <f>(I73-Settings!$D$21)/Settings!$E$21</f>
        <v>-0.33487669334661563</v>
      </c>
      <c r="R73" s="19">
        <f>(J73-Settings!$D$22)/Settings!$E$22</f>
        <v>1.1924616169215447</v>
      </c>
      <c r="S73" s="19">
        <f>(K73-Settings!$D$23)/Settings!$E$23</f>
        <v>0.89759960254602433</v>
      </c>
      <c r="T73" s="19">
        <f>(L73-Settings!$D$24)/Settings!$E$24</f>
        <v>9.3592776757005544E-2</v>
      </c>
      <c r="U73" s="19">
        <f>(M73-Settings!$D$25)/Settings!$E$25</f>
        <v>-0.60373011207349614</v>
      </c>
      <c r="V73" s="31">
        <f>Settings!$B$18*(N73-F$6)^2</f>
        <v>0.12712525283333539</v>
      </c>
      <c r="W73" s="31">
        <f>Settings!$B$19*(O73-G$6)^2</f>
        <v>3.1354538008834319E-3</v>
      </c>
      <c r="X73" s="31">
        <f>Settings!$B$20*(P73-H$6)^2</f>
        <v>0.94858367566626056</v>
      </c>
      <c r="Y73" s="31">
        <f>Settings!$B$21*(Q73-I$6)^2</f>
        <v>2.7498717043824256E-2</v>
      </c>
      <c r="Z73" s="31">
        <f>Settings!$B$22*(R73-J$6)^2</f>
        <v>0.23505629062024733</v>
      </c>
      <c r="AA73" s="31">
        <f>Settings!$B$23*(S73-K$6)^2</f>
        <v>0.45895530027907222</v>
      </c>
      <c r="AB73" s="31">
        <f>Settings!$B$24*(T73-L$6)^2</f>
        <v>0.36395210322876609</v>
      </c>
      <c r="AC73" s="31">
        <f>Settings!$B$25*(U73-M$6)^2</f>
        <v>0.96109796660802227</v>
      </c>
      <c r="AD73" s="19">
        <f t="shared" si="0"/>
        <v>1.7678814326985879</v>
      </c>
      <c r="AE73" s="15">
        <f t="shared" si="1"/>
        <v>0.69975952203125913</v>
      </c>
      <c r="AF73" s="33">
        <f t="shared" si="2"/>
        <v>0.78283628293471652</v>
      </c>
      <c r="AG73" s="47">
        <f t="shared" si="3"/>
        <v>3.3764925505742581E-3</v>
      </c>
      <c r="AH73" s="18">
        <v>0.87890988129394909</v>
      </c>
      <c r="AI73" s="46">
        <v>0</v>
      </c>
      <c r="AJ73" s="18">
        <v>-0.36616184352379189</v>
      </c>
      <c r="AK73" s="46">
        <v>0</v>
      </c>
      <c r="AL73" s="18">
        <v>-2.1760416702245591</v>
      </c>
      <c r="AM73" s="46">
        <v>0</v>
      </c>
    </row>
    <row r="74" spans="1:39" ht="20" customHeight="1" x14ac:dyDescent="0.45">
      <c r="A74" s="26">
        <v>64</v>
      </c>
      <c r="B74" s="16" t="s">
        <v>746</v>
      </c>
      <c r="C74" s="16" t="s">
        <v>210</v>
      </c>
      <c r="D74" s="46">
        <v>28</v>
      </c>
      <c r="E74" s="46">
        <v>0</v>
      </c>
      <c r="F74" s="13">
        <v>0.25575312283180363</v>
      </c>
      <c r="G74" s="13">
        <v>-4.841549762344112E-3</v>
      </c>
      <c r="H74" s="13">
        <v>8.3738939167249046E-2</v>
      </c>
      <c r="I74" s="13">
        <v>1.3348775651265981E-2</v>
      </c>
      <c r="J74" s="13">
        <v>0.64231761258733733</v>
      </c>
      <c r="K74" s="13">
        <v>19.239613526570071</v>
      </c>
      <c r="L74" s="13">
        <v>3.687196895383166</v>
      </c>
      <c r="M74" s="13">
        <v>-2.4096554764033109</v>
      </c>
      <c r="N74" s="19">
        <f>(F74-Settings!$D$18)/Settings!$E$18</f>
        <v>0.22701441551872972</v>
      </c>
      <c r="O74" s="19">
        <f>(G74-Settings!$D$19)/Settings!$E$19</f>
        <v>7.5004734058662717E-3</v>
      </c>
      <c r="P74" s="19">
        <f>(H74-Settings!$D$20)/Settings!$E$20</f>
        <v>0.27734828092510394</v>
      </c>
      <c r="Q74" s="19">
        <f>(I74-Settings!$D$21)/Settings!$E$21</f>
        <v>0.20036312394716041</v>
      </c>
      <c r="R74" s="19">
        <f>(J74-Settings!$D$22)/Settings!$E$22</f>
        <v>1.061303470462867</v>
      </c>
      <c r="S74" s="19">
        <f>(K74-Settings!$D$23)/Settings!$E$23</f>
        <v>1.3836911412616637</v>
      </c>
      <c r="T74" s="19">
        <f>(L74-Settings!$D$24)/Settings!$E$24</f>
        <v>1.6446837256411615</v>
      </c>
      <c r="U74" s="19">
        <f>(M74-Settings!$D$25)/Settings!$E$25</f>
        <v>-1.5891282328159673</v>
      </c>
      <c r="V74" s="31">
        <f>Settings!$B$18*(N74-F$6)^2</f>
        <v>1.4749544533736586E-3</v>
      </c>
      <c r="W74" s="31">
        <f>Settings!$B$19*(O74-G$6)^2</f>
        <v>7.9620474939689517E-2</v>
      </c>
      <c r="X74" s="31">
        <f>Settings!$B$20*(P74-H$6)^2</f>
        <v>0.60562242766371166</v>
      </c>
      <c r="Y74" s="31">
        <f>Settings!$B$21*(Q74-I$6)^2</f>
        <v>5.4080068669444727E-3</v>
      </c>
      <c r="Z74" s="31">
        <f>Settings!$B$22*(R74-J$6)^2</f>
        <v>0.18162115473236334</v>
      </c>
      <c r="AA74" s="31">
        <f>Settings!$B$23*(S74-K$6)^2</f>
        <v>1.3538577629167945</v>
      </c>
      <c r="AB74" s="31">
        <f>Settings!$B$24*(T74-L$6)^2</f>
        <v>0.89833719763467745</v>
      </c>
      <c r="AC74" s="31">
        <f>Settings!$B$25*(U74-M$6)^2</f>
        <v>2.5422570789307934E-5</v>
      </c>
      <c r="AD74" s="19">
        <f t="shared" si="0"/>
        <v>1.7680405543364506</v>
      </c>
      <c r="AE74" s="15">
        <f t="shared" si="1"/>
        <v>0.69982250526033551</v>
      </c>
      <c r="AF74" s="33">
        <f t="shared" si="2"/>
        <v>0.78280178010941215</v>
      </c>
      <c r="AG74" s="47">
        <f t="shared" si="3"/>
        <v>3.3763437346147102E-3</v>
      </c>
      <c r="AH74" s="18">
        <v>-0.40988352961321078</v>
      </c>
      <c r="AI74" s="46">
        <v>0</v>
      </c>
      <c r="AJ74" s="18">
        <v>-0.58991412138162591</v>
      </c>
      <c r="AK74" s="46">
        <v>0</v>
      </c>
      <c r="AL74" s="18">
        <v>-1.0215725355032801</v>
      </c>
      <c r="AM74" s="46">
        <v>0</v>
      </c>
    </row>
    <row r="75" spans="1:39" ht="20" customHeight="1" x14ac:dyDescent="0.45">
      <c r="A75" s="26">
        <v>65</v>
      </c>
      <c r="B75" s="16" t="s">
        <v>267</v>
      </c>
      <c r="C75" s="16" t="s">
        <v>214</v>
      </c>
      <c r="D75" s="46">
        <v>28</v>
      </c>
      <c r="E75" s="46">
        <v>1</v>
      </c>
      <c r="F75" s="13">
        <v>0.55840596482434424</v>
      </c>
      <c r="G75" s="13">
        <v>-7.4876328758924166E-2</v>
      </c>
      <c r="H75" s="13">
        <v>0.18559659916562829</v>
      </c>
      <c r="I75" s="13">
        <v>2.553040452177938E-2</v>
      </c>
      <c r="J75" s="13">
        <v>0.1555907027293239</v>
      </c>
      <c r="K75" s="13">
        <v>19.049261603375509</v>
      </c>
      <c r="L75" s="13">
        <v>3.1931526334312559</v>
      </c>
      <c r="M75" s="13">
        <v>-0.73711907606887106</v>
      </c>
      <c r="N75" s="19">
        <f>(F75-Settings!$D$18)/Settings!$E$18</f>
        <v>1.3101900701318687</v>
      </c>
      <c r="O75" s="19">
        <f>(G75-Settings!$D$19)/Settings!$E$19</f>
        <v>-0.28427334226702106</v>
      </c>
      <c r="P75" s="19">
        <f>(H75-Settings!$D$20)/Settings!$E$20</f>
        <v>1.2001982675520562</v>
      </c>
      <c r="Q75" s="19">
        <f>(I75-Settings!$D$21)/Settings!$E$21</f>
        <v>0.3501643605684498</v>
      </c>
      <c r="R75" s="19">
        <f>(J75-Settings!$D$22)/Settings!$E$22</f>
        <v>-0.24825819589770756</v>
      </c>
      <c r="S75" s="19">
        <f>(K75-Settings!$D$23)/Settings!$E$23</f>
        <v>1.3175862966645402</v>
      </c>
      <c r="T75" s="19">
        <f>(L75-Settings!$D$24)/Settings!$E$24</f>
        <v>1.3031239039317621</v>
      </c>
      <c r="U75" s="19">
        <f>(M75-Settings!$D$25)/Settings!$E$25</f>
        <v>-0.4611510565517023</v>
      </c>
      <c r="V75" s="31">
        <f>Settings!$B$18*(N75-F$6)^2</f>
        <v>0.19892112304709925</v>
      </c>
      <c r="W75" s="31">
        <f>Settings!$B$19*(O75-G$6)^2</f>
        <v>2.3008577622931882E-2</v>
      </c>
      <c r="X75" s="31">
        <f>Settings!$B$20*(P75-H$6)^2</f>
        <v>0.13359493390779809</v>
      </c>
      <c r="Y75" s="31">
        <f>Settings!$B$21*(Q75-I$6)^2</f>
        <v>1.9749327785179842E-2</v>
      </c>
      <c r="Z75" s="31">
        <f>Settings!$B$22*(R75-J$6)^2</f>
        <v>2.5434969545480458E-2</v>
      </c>
      <c r="AA75" s="31">
        <f>Settings!$B$23*(S75-K$6)^2</f>
        <v>1.2043945091035417</v>
      </c>
      <c r="AB75" s="31">
        <f>Settings!$B$24*(T75-L$6)^2</f>
        <v>0.36753505808819564</v>
      </c>
      <c r="AC75" s="31">
        <f>Settings!$B$25*(U75-M$6)^2</f>
        <v>1.2609832304080237</v>
      </c>
      <c r="AD75" s="19">
        <f t="shared" ref="AD75:AD138" si="4">SQRT(SUM(V75:AC75))</f>
        <v>1.7982273853737882</v>
      </c>
      <c r="AE75" s="15">
        <f t="shared" ref="AE75:AE138" si="5">AD75/Yardstick</f>
        <v>0.71177100025984563</v>
      </c>
      <c r="AF75" s="33">
        <f t="shared" ref="AF75:AF138" si="6">EXP(-(AD75^2)/(2*Yardstick^2))</f>
        <v>0.77622800707569528</v>
      </c>
      <c r="AG75" s="47">
        <f t="shared" ref="AG75:AG138" si="7">AF75/$E$7</f>
        <v>3.3479900466707878E-3</v>
      </c>
      <c r="AH75" s="48"/>
      <c r="AI75" s="48"/>
      <c r="AJ75" s="48"/>
      <c r="AK75" s="48"/>
      <c r="AL75" s="48"/>
      <c r="AM75" s="48"/>
    </row>
    <row r="76" spans="1:39" ht="20" customHeight="1" x14ac:dyDescent="0.45">
      <c r="A76" s="26">
        <v>66</v>
      </c>
      <c r="B76" s="16" t="s">
        <v>401</v>
      </c>
      <c r="C76" s="16" t="s">
        <v>224</v>
      </c>
      <c r="D76" s="46">
        <v>28</v>
      </c>
      <c r="E76" s="46">
        <v>0</v>
      </c>
      <c r="F76" s="13">
        <v>0.6349364238516112</v>
      </c>
      <c r="G76" s="13">
        <v>0.16693903122026801</v>
      </c>
      <c r="H76" s="13">
        <v>0.1483164976201618</v>
      </c>
      <c r="I76" s="13">
        <v>1.2279243680097951E-2</v>
      </c>
      <c r="J76" s="13">
        <v>-3.7528803627861318E-2</v>
      </c>
      <c r="K76" s="13">
        <v>17.900530785562609</v>
      </c>
      <c r="L76" s="13">
        <v>2.6979993943603802</v>
      </c>
      <c r="M76" s="13">
        <v>-0.52649255575809883</v>
      </c>
      <c r="N76" s="19">
        <f>(F76-Settings!$D$18)/Settings!$E$18</f>
        <v>1.5840878122080757</v>
      </c>
      <c r="O76" s="19">
        <f>(G76-Settings!$D$19)/Settings!$E$19</f>
        <v>0.72316026829505531</v>
      </c>
      <c r="P76" s="19">
        <f>(H76-Settings!$D$20)/Settings!$E$20</f>
        <v>0.86243337865481851</v>
      </c>
      <c r="Q76" s="19">
        <f>(I76-Settings!$D$21)/Settings!$E$21</f>
        <v>0.18721076036836229</v>
      </c>
      <c r="R76" s="19">
        <f>(J76-Settings!$D$22)/Settings!$E$22</f>
        <v>-0.76785531993102407</v>
      </c>
      <c r="S76" s="19">
        <f>(K76-Settings!$D$23)/Settings!$E$23</f>
        <v>0.91865850585975861</v>
      </c>
      <c r="T76" s="19">
        <f>(L76-Settings!$D$24)/Settings!$E$24</f>
        <v>0.96079738568076745</v>
      </c>
      <c r="U76" s="19">
        <f>(M76-Settings!$D$25)/Settings!$E$25</f>
        <v>-0.31910218540067331</v>
      </c>
      <c r="V76" s="31">
        <f>Settings!$B$18*(N76-F$6)^2</f>
        <v>0.32318831294777034</v>
      </c>
      <c r="W76" s="31">
        <f>Settings!$B$19*(O76-G$6)^2</f>
        <v>0.36267349690010292</v>
      </c>
      <c r="X76" s="31">
        <f>Settings!$B$20*(P76-H$6)^2</f>
        <v>0.26683367352096227</v>
      </c>
      <c r="Y76" s="31">
        <f>Settings!$B$21*(Q76-I$6)^2</f>
        <v>4.5775016003522725E-3</v>
      </c>
      <c r="Z76" s="31">
        <f>Settings!$B$22*(R76-J$6)^2</f>
        <v>0.15354982694487496</v>
      </c>
      <c r="AA76" s="31">
        <f>Settings!$B$23*(S76-K$6)^2</f>
        <v>0.48793200795098851</v>
      </c>
      <c r="AB76" s="31">
        <f>Settings!$B$24*(T76-L$6)^2</f>
        <v>6.9653860953244273E-2</v>
      </c>
      <c r="AC76" s="31">
        <f>Settings!$B$25*(U76-M$6)^2</f>
        <v>1.600184437801955</v>
      </c>
      <c r="AD76" s="19">
        <f t="shared" si="4"/>
        <v>1.8079250865620098</v>
      </c>
      <c r="AE76" s="15">
        <f t="shared" si="5"/>
        <v>0.71560952620550999</v>
      </c>
      <c r="AF76" s="33">
        <f t="shared" si="6"/>
        <v>0.77410442614106756</v>
      </c>
      <c r="AG76" s="47">
        <f t="shared" si="7"/>
        <v>3.3388307174947924E-3</v>
      </c>
      <c r="AH76" s="18">
        <v>-0.50753170966618866</v>
      </c>
      <c r="AI76" s="46">
        <v>0</v>
      </c>
      <c r="AJ76" s="18">
        <v>-0.39699797670020448</v>
      </c>
      <c r="AK76" s="46">
        <v>0</v>
      </c>
      <c r="AL76" s="18">
        <v>-0.52622989524420416</v>
      </c>
      <c r="AM76" s="46">
        <v>1</v>
      </c>
    </row>
    <row r="77" spans="1:39" ht="20" customHeight="1" x14ac:dyDescent="0.45">
      <c r="A77" s="26">
        <v>67</v>
      </c>
      <c r="B77" s="16" t="s">
        <v>217</v>
      </c>
      <c r="C77" s="16" t="s">
        <v>232</v>
      </c>
      <c r="D77" s="46">
        <v>28</v>
      </c>
      <c r="E77" s="46">
        <v>0</v>
      </c>
      <c r="F77" s="13">
        <v>0.19452864657031529</v>
      </c>
      <c r="G77" s="13">
        <v>-0.110714868207093</v>
      </c>
      <c r="H77" s="13">
        <v>0.2844150910921297</v>
      </c>
      <c r="I77" s="13">
        <v>-5.5480437291352998E-2</v>
      </c>
      <c r="J77" s="13">
        <v>0.35486095683910901</v>
      </c>
      <c r="K77" s="13">
        <v>19.965303983228491</v>
      </c>
      <c r="L77" s="13">
        <v>2.9400912174862972</v>
      </c>
      <c r="M77" s="13">
        <v>-0.90287650495796878</v>
      </c>
      <c r="N77" s="19">
        <f>(F77-Settings!$D$18)/Settings!$E$18</f>
        <v>7.8958316115655576E-3</v>
      </c>
      <c r="O77" s="19">
        <f>(G77-Settings!$D$19)/Settings!$E$19</f>
        <v>-0.43358126545538639</v>
      </c>
      <c r="P77" s="19">
        <f>(H77-Settings!$D$20)/Settings!$E$20</f>
        <v>2.0955128070213358</v>
      </c>
      <c r="Q77" s="19">
        <f>(I77-Settings!$D$21)/Settings!$E$21</f>
        <v>-0.64605087569719344</v>
      </c>
      <c r="R77" s="19">
        <f>(J77-Settings!$D$22)/Settings!$E$22</f>
        <v>0.28788780454478052</v>
      </c>
      <c r="S77" s="19">
        <f>(K77-Settings!$D$23)/Settings!$E$23</f>
        <v>1.6357067450860998</v>
      </c>
      <c r="T77" s="19">
        <f>(L77-Settings!$D$24)/Settings!$E$24</f>
        <v>1.1281687050388709</v>
      </c>
      <c r="U77" s="19">
        <f>(M77-Settings!$D$25)/Settings!$E$25</f>
        <v>-0.572939712718326</v>
      </c>
      <c r="V77" s="31">
        <f>Settings!$B$18*(N77-F$6)^2</f>
        <v>1.8604399541580208E-2</v>
      </c>
      <c r="W77" s="31">
        <f>Settings!$B$19*(O77-G$6)^2</f>
        <v>7.2102604780688306E-3</v>
      </c>
      <c r="X77" s="31">
        <f>Settings!$B$20*(P77-H$6)^2</f>
        <v>1.2173418837516901E-3</v>
      </c>
      <c r="Y77" s="31">
        <f>Settings!$B$21*(Q77-I$6)^2</f>
        <v>9.3018104767076365E-2</v>
      </c>
      <c r="Z77" s="31">
        <f>Settings!$B$22*(R77-J$6)^2</f>
        <v>6.4462166694398458E-3</v>
      </c>
      <c r="AA77" s="31">
        <f>Settings!$B$23*(S77-K$6)^2</f>
        <v>2.0038371232171333</v>
      </c>
      <c r="AB77" s="31">
        <f>Settings!$B$24*(T77-L$6)^2</f>
        <v>0.18601235667012864</v>
      </c>
      <c r="AC77" s="31">
        <f>Settings!$B$25*(U77-M$6)^2</f>
        <v>1.0224171233095172</v>
      </c>
      <c r="AD77" s="19">
        <f t="shared" si="4"/>
        <v>1.8272282086637937</v>
      </c>
      <c r="AE77" s="15">
        <f t="shared" si="5"/>
        <v>0.7232500518911249</v>
      </c>
      <c r="AF77" s="33">
        <f t="shared" si="6"/>
        <v>0.76986098547293258</v>
      </c>
      <c r="AG77" s="47">
        <f t="shared" si="7"/>
        <v>3.3205281092520463E-3</v>
      </c>
      <c r="AH77" s="18">
        <v>-0.73790410109567572</v>
      </c>
      <c r="AI77" s="46">
        <v>0</v>
      </c>
      <c r="AJ77" s="18">
        <v>1.847602071431379</v>
      </c>
      <c r="AK77" s="46">
        <v>0</v>
      </c>
      <c r="AL77" s="18">
        <v>0.60494628991094945</v>
      </c>
      <c r="AM77" s="46">
        <v>0</v>
      </c>
    </row>
    <row r="78" spans="1:39" ht="20" customHeight="1" x14ac:dyDescent="0.45">
      <c r="A78" s="26">
        <v>68</v>
      </c>
      <c r="B78" s="16" t="s">
        <v>305</v>
      </c>
      <c r="C78" s="16" t="s">
        <v>227</v>
      </c>
      <c r="D78" s="46">
        <v>28</v>
      </c>
      <c r="E78" s="46">
        <v>0</v>
      </c>
      <c r="F78" s="13">
        <v>0.1367859129256315</v>
      </c>
      <c r="G78" s="13">
        <v>-0.23893387813365119</v>
      </c>
      <c r="H78" s="13">
        <v>8.3989376497386511E-2</v>
      </c>
      <c r="I78" s="13">
        <v>-3.6082939564082282E-2</v>
      </c>
      <c r="J78" s="13">
        <v>0.50420789287924839</v>
      </c>
      <c r="K78" s="13">
        <v>19.317976190476141</v>
      </c>
      <c r="L78" s="13">
        <v>1.5638340134428881</v>
      </c>
      <c r="M78" s="13">
        <v>-0.97862812320215631</v>
      </c>
      <c r="N78" s="19">
        <f>(F78-Settings!$D$18)/Settings!$E$18</f>
        <v>-0.19876181251613781</v>
      </c>
      <c r="O78" s="19">
        <f>(G78-Settings!$D$19)/Settings!$E$19</f>
        <v>-0.96775800312880089</v>
      </c>
      <c r="P78" s="19">
        <f>(H78-Settings!$D$20)/Settings!$E$20</f>
        <v>0.27961729129478974</v>
      </c>
      <c r="Q78" s="19">
        <f>(I78-Settings!$D$21)/Settings!$E$21</f>
        <v>-0.40751388053906246</v>
      </c>
      <c r="R78" s="19">
        <f>(J78-Settings!$D$22)/Settings!$E$22</f>
        <v>0.68971276730187325</v>
      </c>
      <c r="S78" s="19">
        <f>(K78-Settings!$D$23)/Settings!$E$23</f>
        <v>1.4109046919985933</v>
      </c>
      <c r="T78" s="19">
        <f>(L78-Settings!$D$24)/Settings!$E$24</f>
        <v>0.17668682084060922</v>
      </c>
      <c r="U78" s="19">
        <f>(M78-Settings!$D$25)/Settings!$E$25</f>
        <v>-0.62402744774606078</v>
      </c>
      <c r="V78" s="31">
        <f>Settings!$B$18*(N78-F$6)^2</f>
        <v>5.2357701646922307E-2</v>
      </c>
      <c r="W78" s="31">
        <f>Settings!$B$19*(O78-G$6)^2</f>
        <v>2.3709177312199292E-2</v>
      </c>
      <c r="X78" s="31">
        <f>Settings!$B$20*(P78-H$6)^2</f>
        <v>0.60404409256503144</v>
      </c>
      <c r="Y78" s="31">
        <f>Settings!$B$21*(Q78-I$6)^2</f>
        <v>3.9327533873184314E-2</v>
      </c>
      <c r="Z78" s="31">
        <f>Settings!$B$22*(R78-J$6)^2</f>
        <v>6.7594758987814488E-2</v>
      </c>
      <c r="AA78" s="31">
        <f>Settings!$B$23*(S78-K$6)^2</f>
        <v>1.4179272084273706</v>
      </c>
      <c r="AB78" s="31">
        <f>Settings!$B$24*(T78-L$6)^2</f>
        <v>0.27059803738285293</v>
      </c>
      <c r="AC78" s="31">
        <f>Settings!$B$25*(U78-M$6)^2</f>
        <v>0.92171271716852743</v>
      </c>
      <c r="AD78" s="19">
        <f t="shared" si="4"/>
        <v>1.8431688005616584</v>
      </c>
      <c r="AE78" s="15">
        <f t="shared" si="5"/>
        <v>0.72955962716072786</v>
      </c>
      <c r="AF78" s="33">
        <f t="shared" si="6"/>
        <v>0.76634055076792684</v>
      </c>
      <c r="AG78" s="47">
        <f t="shared" si="7"/>
        <v>3.3053439362450495E-3</v>
      </c>
      <c r="AH78" s="18">
        <v>-0.52695577364034407</v>
      </c>
      <c r="AI78" s="46">
        <v>0</v>
      </c>
      <c r="AJ78" s="18">
        <v>0.1206240434868175</v>
      </c>
      <c r="AK78" s="46">
        <v>0</v>
      </c>
      <c r="AL78" s="18">
        <v>-0.33561403594121181</v>
      </c>
      <c r="AM78" s="46">
        <v>0</v>
      </c>
    </row>
    <row r="79" spans="1:39" ht="20" customHeight="1" x14ac:dyDescent="0.45">
      <c r="A79" s="26">
        <v>69</v>
      </c>
      <c r="B79" s="16" t="s">
        <v>382</v>
      </c>
      <c r="C79" s="16" t="s">
        <v>224</v>
      </c>
      <c r="D79" s="46">
        <v>28</v>
      </c>
      <c r="E79" s="46">
        <v>0</v>
      </c>
      <c r="F79" s="13">
        <v>0.4764242223957128</v>
      </c>
      <c r="G79" s="13">
        <v>-4.8128402884732538E-2</v>
      </c>
      <c r="H79" s="13">
        <v>-1.8801603771929531E-2</v>
      </c>
      <c r="I79" s="13">
        <v>3.2038602808901299E-2</v>
      </c>
      <c r="J79" s="13">
        <v>0.4246071681387239</v>
      </c>
      <c r="K79" s="13">
        <v>16.137899543379021</v>
      </c>
      <c r="L79" s="13">
        <v>1.3707002983390371</v>
      </c>
      <c r="M79" s="13">
        <v>-0.67697006190785358</v>
      </c>
      <c r="N79" s="19">
        <f>(F79-Settings!$D$18)/Settings!$E$18</f>
        <v>1.0167825245861797</v>
      </c>
      <c r="O79" s="19">
        <f>(G79-Settings!$D$19)/Settings!$E$19</f>
        <v>-0.17283807388372904</v>
      </c>
      <c r="P79" s="19">
        <f>(H79-Settings!$D$20)/Settings!$E$20</f>
        <v>-0.65168875646263014</v>
      </c>
      <c r="Q79" s="19">
        <f>(I79-Settings!$D$21)/Settings!$E$21</f>
        <v>0.43019767646985041</v>
      </c>
      <c r="R79" s="19">
        <f>(J79-Settings!$D$22)/Settings!$E$22</f>
        <v>0.475543269738815</v>
      </c>
      <c r="S79" s="19">
        <f>(K79-Settings!$D$23)/Settings!$E$23</f>
        <v>0.30653721813583662</v>
      </c>
      <c r="T79" s="19">
        <f>(L79-Settings!$D$24)/Settings!$E$24</f>
        <v>4.3162919487482285E-2</v>
      </c>
      <c r="U79" s="19">
        <f>(M79-Settings!$D$25)/Settings!$E$25</f>
        <v>-0.42058589149170295</v>
      </c>
      <c r="V79" s="31">
        <f>Settings!$B$18*(N79-F$6)^2</f>
        <v>9.9092681078460254E-2</v>
      </c>
      <c r="W79" s="31">
        <f>Settings!$B$19*(O79-G$6)^2</f>
        <v>4.0610775053818729E-2</v>
      </c>
      <c r="X79" s="31">
        <f>Settings!$B$20*(P79-H$6)^2</f>
        <v>1.4249088558746961</v>
      </c>
      <c r="Y79" s="31">
        <f>Settings!$B$21*(Q79-I$6)^2</f>
        <v>3.1090254727814598E-2</v>
      </c>
      <c r="Z79" s="31">
        <f>Settings!$B$22*(R79-J$6)^2</f>
        <v>2.6965058714092962E-2</v>
      </c>
      <c r="AA79" s="31">
        <f>Settings!$B$23*(S79-K$6)^2</f>
        <v>7.4649622941381031E-3</v>
      </c>
      <c r="AB79" s="31">
        <f>Settings!$B$24*(T79-L$6)^2</f>
        <v>0.42734236910760515</v>
      </c>
      <c r="AC79" s="31">
        <f>Settings!$B$25*(U79-M$6)^2</f>
        <v>1.3537328580871151</v>
      </c>
      <c r="AD79" s="19">
        <f t="shared" si="4"/>
        <v>1.8469455365380272</v>
      </c>
      <c r="AE79" s="15">
        <f t="shared" si="5"/>
        <v>0.73105452773085711</v>
      </c>
      <c r="AF79" s="33">
        <f t="shared" si="6"/>
        <v>0.7655043653730369</v>
      </c>
      <c r="AG79" s="47">
        <f t="shared" si="7"/>
        <v>3.3017373408198085E-3</v>
      </c>
      <c r="AH79" s="18">
        <v>-0.81204654695008205</v>
      </c>
      <c r="AI79" s="46">
        <v>0</v>
      </c>
      <c r="AJ79" s="18">
        <v>0.1875269577366582</v>
      </c>
      <c r="AK79" s="46">
        <v>0</v>
      </c>
      <c r="AL79" s="18">
        <v>-0.31079472718409412</v>
      </c>
      <c r="AM79" s="46">
        <v>1</v>
      </c>
    </row>
    <row r="80" spans="1:39" ht="20" customHeight="1" x14ac:dyDescent="0.45">
      <c r="A80" s="26">
        <v>70</v>
      </c>
      <c r="B80" s="16" t="s">
        <v>270</v>
      </c>
      <c r="C80" s="16" t="s">
        <v>260</v>
      </c>
      <c r="D80" s="46">
        <v>28</v>
      </c>
      <c r="E80" s="46">
        <v>1</v>
      </c>
      <c r="F80" s="13">
        <v>0.45308033843190981</v>
      </c>
      <c r="G80" s="13">
        <v>-0.17200874574924491</v>
      </c>
      <c r="H80" s="13">
        <v>4.9331511186872748E-2</v>
      </c>
      <c r="I80" s="13">
        <v>-2.5717242101347251E-2</v>
      </c>
      <c r="J80" s="13">
        <v>0.29986216253062542</v>
      </c>
      <c r="K80" s="13">
        <v>17.269220430107531</v>
      </c>
      <c r="L80" s="13">
        <v>0.75244627032868228</v>
      </c>
      <c r="M80" s="13">
        <v>-0.86449403852609896</v>
      </c>
      <c r="N80" s="19">
        <f>(F80-Settings!$D$18)/Settings!$E$18</f>
        <v>0.9332362190988891</v>
      </c>
      <c r="O80" s="19">
        <f>(G80-Settings!$D$19)/Settings!$E$19</f>
        <v>-0.68893937158625129</v>
      </c>
      <c r="P80" s="19">
        <f>(H80-Settings!$D$20)/Settings!$E$20</f>
        <v>-3.4389633062546408E-2</v>
      </c>
      <c r="Q80" s="19">
        <f>(I80-Settings!$D$21)/Settings!$E$21</f>
        <v>-0.28004371092007735</v>
      </c>
      <c r="R80" s="19">
        <f>(J80-Settings!$D$22)/Settings!$E$22</f>
        <v>0.13991095908240206</v>
      </c>
      <c r="S80" s="19">
        <f>(K80-Settings!$D$23)/Settings!$E$23</f>
        <v>0.69941894032483687</v>
      </c>
      <c r="T80" s="19">
        <f>(L80-Settings!$D$24)/Settings!$E$24</f>
        <v>-0.38426990757142165</v>
      </c>
      <c r="U80" s="19">
        <f>(M80-Settings!$D$25)/Settings!$E$25</f>
        <v>-0.54705414987184842</v>
      </c>
      <c r="V80" s="31">
        <f>Settings!$B$18*(N80-F$6)^2</f>
        <v>7.6965660558410684E-2</v>
      </c>
      <c r="W80" s="31">
        <f>Settings!$B$19*(O80-G$6)^2</f>
        <v>8.5769112327097735E-4</v>
      </c>
      <c r="X80" s="31">
        <f>Settings!$B$20*(P80-H$6)^2</f>
        <v>0.84204647133823285</v>
      </c>
      <c r="Y80" s="31">
        <f>Settings!$B$21*(Q80-I$6)^2</f>
        <v>1.9967192327395068E-2</v>
      </c>
      <c r="Z80" s="31">
        <f>Settings!$B$22*(R80-J$6)^2</f>
        <v>1.9912250733170983E-4</v>
      </c>
      <c r="AA80" s="31">
        <f>Settings!$B$23*(S80-K$6)^2</f>
        <v>0.22971098195059284</v>
      </c>
      <c r="AB80" s="31">
        <f>Settings!$B$24*(T80-L$6)^2</f>
        <v>1.1688790823696869</v>
      </c>
      <c r="AC80" s="31">
        <f>Settings!$B$25*(U80-M$6)^2</f>
        <v>1.0754353751173522</v>
      </c>
      <c r="AD80" s="19">
        <f t="shared" si="4"/>
        <v>1.8477179376983579</v>
      </c>
      <c r="AE80" s="15">
        <f t="shared" si="5"/>
        <v>0.73136025811343397</v>
      </c>
      <c r="AF80" s="33">
        <f t="shared" si="6"/>
        <v>0.76533325422612331</v>
      </c>
      <c r="AG80" s="47">
        <f t="shared" si="7"/>
        <v>3.3009993122875745E-3</v>
      </c>
      <c r="AH80" s="18">
        <v>-0.39758434796554942</v>
      </c>
      <c r="AI80" s="46">
        <v>1</v>
      </c>
      <c r="AJ80" s="18">
        <v>0.1495650316741011</v>
      </c>
      <c r="AK80" s="46">
        <v>1</v>
      </c>
      <c r="AL80" s="18">
        <v>0.53371929446397037</v>
      </c>
      <c r="AM80" s="46">
        <v>1</v>
      </c>
    </row>
    <row r="81" spans="1:39" ht="20" customHeight="1" x14ac:dyDescent="0.45">
      <c r="A81" s="26">
        <v>71</v>
      </c>
      <c r="B81" s="16" t="s">
        <v>426</v>
      </c>
      <c r="C81" s="16" t="s">
        <v>224</v>
      </c>
      <c r="D81" s="46">
        <v>28</v>
      </c>
      <c r="E81" s="46">
        <v>0</v>
      </c>
      <c r="F81" s="13">
        <v>0.2555526979532412</v>
      </c>
      <c r="G81" s="13">
        <v>-0.1039736886949683</v>
      </c>
      <c r="H81" s="13">
        <v>0.13882305301201101</v>
      </c>
      <c r="I81" s="13">
        <v>2.9420802805972573E-4</v>
      </c>
      <c r="J81" s="13">
        <v>0.50135635231171971</v>
      </c>
      <c r="K81" s="13">
        <v>16.729141104294481</v>
      </c>
      <c r="L81" s="13">
        <v>1.147024976143431</v>
      </c>
      <c r="M81" s="13">
        <v>-0.1578415673672815</v>
      </c>
      <c r="N81" s="19">
        <f>(F81-Settings!$D$18)/Settings!$E$18</f>
        <v>0.22629710737251063</v>
      </c>
      <c r="O81" s="19">
        <f>(G81-Settings!$D$19)/Settings!$E$19</f>
        <v>-0.40549665240214083</v>
      </c>
      <c r="P81" s="19">
        <f>(H81-Settings!$D$20)/Settings!$E$20</f>
        <v>0.77642094493294544</v>
      </c>
      <c r="Q81" s="19">
        <f>(I81-Settings!$D$21)/Settings!$E$21</f>
        <v>3.9827091015948286E-2</v>
      </c>
      <c r="R81" s="19">
        <f>(J81-Settings!$D$22)/Settings!$E$22</f>
        <v>0.68204056315273964</v>
      </c>
      <c r="S81" s="19">
        <f>(K81-Settings!$D$23)/Settings!$E$23</f>
        <v>0.51186181295870425</v>
      </c>
      <c r="T81" s="19">
        <f>(L81-Settings!$D$24)/Settings!$E$24</f>
        <v>-0.1114760654246837</v>
      </c>
      <c r="U81" s="19">
        <f>(M81-Settings!$D$25)/Settings!$E$25</f>
        <v>-7.0479852978517846E-2</v>
      </c>
      <c r="V81" s="31">
        <f>Settings!$B$18*(N81-F$6)^2</f>
        <v>1.4996973231303618E-3</v>
      </c>
      <c r="W81" s="31">
        <f>Settings!$B$19*(O81-G$6)^2</f>
        <v>9.5010000470655102E-3</v>
      </c>
      <c r="X81" s="31">
        <f>Settings!$B$20*(P81-H$6)^2</f>
        <v>0.3080531809008239</v>
      </c>
      <c r="Y81" s="31">
        <f>Settings!$B$21*(Q81-I$6)^2</f>
        <v>3.0459165438212098E-6</v>
      </c>
      <c r="Z81" s="31">
        <f>Settings!$B$22*(R81-J$6)^2</f>
        <v>6.5822421414426693E-2</v>
      </c>
      <c r="AA81" s="31">
        <f>Settings!$B$23*(S81-K$6)^2</f>
        <v>8.5103246970590296E-2</v>
      </c>
      <c r="AB81" s="31">
        <f>Settings!$B$24*(T81-L$6)^2</f>
        <v>0.65343501230964118</v>
      </c>
      <c r="AC81" s="31">
        <f>Settings!$B$25*(U81-M$6)^2</f>
        <v>2.2910040308887303</v>
      </c>
      <c r="AD81" s="19">
        <f t="shared" si="4"/>
        <v>1.8478153684204903</v>
      </c>
      <c r="AE81" s="15">
        <f t="shared" si="5"/>
        <v>0.73139882295963321</v>
      </c>
      <c r="AF81" s="33">
        <f t="shared" si="6"/>
        <v>0.76531166789322358</v>
      </c>
      <c r="AG81" s="47">
        <f t="shared" si="7"/>
        <v>3.3009062071341485E-3</v>
      </c>
      <c r="AH81" s="18">
        <v>-1.109748066810226</v>
      </c>
      <c r="AI81" s="46">
        <v>0</v>
      </c>
      <c r="AJ81" s="18">
        <v>-0.64671980455401212</v>
      </c>
      <c r="AK81" s="46">
        <v>0</v>
      </c>
      <c r="AL81" s="18">
        <v>0.72493330262476807</v>
      </c>
      <c r="AM81" s="46">
        <v>1</v>
      </c>
    </row>
    <row r="82" spans="1:39" ht="20" customHeight="1" x14ac:dyDescent="0.45">
      <c r="A82" s="26">
        <v>72</v>
      </c>
      <c r="B82" s="16" t="s">
        <v>517</v>
      </c>
      <c r="C82" s="16" t="s">
        <v>236</v>
      </c>
      <c r="D82" s="46">
        <v>28</v>
      </c>
      <c r="E82" s="46">
        <v>0</v>
      </c>
      <c r="F82" s="13">
        <v>0.56609884039468261</v>
      </c>
      <c r="G82" s="13">
        <v>-8.3567496718562062E-2</v>
      </c>
      <c r="H82" s="13">
        <v>3.9858852047051231E-2</v>
      </c>
      <c r="I82" s="13">
        <v>-1.008369173440601E-2</v>
      </c>
      <c r="J82" s="13">
        <v>0.30039111910529809</v>
      </c>
      <c r="K82" s="13">
        <v>16.331280193236669</v>
      </c>
      <c r="L82" s="13">
        <v>1.8337874436354591</v>
      </c>
      <c r="M82" s="13">
        <v>-0.21785282873902531</v>
      </c>
      <c r="N82" s="19">
        <f>(F82-Settings!$D$18)/Settings!$E$18</f>
        <v>1.3377223922369559</v>
      </c>
      <c r="O82" s="19">
        <f>(G82-Settings!$D$19)/Settings!$E$19</f>
        <v>-0.32048185573090054</v>
      </c>
      <c r="P82" s="19">
        <f>(H82-Settings!$D$20)/Settings!$E$20</f>
        <v>-0.12021374644434865</v>
      </c>
      <c r="Q82" s="19">
        <f>(I82-Settings!$D$21)/Settings!$E$21</f>
        <v>-8.7793134035583129E-2</v>
      </c>
      <c r="R82" s="19">
        <f>(J82-Settings!$D$22)/Settings!$E$22</f>
        <v>0.1413341416501438</v>
      </c>
      <c r="S82" s="19">
        <f>(K82-Settings!$D$23)/Settings!$E$23</f>
        <v>0.37369386983861136</v>
      </c>
      <c r="T82" s="19">
        <f>(L82-Settings!$D$24)/Settings!$E$24</f>
        <v>0.3633203931487326</v>
      </c>
      <c r="U82" s="19">
        <f>(M82-Settings!$D$25)/Settings!$E$25</f>
        <v>-0.11095211602320901</v>
      </c>
      <c r="V82" s="31">
        <f>Settings!$B$18*(N82-F$6)^2</f>
        <v>0.21005591348635835</v>
      </c>
      <c r="W82" s="31">
        <f>Settings!$B$19*(O82-G$6)^2</f>
        <v>1.835831140832074E-2</v>
      </c>
      <c r="X82" s="31">
        <f>Settings!$B$20*(P82-H$6)^2</f>
        <v>0.91396011391896848</v>
      </c>
      <c r="Y82" s="31">
        <f>Settings!$B$21*(Q82-I$6)^2</f>
        <v>3.0612146135385468E-3</v>
      </c>
      <c r="Z82" s="31">
        <f>Settings!$B$22*(R82-J$6)^2</f>
        <v>2.1749005586111514E-4</v>
      </c>
      <c r="AA82" s="31">
        <f>Settings!$B$23*(S82-K$6)^2</f>
        <v>2.3579649359483867E-2</v>
      </c>
      <c r="AB82" s="31">
        <f>Settings!$B$24*(T82-L$6)^2</f>
        <v>0.11126014776536158</v>
      </c>
      <c r="AC82" s="31">
        <f>Settings!$B$25*(U82-M$6)^2</f>
        <v>2.1701238903389481</v>
      </c>
      <c r="AD82" s="19">
        <f t="shared" si="4"/>
        <v>1.8575835730719739</v>
      </c>
      <c r="AE82" s="15">
        <f t="shared" si="5"/>
        <v>0.73526525545425581</v>
      </c>
      <c r="AF82" s="33">
        <f t="shared" si="6"/>
        <v>0.7631447928025572</v>
      </c>
      <c r="AG82" s="47">
        <f t="shared" si="7"/>
        <v>3.2915601436453281E-3</v>
      </c>
      <c r="AH82" s="48"/>
      <c r="AI82" s="48"/>
      <c r="AJ82" s="48"/>
      <c r="AK82" s="48"/>
      <c r="AL82" s="48"/>
      <c r="AM82" s="48"/>
    </row>
    <row r="83" spans="1:39" ht="20" customHeight="1" x14ac:dyDescent="0.45">
      <c r="A83" s="26">
        <v>73</v>
      </c>
      <c r="B83" s="16" t="s">
        <v>606</v>
      </c>
      <c r="C83" s="16" t="s">
        <v>214</v>
      </c>
      <c r="D83" s="46">
        <v>28</v>
      </c>
      <c r="E83" s="46">
        <v>1</v>
      </c>
      <c r="F83" s="13">
        <v>0.5454404420320822</v>
      </c>
      <c r="G83" s="13">
        <v>0.1216569728662093</v>
      </c>
      <c r="H83" s="13">
        <v>2.0149779212170399E-2</v>
      </c>
      <c r="I83" s="13">
        <v>9.1138671971327679E-3</v>
      </c>
      <c r="J83" s="13">
        <v>0.30363893869240549</v>
      </c>
      <c r="K83" s="13">
        <v>14.16319018404908</v>
      </c>
      <c r="L83" s="13">
        <v>0.7180720549224352</v>
      </c>
      <c r="M83" s="13">
        <v>-1.51150240453261</v>
      </c>
      <c r="N83" s="19">
        <f>(F83-Settings!$D$18)/Settings!$E$18</f>
        <v>1.2637872723076338</v>
      </c>
      <c r="O83" s="19">
        <f>(G83-Settings!$D$19)/Settings!$E$19</f>
        <v>0.53450944170886405</v>
      </c>
      <c r="P83" s="19">
        <f>(H83-Settings!$D$20)/Settings!$E$20</f>
        <v>-0.298781736347011</v>
      </c>
      <c r="Q83" s="19">
        <f>(I83-Settings!$D$21)/Settings!$E$21</f>
        <v>0.1482851522612301</v>
      </c>
      <c r="R83" s="19">
        <f>(J83-Settings!$D$22)/Settings!$E$22</f>
        <v>0.15007255315850199</v>
      </c>
      <c r="S83" s="19">
        <f>(K83-Settings!$D$23)/Settings!$E$23</f>
        <v>-0.37923392161548364</v>
      </c>
      <c r="T83" s="19">
        <f>(L83-Settings!$D$24)/Settings!$E$24</f>
        <v>-0.4080346828957449</v>
      </c>
      <c r="U83" s="19">
        <f>(M83-Settings!$D$25)/Settings!$E$25</f>
        <v>-0.98340379796407984</v>
      </c>
      <c r="V83" s="31">
        <f>Settings!$B$18*(N83-F$6)^2</f>
        <v>0.18084077845307614</v>
      </c>
      <c r="W83" s="31">
        <f>Settings!$B$19*(O83-G$6)^2</f>
        <v>0.26817543598432436</v>
      </c>
      <c r="X83" s="31">
        <f>Settings!$B$20*(P83-H$6)^2</f>
        <v>1.0730279923537285</v>
      </c>
      <c r="Y83" s="31">
        <f>Settings!$B$21*(Q83-I$6)^2</f>
        <v>2.5249795850092547E-3</v>
      </c>
      <c r="Z83" s="31">
        <f>Settings!$B$22*(R83-J$6)^2</f>
        <v>3.4802695237349331E-4</v>
      </c>
      <c r="AA83" s="31">
        <f>Settings!$B$23*(S83-K$6)^2</f>
        <v>0.35924574725198127</v>
      </c>
      <c r="AB83" s="31">
        <f>Settings!$B$24*(T83-L$6)^2</f>
        <v>1.2208302834351001</v>
      </c>
      <c r="AC83" s="31">
        <f>Settings!$B$25*(U83-M$6)^2</f>
        <v>0.36081929142291436</v>
      </c>
      <c r="AD83" s="19">
        <f t="shared" si="4"/>
        <v>1.8616692873436214</v>
      </c>
      <c r="AE83" s="15">
        <f t="shared" si="5"/>
        <v>0.73688245523530682</v>
      </c>
      <c r="AF83" s="33">
        <f t="shared" si="6"/>
        <v>0.76223690213979489</v>
      </c>
      <c r="AG83" s="47">
        <f t="shared" si="7"/>
        <v>3.2876442724390767E-3</v>
      </c>
      <c r="AH83" s="48"/>
      <c r="AI83" s="48"/>
      <c r="AJ83" s="48"/>
      <c r="AK83" s="48"/>
      <c r="AL83" s="48"/>
      <c r="AM83" s="48"/>
    </row>
    <row r="84" spans="1:39" ht="20" customHeight="1" x14ac:dyDescent="0.45">
      <c r="A84" s="26">
        <v>74</v>
      </c>
      <c r="B84" s="16" t="s">
        <v>485</v>
      </c>
      <c r="C84" s="16" t="s">
        <v>229</v>
      </c>
      <c r="D84" s="46">
        <v>28</v>
      </c>
      <c r="E84" s="46">
        <v>1</v>
      </c>
      <c r="F84" s="13">
        <v>-8.25215386007256E-2</v>
      </c>
      <c r="G84" s="13">
        <v>-0.30927722088196569</v>
      </c>
      <c r="H84" s="13">
        <v>4.6243050117907261E-2</v>
      </c>
      <c r="I84" s="13">
        <v>-3.0833912898986932E-2</v>
      </c>
      <c r="J84" s="13">
        <v>0.53112427750041447</v>
      </c>
      <c r="K84" s="13">
        <v>14.8643640350877</v>
      </c>
      <c r="L84" s="13">
        <v>0.42502952106557518</v>
      </c>
      <c r="M84" s="13">
        <v>-1.6056264863128431</v>
      </c>
      <c r="N84" s="19">
        <f>(F84-Settings!$D$18)/Settings!$E$18</f>
        <v>-0.98364951026475456</v>
      </c>
      <c r="O84" s="19">
        <f>(G84-Settings!$D$19)/Settings!$E$19</f>
        <v>-1.2608173347198051</v>
      </c>
      <c r="P84" s="19">
        <f>(H84-Settings!$D$20)/Settings!$E$20</f>
        <v>-6.2371684252785949E-2</v>
      </c>
      <c r="Q84" s="19">
        <f>(I84-Settings!$D$21)/Settings!$E$21</f>
        <v>-0.34296498532581776</v>
      </c>
      <c r="R84" s="19">
        <f>(J84-Settings!$D$22)/Settings!$E$22</f>
        <v>0.76213256736425117</v>
      </c>
      <c r="S84" s="19">
        <f>(K84-Settings!$D$23)/Settings!$E$23</f>
        <v>-0.13573237101072161</v>
      </c>
      <c r="T84" s="19">
        <f>(L84-Settings!$D$24)/Settings!$E$24</f>
        <v>-0.61063101550361654</v>
      </c>
      <c r="U84" s="19">
        <f>(M84-Settings!$D$25)/Settings!$E$25</f>
        <v>-1.0468821270238866</v>
      </c>
      <c r="V84" s="31">
        <f>Settings!$B$18*(N84-F$6)^2</f>
        <v>0.33620341216275779</v>
      </c>
      <c r="W84" s="31">
        <f>Settings!$B$19*(O84-G$6)^2</f>
        <v>8.1246641034409206E-2</v>
      </c>
      <c r="X84" s="31">
        <f>Settings!$B$20*(P84-H$6)^2</f>
        <v>0.86516945164627779</v>
      </c>
      <c r="Y84" s="31">
        <f>Settings!$B$21*(Q84-I$6)^2</f>
        <v>2.8711460727229632E-2</v>
      </c>
      <c r="Z84" s="31">
        <f>Settings!$B$22*(R84-J$6)^2</f>
        <v>8.5484333581341942E-2</v>
      </c>
      <c r="AA84" s="31">
        <f>Settings!$B$23*(S84-K$6)^2</f>
        <v>0.12664315503010515</v>
      </c>
      <c r="AB84" s="31">
        <f>Settings!$B$24*(T84-L$6)^2</f>
        <v>1.7095777507337082</v>
      </c>
      <c r="AC84" s="31">
        <f>Settings!$B$25*(U84-M$6)^2</f>
        <v>0.28858816532051601</v>
      </c>
      <c r="AD84" s="19">
        <f t="shared" si="4"/>
        <v>1.8765991501213959</v>
      </c>
      <c r="AE84" s="15">
        <f t="shared" si="5"/>
        <v>0.74279196559507144</v>
      </c>
      <c r="AF84" s="33">
        <f t="shared" si="6"/>
        <v>0.75891161922434325</v>
      </c>
      <c r="AG84" s="47">
        <f t="shared" si="7"/>
        <v>3.2733018189308113E-3</v>
      </c>
      <c r="AH84" s="18">
        <v>9.3952851700361495E-2</v>
      </c>
      <c r="AI84" s="46">
        <v>1</v>
      </c>
      <c r="AJ84" s="18">
        <v>-0.51219527224507022</v>
      </c>
      <c r="AK84" s="46">
        <v>1</v>
      </c>
      <c r="AL84" s="18">
        <v>-1.4934758246872619</v>
      </c>
      <c r="AM84" s="46">
        <v>1</v>
      </c>
    </row>
    <row r="85" spans="1:39" ht="20" customHeight="1" x14ac:dyDescent="0.45">
      <c r="A85" s="26">
        <v>75</v>
      </c>
      <c r="B85" s="16" t="s">
        <v>226</v>
      </c>
      <c r="C85" s="16" t="s">
        <v>224</v>
      </c>
      <c r="D85" s="46">
        <v>28</v>
      </c>
      <c r="E85" s="46">
        <v>0</v>
      </c>
      <c r="F85" s="13">
        <v>0.3147041633307619</v>
      </c>
      <c r="G85" s="13">
        <v>5.8630855601857178E-2</v>
      </c>
      <c r="H85" s="13">
        <v>0.2473284421274714</v>
      </c>
      <c r="I85" s="13">
        <v>-2.3507909905793518E-3</v>
      </c>
      <c r="J85" s="13">
        <v>0.3769857479493301</v>
      </c>
      <c r="K85" s="13">
        <v>18.050462962962921</v>
      </c>
      <c r="L85" s="13">
        <v>2.5940913245315551</v>
      </c>
      <c r="M85" s="13">
        <v>6.4875919082768796E-2</v>
      </c>
      <c r="N85" s="19">
        <f>(F85-Settings!$D$18)/Settings!$E$18</f>
        <v>0.43799651455402838</v>
      </c>
      <c r="O85" s="19">
        <f>(G85-Settings!$D$19)/Settings!$E$19</f>
        <v>0.27193460411046377</v>
      </c>
      <c r="P85" s="19">
        <f>(H85-Settings!$D$20)/Settings!$E$20</f>
        <v>1.7595006357067977</v>
      </c>
      <c r="Q85" s="19">
        <f>(I85-Settings!$D$21)/Settings!$E$21</f>
        <v>7.3007246271870408E-3</v>
      </c>
      <c r="R85" s="19">
        <f>(J85-Settings!$D$22)/Settings!$E$22</f>
        <v>0.34741559667493599</v>
      </c>
      <c r="S85" s="19">
        <f>(K85-Settings!$D$23)/Settings!$E$23</f>
        <v>0.97072650244640479</v>
      </c>
      <c r="T85" s="19">
        <f>(L85-Settings!$D$24)/Settings!$E$24</f>
        <v>0.88896005340474571</v>
      </c>
      <c r="U85" s="19">
        <f>(M85-Settings!$D$25)/Settings!$E$25</f>
        <v>7.972330040000862E-2</v>
      </c>
      <c r="V85" s="31">
        <f>Settings!$B$18*(N85-F$6)^2</f>
        <v>3.1302824690986526E-3</v>
      </c>
      <c r="W85" s="31">
        <f>Settings!$B$19*(O85-G$6)^2</f>
        <v>0.16034381760606875</v>
      </c>
      <c r="X85" s="31">
        <f>Settings!$B$20*(P85-H$6)^2</f>
        <v>1.3312263899848973E-2</v>
      </c>
      <c r="Y85" s="31">
        <f>Settings!$B$21*(Q85-I$6)^2</f>
        <v>1.6386503323211836E-4</v>
      </c>
      <c r="Z85" s="31">
        <f>Settings!$B$22*(R85-J$6)^2</f>
        <v>1.1429742226261991E-2</v>
      </c>
      <c r="AA85" s="31">
        <f>Settings!$B$23*(S85-K$6)^2</f>
        <v>0.56338429365188991</v>
      </c>
      <c r="AB85" s="31">
        <f>Settings!$B$24*(T85-L$6)^2</f>
        <v>3.6895820056426241E-2</v>
      </c>
      <c r="AC85" s="31">
        <f>Settings!$B$25*(U85-M$6)^2</f>
        <v>2.768261896590086</v>
      </c>
      <c r="AD85" s="19">
        <f t="shared" si="4"/>
        <v>1.8859803767624181</v>
      </c>
      <c r="AE85" s="15">
        <f t="shared" si="5"/>
        <v>0.74650522517739992</v>
      </c>
      <c r="AF85" s="33">
        <f t="shared" si="6"/>
        <v>0.75681607129988171</v>
      </c>
      <c r="AG85" s="47">
        <f t="shared" si="7"/>
        <v>3.2642634004127142E-3</v>
      </c>
      <c r="AH85" s="18">
        <v>-1.220104863335747</v>
      </c>
      <c r="AI85" s="46">
        <v>0</v>
      </c>
      <c r="AJ85" s="18">
        <v>-1.118092069310612</v>
      </c>
      <c r="AK85" s="46">
        <v>0</v>
      </c>
      <c r="AL85" s="18">
        <v>0.60967124061622646</v>
      </c>
      <c r="AM85" s="46">
        <v>1</v>
      </c>
    </row>
    <row r="86" spans="1:39" ht="20" customHeight="1" x14ac:dyDescent="0.45">
      <c r="A86" s="26">
        <v>76</v>
      </c>
      <c r="B86" s="16" t="s">
        <v>478</v>
      </c>
      <c r="C86" s="16" t="s">
        <v>246</v>
      </c>
      <c r="D86" s="46">
        <v>28</v>
      </c>
      <c r="E86" s="46">
        <v>1</v>
      </c>
      <c r="F86" s="13">
        <v>0.27435099270833102</v>
      </c>
      <c r="G86" s="13">
        <v>0.1980352038008574</v>
      </c>
      <c r="H86" s="13">
        <v>5.2718219450566629E-2</v>
      </c>
      <c r="I86" s="13">
        <v>1.243361606925872E-2</v>
      </c>
      <c r="J86" s="13">
        <v>0.46246196797098638</v>
      </c>
      <c r="K86" s="13">
        <v>13.49459770114942</v>
      </c>
      <c r="L86" s="13">
        <v>1.2147103614620149</v>
      </c>
      <c r="M86" s="13">
        <v>-0.90753430372849209</v>
      </c>
      <c r="N86" s="19">
        <f>(F86-Settings!$D$18)/Settings!$E$18</f>
        <v>0.29357503244633831</v>
      </c>
      <c r="O86" s="19">
        <f>(G86-Settings!$D$19)/Settings!$E$19</f>
        <v>0.85271088666859562</v>
      </c>
      <c r="P86" s="19">
        <f>(H86-Settings!$D$20)/Settings!$E$20</f>
        <v>-3.7054049356778146E-3</v>
      </c>
      <c r="Q86" s="19">
        <f>(I86-Settings!$D$21)/Settings!$E$21</f>
        <v>0.18910912511434816</v>
      </c>
      <c r="R86" s="19">
        <f>(J86-Settings!$D$22)/Settings!$E$22</f>
        <v>0.57739339091363351</v>
      </c>
      <c r="S86" s="19">
        <f>(K86-Settings!$D$23)/Settings!$E$23</f>
        <v>-0.61142071247712415</v>
      </c>
      <c r="T86" s="19">
        <f>(L86-Settings!$D$24)/Settings!$E$24</f>
        <v>-6.4681456272846508E-2</v>
      </c>
      <c r="U86" s="19">
        <f>(M86-Settings!$D$25)/Settings!$E$25</f>
        <v>-0.57608098408541342</v>
      </c>
      <c r="V86" s="31">
        <f>Settings!$B$18*(N86-F$6)^2</f>
        <v>7.4620623445612966E-5</v>
      </c>
      <c r="W86" s="31">
        <f>Settings!$B$19*(O86-G$6)^2</f>
        <v>0.43581200575006185</v>
      </c>
      <c r="X86" s="31">
        <f>Settings!$B$20*(P86-H$6)^2</f>
        <v>0.81705057182972485</v>
      </c>
      <c r="Y86" s="31">
        <f>Settings!$B$21*(Q86-I$6)^2</f>
        <v>4.6931008977152263E-3</v>
      </c>
      <c r="Z86" s="31">
        <f>Settings!$B$22*(R86-J$6)^2</f>
        <v>4.3998908885663067E-2</v>
      </c>
      <c r="AA86" s="31">
        <f>Settings!$B$23*(S86-K$6)^2</f>
        <v>0.69148856988534935</v>
      </c>
      <c r="AB86" s="31">
        <f>Settings!$B$24*(T86-L$6)^2</f>
        <v>0.57997159691813305</v>
      </c>
      <c r="AC86" s="31">
        <f>Settings!$B$25*(U86-M$6)^2</f>
        <v>1.0160744201749361</v>
      </c>
      <c r="AD86" s="19">
        <f t="shared" si="4"/>
        <v>1.8945088532295196</v>
      </c>
      <c r="AE86" s="15">
        <f t="shared" si="5"/>
        <v>0.74988095078087769</v>
      </c>
      <c r="AF86" s="33">
        <f t="shared" si="6"/>
        <v>0.75490699694728836</v>
      </c>
      <c r="AG86" s="47">
        <f t="shared" si="7"/>
        <v>3.2560292709139394E-3</v>
      </c>
      <c r="AH86" s="18">
        <v>2.06776047838888E-2</v>
      </c>
      <c r="AI86" s="46">
        <v>1</v>
      </c>
      <c r="AJ86" s="48"/>
      <c r="AK86" s="48"/>
      <c r="AL86" s="48"/>
      <c r="AM86" s="48"/>
    </row>
    <row r="87" spans="1:39" ht="20" customHeight="1" x14ac:dyDescent="0.45">
      <c r="A87" s="26">
        <v>77</v>
      </c>
      <c r="B87" s="16" t="s">
        <v>264</v>
      </c>
      <c r="C87" s="16" t="s">
        <v>236</v>
      </c>
      <c r="D87" s="46">
        <v>28</v>
      </c>
      <c r="E87" s="46">
        <v>0</v>
      </c>
      <c r="F87" s="13">
        <v>0.32639000708165611</v>
      </c>
      <c r="G87" s="13">
        <v>-0.2775111285170368</v>
      </c>
      <c r="H87" s="13">
        <v>0.30933906754354712</v>
      </c>
      <c r="I87" s="13">
        <v>-1.112205375159083E-4</v>
      </c>
      <c r="J87" s="13">
        <v>-8.6648576320244211E-2</v>
      </c>
      <c r="K87" s="13">
        <v>18.671646341463411</v>
      </c>
      <c r="L87" s="13">
        <v>1.0341344279805511</v>
      </c>
      <c r="M87" s="13">
        <v>-0.51398020306535919</v>
      </c>
      <c r="N87" s="19">
        <f>(F87-Settings!$D$18)/Settings!$E$18</f>
        <v>0.47981942086228524</v>
      </c>
      <c r="O87" s="19">
        <f>(G87-Settings!$D$19)/Settings!$E$19</f>
        <v>-1.1284757451392158</v>
      </c>
      <c r="P87" s="19">
        <f>(H87-Settings!$D$20)/Settings!$E$20</f>
        <v>2.3213288265062428</v>
      </c>
      <c r="Q87" s="19">
        <f>(I87-Settings!$D$21)/Settings!$E$21</f>
        <v>3.4841411257485418E-2</v>
      </c>
      <c r="R87" s="19">
        <f>(J87-Settings!$D$22)/Settings!$E$22</f>
        <v>-0.9000143809475073</v>
      </c>
      <c r="S87" s="19">
        <f>(K87-Settings!$D$23)/Settings!$E$23</f>
        <v>1.1864492018179233</v>
      </c>
      <c r="T87" s="19">
        <f>(L87-Settings!$D$24)/Settings!$E$24</f>
        <v>-0.18952347630007382</v>
      </c>
      <c r="U87" s="19">
        <f>(M87-Settings!$D$25)/Settings!$E$25</f>
        <v>-0.31066371538832749</v>
      </c>
      <c r="V87" s="31">
        <f>Settings!$B$18*(N87-F$6)^2</f>
        <v>5.57302556232775E-3</v>
      </c>
      <c r="W87" s="31">
        <f>Settings!$B$19*(O87-G$6)^2</f>
        <v>5.1009580358966536E-2</v>
      </c>
      <c r="X87" s="31">
        <f>Settings!$B$20*(P87-H$6)^2</f>
        <v>1.8462945243541227E-2</v>
      </c>
      <c r="Y87" s="31">
        <f>Settings!$B$21*(Q87-I$6)^2</f>
        <v>2.3465143289296411E-7</v>
      </c>
      <c r="Z87" s="31">
        <f>Settings!$B$22*(R87-J$6)^2</f>
        <v>0.20336282274508202</v>
      </c>
      <c r="AA87" s="31">
        <f>Settings!$B$23*(S87-K$6)^2</f>
        <v>0.93375887546563019</v>
      </c>
      <c r="AB87" s="31">
        <f>Settings!$B$24*(T87-L$6)^2</f>
        <v>0.78570617055429659</v>
      </c>
      <c r="AC87" s="31">
        <f>Settings!$B$25*(U87-M$6)^2</f>
        <v>1.6216047041282629</v>
      </c>
      <c r="AD87" s="19">
        <f t="shared" si="4"/>
        <v>1.9024926698175582</v>
      </c>
      <c r="AE87" s="15">
        <f t="shared" si="5"/>
        <v>0.75304109012976106</v>
      </c>
      <c r="AF87" s="33">
        <f t="shared" si="6"/>
        <v>0.75311642993151451</v>
      </c>
      <c r="AG87" s="47">
        <f t="shared" si="7"/>
        <v>3.2483062816735845E-3</v>
      </c>
      <c r="AH87" s="18">
        <v>-8.2805697222176455E-2</v>
      </c>
      <c r="AI87" s="46">
        <v>0</v>
      </c>
      <c r="AJ87" s="18">
        <v>5.6177373492665827E-2</v>
      </c>
      <c r="AK87" s="46">
        <v>1</v>
      </c>
      <c r="AL87" s="18">
        <v>-0.29674904685726278</v>
      </c>
      <c r="AM87" s="46">
        <v>1</v>
      </c>
    </row>
    <row r="88" spans="1:39" ht="20" customHeight="1" x14ac:dyDescent="0.45">
      <c r="A88" s="26">
        <v>78</v>
      </c>
      <c r="B88" s="16" t="s">
        <v>551</v>
      </c>
      <c r="C88" s="16" t="s">
        <v>234</v>
      </c>
      <c r="D88" s="46">
        <v>28</v>
      </c>
      <c r="E88" s="46">
        <v>1</v>
      </c>
      <c r="F88" s="13">
        <v>0.2305563308024498</v>
      </c>
      <c r="G88" s="13">
        <v>0.1905328085293147</v>
      </c>
      <c r="H88" s="13">
        <v>3.6778342445280759E-4</v>
      </c>
      <c r="I88" s="13">
        <v>2.148605062643091E-2</v>
      </c>
      <c r="J88" s="13">
        <v>0.55705702661735179</v>
      </c>
      <c r="K88" s="13">
        <v>13.634022038567499</v>
      </c>
      <c r="L88" s="13">
        <v>2.2308026458104</v>
      </c>
      <c r="M88" s="13">
        <v>-0.75856544786193791</v>
      </c>
      <c r="N88" s="19">
        <f>(F88-Settings!$D$18)/Settings!$E$18</f>
        <v>0.13683666757206048</v>
      </c>
      <c r="O88" s="19">
        <f>(G88-Settings!$D$19)/Settings!$E$19</f>
        <v>0.82145495173987781</v>
      </c>
      <c r="P88" s="19">
        <f>(H88-Settings!$D$20)/Settings!$E$20</f>
        <v>-0.4780104222253248</v>
      </c>
      <c r="Q88" s="19">
        <f>(I88-Settings!$D$21)/Settings!$E$21</f>
        <v>0.30042969689602123</v>
      </c>
      <c r="R88" s="19">
        <f>(J88-Settings!$D$22)/Settings!$E$22</f>
        <v>0.83190584979236681</v>
      </c>
      <c r="S88" s="19">
        <f>(K88-Settings!$D$23)/Settings!$E$23</f>
        <v>-0.56300184702306444</v>
      </c>
      <c r="T88" s="19">
        <f>(L88-Settings!$D$24)/Settings!$E$24</f>
        <v>0.63779871850168146</v>
      </c>
      <c r="U88" s="19">
        <f>(M88-Settings!$D$25)/Settings!$E$25</f>
        <v>-0.47561472854797093</v>
      </c>
      <c r="V88" s="31">
        <f>Settings!$B$18*(N88-F$6)^2</f>
        <v>6.1990192399899169E-3</v>
      </c>
      <c r="W88" s="31">
        <f>Settings!$B$19*(O88-G$6)^2</f>
        <v>0.41755183860666478</v>
      </c>
      <c r="X88" s="31">
        <f>Settings!$B$20*(P88-H$6)^2</f>
        <v>1.245509902564194</v>
      </c>
      <c r="Y88" s="31">
        <f>Settings!$B$21*(Q88-I$6)^2</f>
        <v>1.3992591243914779E-2</v>
      </c>
      <c r="Z88" s="31">
        <f>Settings!$B$22*(R88-J$6)^2</f>
        <v>0.10470440509167683</v>
      </c>
      <c r="AA88" s="31">
        <f>Settings!$B$23*(S88-K$6)^2</f>
        <v>0.61330677458364014</v>
      </c>
      <c r="AB88" s="31">
        <f>Settings!$B$24*(T88-L$6)^2</f>
        <v>3.490267749889993E-3</v>
      </c>
      <c r="AC88" s="31">
        <f>Settings!$B$25*(U88-M$6)^2</f>
        <v>1.2287088984048902</v>
      </c>
      <c r="AD88" s="19">
        <f t="shared" si="4"/>
        <v>1.9061646564462527</v>
      </c>
      <c r="AE88" s="15">
        <f t="shared" si="5"/>
        <v>0.75449452900901792</v>
      </c>
      <c r="AF88" s="33">
        <f t="shared" si="6"/>
        <v>0.75229180092535475</v>
      </c>
      <c r="AG88" s="47">
        <f t="shared" si="7"/>
        <v>3.2447495307194158E-3</v>
      </c>
      <c r="AH88" s="18">
        <v>-0.71882887529909478</v>
      </c>
      <c r="AI88" s="46">
        <v>1</v>
      </c>
      <c r="AJ88" s="18">
        <v>-0.79918415901774698</v>
      </c>
      <c r="AK88" s="46">
        <v>1</v>
      </c>
      <c r="AL88" s="18">
        <v>-1.3125067119309171</v>
      </c>
      <c r="AM88" s="46">
        <v>1</v>
      </c>
    </row>
    <row r="89" spans="1:39" ht="20" customHeight="1" x14ac:dyDescent="0.45">
      <c r="A89" s="26">
        <v>79</v>
      </c>
      <c r="B89" s="16" t="s">
        <v>372</v>
      </c>
      <c r="C89" s="16" t="s">
        <v>236</v>
      </c>
      <c r="D89" s="46">
        <v>28</v>
      </c>
      <c r="E89" s="46">
        <v>0</v>
      </c>
      <c r="F89" s="13">
        <v>0.1529960263597836</v>
      </c>
      <c r="G89" s="13">
        <v>-0.19908630645880879</v>
      </c>
      <c r="H89" s="13">
        <v>-2.3624042002678539E-2</v>
      </c>
      <c r="I89" s="13">
        <v>-2.4543426835483921E-4</v>
      </c>
      <c r="J89" s="13">
        <v>0.62404819091037411</v>
      </c>
      <c r="K89" s="13">
        <v>17.579166666666669</v>
      </c>
      <c r="L89" s="13">
        <v>1.0508119889364049</v>
      </c>
      <c r="M89" s="13">
        <v>-1.0386545285883051</v>
      </c>
      <c r="N89" s="19">
        <f>(F89-Settings!$D$18)/Settings!$E$18</f>
        <v>-0.14074682704699856</v>
      </c>
      <c r="O89" s="19">
        <f>(G89-Settings!$D$19)/Settings!$E$19</f>
        <v>-0.80174794070773747</v>
      </c>
      <c r="P89" s="19">
        <f>(H89-Settings!$D$20)/Settings!$E$20</f>
        <v>-0.69538097417926359</v>
      </c>
      <c r="Q89" s="19">
        <f>(I89-Settings!$D$21)/Settings!$E$21</f>
        <v>3.3190943732580323E-2</v>
      </c>
      <c r="R89" s="19">
        <f>(J89-Settings!$D$22)/Settings!$E$22</f>
        <v>1.0121487313059396</v>
      </c>
      <c r="S89" s="19">
        <f>(K89-Settings!$D$23)/Settings!$E$23</f>
        <v>0.80705613913718055</v>
      </c>
      <c r="T89" s="19">
        <f>(L89-Settings!$D$24)/Settings!$E$24</f>
        <v>-0.17799336617568268</v>
      </c>
      <c r="U89" s="19">
        <f>(M89-Settings!$D$25)/Settings!$E$25</f>
        <v>-0.66450992408273313</v>
      </c>
      <c r="V89" s="31">
        <f>Settings!$B$18*(N89-F$6)^2</f>
        <v>4.1157439254981373E-2</v>
      </c>
      <c r="W89" s="31">
        <f>Settings!$B$19*(O89-G$6)^2</f>
        <v>6.3578121410709154E-3</v>
      </c>
      <c r="X89" s="31">
        <f>Settings!$B$20*(P89-H$6)^2</f>
        <v>1.4719396886830305</v>
      </c>
      <c r="Y89" s="31">
        <f>Settings!$B$21*(Q89-I$6)^2</f>
        <v>1.4945547808953917E-6</v>
      </c>
      <c r="Z89" s="31">
        <f>Settings!$B$22*(R89-J$6)^2</f>
        <v>0.16336767073354228</v>
      </c>
      <c r="AA89" s="31">
        <f>Settings!$B$23*(S89-K$6)^2</f>
        <v>0.34447383541355975</v>
      </c>
      <c r="AB89" s="31">
        <f>Settings!$B$24*(T89-L$6)^2</f>
        <v>0.76539851901861955</v>
      </c>
      <c r="AC89" s="31">
        <f>Settings!$B$25*(U89-M$6)^2</f>
        <v>0.84562044043976414</v>
      </c>
      <c r="AD89" s="19">
        <f t="shared" si="4"/>
        <v>1.9074372598435183</v>
      </c>
      <c r="AE89" s="15">
        <f t="shared" si="5"/>
        <v>0.75499824850543618</v>
      </c>
      <c r="AF89" s="33">
        <f t="shared" si="6"/>
        <v>0.75200584863443121</v>
      </c>
      <c r="AG89" s="47">
        <f t="shared" si="7"/>
        <v>3.2435161747787541E-3</v>
      </c>
      <c r="AH89" s="18">
        <v>0.6529250472934911</v>
      </c>
      <c r="AI89" s="46">
        <v>0</v>
      </c>
      <c r="AJ89" s="18">
        <v>0.76551856824832765</v>
      </c>
      <c r="AK89" s="46">
        <v>1</v>
      </c>
      <c r="AL89" s="18">
        <v>-0.61752802300758791</v>
      </c>
      <c r="AM89" s="46">
        <v>1</v>
      </c>
    </row>
    <row r="90" spans="1:39" ht="20" customHeight="1" x14ac:dyDescent="0.45">
      <c r="A90" s="26">
        <v>80</v>
      </c>
      <c r="B90" s="16" t="s">
        <v>287</v>
      </c>
      <c r="C90" s="16" t="s">
        <v>232</v>
      </c>
      <c r="D90" s="46">
        <v>28</v>
      </c>
      <c r="E90" s="46">
        <v>0</v>
      </c>
      <c r="F90" s="13">
        <v>8.7149199930327284E-2</v>
      </c>
      <c r="G90" s="13">
        <v>0.18604091496504921</v>
      </c>
      <c r="H90" s="13">
        <v>0.1880774042105034</v>
      </c>
      <c r="I90" s="13">
        <v>-3.8819747508980103E-2</v>
      </c>
      <c r="J90" s="13">
        <v>0.49991273338514008</v>
      </c>
      <c r="K90" s="13">
        <v>19.20307855626325</v>
      </c>
      <c r="L90" s="13">
        <v>2.236845552260009</v>
      </c>
      <c r="M90" s="13">
        <v>-0.53443465614774266</v>
      </c>
      <c r="N90" s="19">
        <f>(F90-Settings!$D$18)/Settings!$E$18</f>
        <v>-0.37640851405564718</v>
      </c>
      <c r="O90" s="19">
        <f>(G90-Settings!$D$19)/Settings!$E$19</f>
        <v>0.80274115063105689</v>
      </c>
      <c r="P90" s="19">
        <f>(H90-Settings!$D$20)/Settings!$E$20</f>
        <v>1.2226748383128951</v>
      </c>
      <c r="Q90" s="19">
        <f>(I90-Settings!$D$21)/Settings!$E$21</f>
        <v>-0.44116924952941527</v>
      </c>
      <c r="R90" s="19">
        <f>(J90-Settings!$D$22)/Settings!$E$22</f>
        <v>0.67815643846435369</v>
      </c>
      <c r="S90" s="19">
        <f>(K90-Settings!$D$23)/Settings!$E$23</f>
        <v>1.3710033864233562</v>
      </c>
      <c r="T90" s="19">
        <f>(L90-Settings!$D$24)/Settings!$E$24</f>
        <v>0.64197651026750491</v>
      </c>
      <c r="U90" s="19">
        <f>(M90-Settings!$D$25)/Settings!$E$25</f>
        <v>-0.32445842635861383</v>
      </c>
      <c r="V90" s="31">
        <f>Settings!$B$18*(N90-F$6)^2</f>
        <v>9.5026739140452121E-2</v>
      </c>
      <c r="W90" s="31">
        <f>Settings!$B$19*(O90-G$6)^2</f>
        <v>0.40680599133678053</v>
      </c>
      <c r="X90" s="31">
        <f>Settings!$B$20*(P90-H$6)^2</f>
        <v>0.1263479580548055</v>
      </c>
      <c r="Y90" s="31">
        <f>Settings!$B$21*(Q90-I$6)^2</f>
        <v>4.5523704667545892E-2</v>
      </c>
      <c r="Z90" s="31">
        <f>Settings!$B$22*(R90-J$6)^2</f>
        <v>6.4934136282733049E-2</v>
      </c>
      <c r="AA90" s="31">
        <f>Settings!$B$23*(S90-K$6)^2</f>
        <v>1.3244929678671968</v>
      </c>
      <c r="AB90" s="31">
        <f>Settings!$B$24*(T90-L$6)^2</f>
        <v>3.0140864521305522E-3</v>
      </c>
      <c r="AC90" s="31">
        <f>Settings!$B$25*(U90-M$6)^2</f>
        <v>1.5866620092444053</v>
      </c>
      <c r="AD90" s="19">
        <f t="shared" si="4"/>
        <v>1.911231956892216</v>
      </c>
      <c r="AE90" s="15">
        <f t="shared" si="5"/>
        <v>0.75650025839362012</v>
      </c>
      <c r="AF90" s="33">
        <f t="shared" si="6"/>
        <v>0.75115269888597025</v>
      </c>
      <c r="AG90" s="47">
        <f t="shared" si="7"/>
        <v>3.2398364095034353E-3</v>
      </c>
      <c r="AH90" s="18">
        <v>-4.4545825700105013E-2</v>
      </c>
      <c r="AI90" s="46">
        <v>0</v>
      </c>
      <c r="AJ90" s="18">
        <v>-0.28057055641071171</v>
      </c>
      <c r="AK90" s="46">
        <v>0</v>
      </c>
      <c r="AL90" s="18">
        <v>-0.28685099790861163</v>
      </c>
      <c r="AM90" s="46">
        <v>0</v>
      </c>
    </row>
    <row r="91" spans="1:39" ht="20" customHeight="1" x14ac:dyDescent="0.45">
      <c r="A91" s="26">
        <v>81</v>
      </c>
      <c r="B91" s="16" t="s">
        <v>336</v>
      </c>
      <c r="C91" s="16" t="s">
        <v>214</v>
      </c>
      <c r="D91" s="46">
        <v>28</v>
      </c>
      <c r="E91" s="46">
        <v>1</v>
      </c>
      <c r="F91" s="13">
        <v>0.36217230590209898</v>
      </c>
      <c r="G91" s="13">
        <v>0.13917867408070289</v>
      </c>
      <c r="H91" s="13">
        <v>4.7886093011362048E-2</v>
      </c>
      <c r="I91" s="13">
        <v>-7.9363973116108946E-2</v>
      </c>
      <c r="J91" s="13">
        <v>0.37139895388972721</v>
      </c>
      <c r="K91" s="13">
        <v>17.321633554083839</v>
      </c>
      <c r="L91" s="13">
        <v>2.6197230923482722</v>
      </c>
      <c r="M91" s="13">
        <v>-0.30293850229543468</v>
      </c>
      <c r="N91" s="19">
        <f>(F91-Settings!$D$18)/Settings!$E$18</f>
        <v>0.60788203773125693</v>
      </c>
      <c r="O91" s="19">
        <f>(G91-Settings!$D$19)/Settings!$E$19</f>
        <v>0.60750708221948391</v>
      </c>
      <c r="P91" s="19">
        <f>(H91-Settings!$D$20)/Settings!$E$20</f>
        <v>-4.7485399683943642E-2</v>
      </c>
      <c r="Q91" s="19">
        <f>(I91-Settings!$D$21)/Settings!$E$21</f>
        <v>-0.93975406099925241</v>
      </c>
      <c r="R91" s="19">
        <f>(J91-Settings!$D$22)/Settings!$E$22</f>
        <v>0.33238406422804256</v>
      </c>
      <c r="S91" s="19">
        <f>(K91-Settings!$D$23)/Settings!$E$23</f>
        <v>0.71762081271549405</v>
      </c>
      <c r="T91" s="19">
        <f>(L91-Settings!$D$24)/Settings!$E$24</f>
        <v>0.90668069651268413</v>
      </c>
      <c r="U91" s="19">
        <f>(M91-Settings!$D$25)/Settings!$E$25</f>
        <v>-0.16833484191157269</v>
      </c>
      <c r="V91" s="31">
        <f>Settings!$B$18*(N91-F$6)^2</f>
        <v>1.7403953113810763E-2</v>
      </c>
      <c r="W91" s="31">
        <f>Settings!$B$19*(O91-G$6)^2</f>
        <v>0.30305257956777948</v>
      </c>
      <c r="X91" s="31">
        <f>Settings!$B$20*(P91-H$6)^2</f>
        <v>0.85282917438385464</v>
      </c>
      <c r="Y91" s="31">
        <f>Settings!$B$21*(Q91-I$6)^2</f>
        <v>0.19038976257597909</v>
      </c>
      <c r="Z91" s="31">
        <f>Settings!$B$22*(R91-J$6)^2</f>
        <v>1.0037568590463036E-2</v>
      </c>
      <c r="AA91" s="31">
        <f>Settings!$B$23*(S91-K$6)^2</f>
        <v>0.24748994008534139</v>
      </c>
      <c r="AB91" s="31">
        <f>Settings!$B$24*(T91-L$6)^2</f>
        <v>4.4017504401180234E-2</v>
      </c>
      <c r="AC91" s="31">
        <f>Settings!$B$25*(U91-M$6)^2</f>
        <v>2.004351774309848</v>
      </c>
      <c r="AD91" s="19">
        <f t="shared" si="4"/>
        <v>1.9156127628067883</v>
      </c>
      <c r="AE91" s="15">
        <f t="shared" si="5"/>
        <v>0.75823426079683187</v>
      </c>
      <c r="AF91" s="33">
        <f t="shared" si="6"/>
        <v>0.75016687505864488</v>
      </c>
      <c r="AG91" s="47">
        <f t="shared" si="7"/>
        <v>3.2355844006457671E-3</v>
      </c>
      <c r="AH91" s="48"/>
      <c r="AI91" s="48"/>
      <c r="AJ91" s="48"/>
      <c r="AK91" s="48"/>
      <c r="AL91" s="48"/>
      <c r="AM91" s="48"/>
    </row>
    <row r="92" spans="1:39" ht="20" customHeight="1" x14ac:dyDescent="0.45">
      <c r="A92" s="26">
        <v>82</v>
      </c>
      <c r="B92" s="16" t="s">
        <v>474</v>
      </c>
      <c r="C92" s="16" t="s">
        <v>220</v>
      </c>
      <c r="D92" s="46">
        <v>28</v>
      </c>
      <c r="E92" s="46">
        <v>1</v>
      </c>
      <c r="F92" s="13">
        <v>0.30685964956318812</v>
      </c>
      <c r="G92" s="13">
        <v>-3.9175146872728217E-2</v>
      </c>
      <c r="H92" s="13">
        <v>4.1131610365561337E-2</v>
      </c>
      <c r="I92" s="13">
        <v>-0.1563334896207349</v>
      </c>
      <c r="J92" s="13">
        <v>0.45650010357778747</v>
      </c>
      <c r="K92" s="13">
        <v>18.682083333333331</v>
      </c>
      <c r="L92" s="13">
        <v>1.6311773122267039</v>
      </c>
      <c r="M92" s="13">
        <v>-1.07546209195437</v>
      </c>
      <c r="N92" s="19">
        <f>(F92-Settings!$D$18)/Settings!$E$18</f>
        <v>0.40992148879391033</v>
      </c>
      <c r="O92" s="19">
        <f>(G92-Settings!$D$19)/Settings!$E$19</f>
        <v>-0.1355376681889201</v>
      </c>
      <c r="P92" s="19">
        <f>(H92-Settings!$D$20)/Settings!$E$20</f>
        <v>-0.10868231132955136</v>
      </c>
      <c r="Q92" s="19">
        <f>(I92-Settings!$D$21)/Settings!$E$21</f>
        <v>-1.8862718770562907</v>
      </c>
      <c r="R92" s="19">
        <f>(J92-Settings!$D$22)/Settings!$E$22</f>
        <v>0.56135271407566933</v>
      </c>
      <c r="S92" s="19">
        <f>(K92-Settings!$D$23)/Settings!$E$23</f>
        <v>1.1900737290306969</v>
      </c>
      <c r="T92" s="19">
        <f>(L92-Settings!$D$24)/Settings!$E$24</f>
        <v>0.22324492685938108</v>
      </c>
      <c r="U92" s="19">
        <f>(M92-Settings!$D$25)/Settings!$E$25</f>
        <v>-0.68933335476114466</v>
      </c>
      <c r="V92" s="31">
        <f>Settings!$B$18*(N92-F$6)^2</f>
        <v>1.8829866526956639E-3</v>
      </c>
      <c r="W92" s="31">
        <f>Settings!$B$19*(O92-G$6)^2</f>
        <v>4.7612287982748719E-2</v>
      </c>
      <c r="X92" s="31">
        <f>Settings!$B$20*(P92-H$6)^2</f>
        <v>0.90412636680292935</v>
      </c>
      <c r="Y92" s="31">
        <f>Settings!$B$21*(Q92-I$6)^2</f>
        <v>0.73896784484083711</v>
      </c>
      <c r="Z92" s="31">
        <f>Settings!$B$22*(R92-J$6)^2</f>
        <v>4.1040909125859899E-2</v>
      </c>
      <c r="AA92" s="31">
        <f>Settings!$B$23*(S92-K$6)^2</f>
        <v>0.94077686092115642</v>
      </c>
      <c r="AB92" s="31">
        <f>Settings!$B$24*(T92-L$6)^2</f>
        <v>0.22432753636344693</v>
      </c>
      <c r="AC92" s="31">
        <f>Settings!$B$25*(U92-M$6)^2</f>
        <v>0.80058256961577068</v>
      </c>
      <c r="AD92" s="19">
        <f t="shared" si="4"/>
        <v>1.9233609547626376</v>
      </c>
      <c r="AE92" s="15">
        <f t="shared" si="5"/>
        <v>0.76130113564451629</v>
      </c>
      <c r="AF92" s="33">
        <f t="shared" si="6"/>
        <v>0.74842093679436816</v>
      </c>
      <c r="AG92" s="47">
        <f t="shared" si="7"/>
        <v>3.2280539020324516E-3</v>
      </c>
      <c r="AH92" s="48"/>
      <c r="AI92" s="48"/>
      <c r="AJ92" s="48"/>
      <c r="AK92" s="48"/>
      <c r="AL92" s="18">
        <v>0.94399348611632317</v>
      </c>
      <c r="AM92" s="46">
        <v>1</v>
      </c>
    </row>
    <row r="93" spans="1:39" ht="20" customHeight="1" x14ac:dyDescent="0.45">
      <c r="A93" s="26">
        <v>83</v>
      </c>
      <c r="B93" s="16" t="s">
        <v>747</v>
      </c>
      <c r="C93" s="16" t="s">
        <v>214</v>
      </c>
      <c r="D93" s="46">
        <v>28</v>
      </c>
      <c r="E93" s="46">
        <v>1</v>
      </c>
      <c r="F93" s="13">
        <v>0.67889215500864752</v>
      </c>
      <c r="G93" s="13">
        <v>-1.386500189484492E-2</v>
      </c>
      <c r="H93" s="13">
        <v>3.3249256105325781E-2</v>
      </c>
      <c r="I93" s="13">
        <v>-4.5622146058514117E-5</v>
      </c>
      <c r="J93" s="13">
        <v>0.27394796484512329</v>
      </c>
      <c r="K93" s="13">
        <v>13.692034313725509</v>
      </c>
      <c r="L93" s="13">
        <v>2.1236604586901708</v>
      </c>
      <c r="M93" s="13">
        <v>-0.46475338742228273</v>
      </c>
      <c r="N93" s="19">
        <f>(F93-Settings!$D$18)/Settings!$E$18</f>
        <v>1.7414026338914466</v>
      </c>
      <c r="O93" s="19">
        <f>(G93-Settings!$D$19)/Settings!$E$19</f>
        <v>-3.0092378273868143E-2</v>
      </c>
      <c r="P93" s="19">
        <f>(H93-Settings!$D$20)/Settings!$E$20</f>
        <v>-0.18009795668958642</v>
      </c>
      <c r="Q93" s="19">
        <f>(I93-Settings!$D$21)/Settings!$E$21</f>
        <v>3.5648094851702568E-2</v>
      </c>
      <c r="R93" s="19">
        <f>(J93-Settings!$D$22)/Settings!$E$22</f>
        <v>7.0187590153975063E-2</v>
      </c>
      <c r="S93" s="19">
        <f>(K93-Settings!$D$23)/Settings!$E$23</f>
        <v>-0.54285551821436573</v>
      </c>
      <c r="T93" s="19">
        <f>(L93-Settings!$D$24)/Settings!$E$24</f>
        <v>0.56372546404112722</v>
      </c>
      <c r="U93" s="19">
        <f>(M93-Settings!$D$25)/Settings!$E$25</f>
        <v>-0.2774646026548433</v>
      </c>
      <c r="V93" s="31">
        <f>Settings!$B$18*(N93-F$6)^2</f>
        <v>0.40812914918389898</v>
      </c>
      <c r="W93" s="31">
        <f>Settings!$B$19*(O93-G$6)^2</f>
        <v>7.0415382240468102E-2</v>
      </c>
      <c r="X93" s="31">
        <f>Settings!$B$20*(P93-H$6)^2</f>
        <v>0.96588334821320476</v>
      </c>
      <c r="Y93" s="31">
        <f>Settings!$B$21*(Q93-I$6)^2</f>
        <v>1.5288942206014808E-8</v>
      </c>
      <c r="Z93" s="31">
        <f>Settings!$B$22*(R93-J$6)^2</f>
        <v>2.9139039793181157E-4</v>
      </c>
      <c r="AA93" s="31">
        <f>Settings!$B$23*(S93-K$6)^2</f>
        <v>0.58215789546378793</v>
      </c>
      <c r="AB93" s="31">
        <f>Settings!$B$24*(T93-L$6)^2</f>
        <v>1.7729386532731473E-2</v>
      </c>
      <c r="AC93" s="31">
        <f>Settings!$B$25*(U93-M$6)^2</f>
        <v>1.7072598753291564</v>
      </c>
      <c r="AD93" s="19">
        <f t="shared" si="4"/>
        <v>1.9369735265744137</v>
      </c>
      <c r="AE93" s="15">
        <f t="shared" si="5"/>
        <v>0.76668923835799085</v>
      </c>
      <c r="AF93" s="33">
        <f t="shared" si="6"/>
        <v>0.7453464060492665</v>
      </c>
      <c r="AG93" s="47">
        <f t="shared" si="7"/>
        <v>3.2147929809642171E-3</v>
      </c>
      <c r="AH93" s="48"/>
      <c r="AI93" s="48"/>
      <c r="AJ93" s="48"/>
      <c r="AK93" s="48"/>
      <c r="AL93" s="48"/>
      <c r="AM93" s="48"/>
    </row>
    <row r="94" spans="1:39" ht="20" customHeight="1" x14ac:dyDescent="0.45">
      <c r="A94" s="26">
        <v>84</v>
      </c>
      <c r="B94" s="16" t="s">
        <v>425</v>
      </c>
      <c r="C94" s="16" t="s">
        <v>220</v>
      </c>
      <c r="D94" s="46">
        <v>28</v>
      </c>
      <c r="E94" s="46">
        <v>1</v>
      </c>
      <c r="F94" s="13">
        <v>0.52056219343057442</v>
      </c>
      <c r="G94" s="13">
        <v>-0.2317003875963573</v>
      </c>
      <c r="H94" s="13">
        <v>1.9363633435181171E-2</v>
      </c>
      <c r="I94" s="13">
        <v>-7.2835909891734135E-2</v>
      </c>
      <c r="J94" s="13">
        <v>-0.15553787564615279</v>
      </c>
      <c r="K94" s="13">
        <v>13.91633663366337</v>
      </c>
      <c r="L94" s="13">
        <v>0.62531642422372014</v>
      </c>
      <c r="M94" s="13">
        <v>-1.664572449171815</v>
      </c>
      <c r="N94" s="19">
        <f>(F94-Settings!$D$18)/Settings!$E$18</f>
        <v>1.1747495714317544</v>
      </c>
      <c r="O94" s="19">
        <f>(G94-Settings!$D$19)/Settings!$E$19</f>
        <v>-0.93762235959656348</v>
      </c>
      <c r="P94" s="19">
        <f>(H94-Settings!$D$20)/Settings!$E$20</f>
        <v>-0.30590436826092782</v>
      </c>
      <c r="Q94" s="19">
        <f>(I94-Settings!$D$21)/Settings!$E$21</f>
        <v>-0.85947645985508836</v>
      </c>
      <c r="R94" s="19">
        <f>(J94-Settings!$D$22)/Settings!$E$22</f>
        <v>-1.0853642841323681</v>
      </c>
      <c r="S94" s="19">
        <f>(K94-Settings!$D$23)/Settings!$E$23</f>
        <v>-0.46496048172917565</v>
      </c>
      <c r="T94" s="19">
        <f>(L94-Settings!$D$24)/Settings!$E$24</f>
        <v>-0.47216172398073952</v>
      </c>
      <c r="U94" s="19">
        <f>(M94-Settings!$D$25)/Settings!$E$25</f>
        <v>-1.0866359408867992</v>
      </c>
      <c r="V94" s="31">
        <f>Settings!$B$18*(N94-F$6)^2</f>
        <v>0.14856007053230416</v>
      </c>
      <c r="W94" s="31">
        <f>Settings!$B$19*(O94-G$6)^2</f>
        <v>1.974046842923477E-2</v>
      </c>
      <c r="X94" s="31">
        <f>Settings!$B$20*(P94-H$6)^2</f>
        <v>1.0796373346284187</v>
      </c>
      <c r="Y94" s="31">
        <f>Settings!$B$21*(Q94-I$6)^2</f>
        <v>0.16034860487113659</v>
      </c>
      <c r="Z94" s="31">
        <f>Settings!$B$22*(R94-J$6)^2</f>
        <v>0.28499440195502096</v>
      </c>
      <c r="AA94" s="31">
        <f>Settings!$B$23*(S94-K$6)^2</f>
        <v>0.46935884016925866</v>
      </c>
      <c r="AB94" s="31">
        <f>Settings!$B$24*(T94-L$6)^2</f>
        <v>1.3666520210927882</v>
      </c>
      <c r="AC94" s="31">
        <f>Settings!$B$25*(U94-M$6)^2</f>
        <v>0.24745671334216779</v>
      </c>
      <c r="AD94" s="19">
        <f t="shared" si="4"/>
        <v>1.9433858224810456</v>
      </c>
      <c r="AE94" s="15">
        <f t="shared" si="5"/>
        <v>0.7692273413301447</v>
      </c>
      <c r="AF94" s="33">
        <f t="shared" si="6"/>
        <v>0.74389502366777915</v>
      </c>
      <c r="AG94" s="47">
        <f t="shared" si="7"/>
        <v>3.2085329468984026E-3</v>
      </c>
      <c r="AH94" s="18">
        <v>-1.258337144620725</v>
      </c>
      <c r="AI94" s="46">
        <v>1</v>
      </c>
      <c r="AJ94" s="18">
        <v>1.5115233559365711</v>
      </c>
      <c r="AK94" s="46">
        <v>1</v>
      </c>
      <c r="AL94" s="18">
        <v>0.47670654877892787</v>
      </c>
      <c r="AM94" s="46">
        <v>1</v>
      </c>
    </row>
    <row r="95" spans="1:39" ht="20" customHeight="1" x14ac:dyDescent="0.45">
      <c r="A95" s="26">
        <v>85</v>
      </c>
      <c r="B95" s="16" t="s">
        <v>325</v>
      </c>
      <c r="C95" s="16" t="s">
        <v>216</v>
      </c>
      <c r="D95" s="46">
        <v>28</v>
      </c>
      <c r="E95" s="46">
        <v>1</v>
      </c>
      <c r="F95" s="13">
        <v>0.32078945922527158</v>
      </c>
      <c r="G95" s="13">
        <v>-0.1238920266126948</v>
      </c>
      <c r="H95" s="13">
        <v>8.7514335449434544E-2</v>
      </c>
      <c r="I95" s="13">
        <v>-8.8906431561255704E-5</v>
      </c>
      <c r="J95" s="13">
        <v>0.46771527228103782</v>
      </c>
      <c r="K95" s="13">
        <v>17.023885350318469</v>
      </c>
      <c r="L95" s="13">
        <v>3.4900160404216121</v>
      </c>
      <c r="M95" s="13">
        <v>-0.1178071479648803</v>
      </c>
      <c r="N95" s="19">
        <f>(F95-Settings!$D$18)/Settings!$E$18</f>
        <v>0.45977540921318583</v>
      </c>
      <c r="O95" s="19">
        <f>(G95-Settings!$D$19)/Settings!$E$19</f>
        <v>-0.48847898688485281</v>
      </c>
      <c r="P95" s="19">
        <f>(H95-Settings!$D$20)/Settings!$E$20</f>
        <v>0.3115540972435013</v>
      </c>
      <c r="Q95" s="19">
        <f>(I95-Settings!$D$21)/Settings!$E$21</f>
        <v>3.5115814681004318E-2</v>
      </c>
      <c r="R95" s="19">
        <f>(J95-Settings!$D$22)/Settings!$E$22</f>
        <v>0.59152765348846637</v>
      </c>
      <c r="S95" s="19">
        <f>(K95-Settings!$D$23)/Settings!$E$23</f>
        <v>0.61421971012266963</v>
      </c>
      <c r="T95" s="19">
        <f>(L95-Settings!$D$24)/Settings!$E$24</f>
        <v>1.5083618151324001</v>
      </c>
      <c r="U95" s="19">
        <f>(M95-Settings!$D$25)/Settings!$E$25</f>
        <v>-4.348019465008323E-2</v>
      </c>
      <c r="V95" s="31">
        <f>Settings!$B$18*(N95-F$6)^2</f>
        <v>4.3150112346577833E-3</v>
      </c>
      <c r="W95" s="31">
        <f>Settings!$B$19*(O95-G$6)^2</f>
        <v>3.6436006551577131E-3</v>
      </c>
      <c r="X95" s="31">
        <f>Settings!$B$20*(P95-H$6)^2</f>
        <v>0.58204717358947744</v>
      </c>
      <c r="Y95" s="31">
        <f>Settings!$B$21*(Q95-I$6)^2</f>
        <v>1.3082066243761062E-7</v>
      </c>
      <c r="Z95" s="31">
        <f>Settings!$B$22*(R95-J$6)^2</f>
        <v>4.6690654198524938E-2</v>
      </c>
      <c r="AA95" s="31">
        <f>Settings!$B$23*(S95-K$6)^2</f>
        <v>0.15530102095443665</v>
      </c>
      <c r="AB95" s="31">
        <f>Settings!$B$24*(T95-L$6)^2</f>
        <v>0.65850726996867659</v>
      </c>
      <c r="AC95" s="31">
        <f>Settings!$B$25*(U95-M$6)^2</f>
        <v>2.3734667183170006</v>
      </c>
      <c r="AD95" s="19">
        <f t="shared" si="4"/>
        <v>1.9554977831075633</v>
      </c>
      <c r="AE95" s="15">
        <f t="shared" si="5"/>
        <v>0.77402147493102536</v>
      </c>
      <c r="AF95" s="33">
        <f t="shared" si="6"/>
        <v>0.74114823843311839</v>
      </c>
      <c r="AG95" s="47">
        <f t="shared" si="7"/>
        <v>3.1966856423150092E-3</v>
      </c>
      <c r="AH95" s="18">
        <v>-1.0808677186480591</v>
      </c>
      <c r="AI95" s="46">
        <v>1</v>
      </c>
      <c r="AJ95" s="18">
        <v>-0.75578134747462844</v>
      </c>
      <c r="AK95" s="46">
        <v>1</v>
      </c>
      <c r="AL95" s="48"/>
      <c r="AM95" s="48"/>
    </row>
    <row r="96" spans="1:39" ht="20" customHeight="1" x14ac:dyDescent="0.45">
      <c r="A96" s="26">
        <v>86</v>
      </c>
      <c r="B96" s="16" t="s">
        <v>468</v>
      </c>
      <c r="C96" s="16" t="s">
        <v>258</v>
      </c>
      <c r="D96" s="46">
        <v>28</v>
      </c>
      <c r="E96" s="46">
        <v>0</v>
      </c>
      <c r="F96" s="13">
        <v>0.31201913293156991</v>
      </c>
      <c r="G96" s="13">
        <v>-9.384459519657625E-4</v>
      </c>
      <c r="H96" s="13">
        <v>9.0012972698431573E-2</v>
      </c>
      <c r="I96" s="13">
        <v>-1.2155094668442E-2</v>
      </c>
      <c r="J96" s="13">
        <v>0.58487435374959074</v>
      </c>
      <c r="K96" s="13">
        <v>17.858717948717981</v>
      </c>
      <c r="L96" s="13">
        <v>1.3465180103663299</v>
      </c>
      <c r="M96" s="13">
        <v>-0.23797383178282039</v>
      </c>
      <c r="N96" s="19">
        <f>(F96-Settings!$D$18)/Settings!$E$18</f>
        <v>0.42838695813567945</v>
      </c>
      <c r="O96" s="19">
        <f>(G96-Settings!$D$19)/Settings!$E$19</f>
        <v>2.3761301355035468E-2</v>
      </c>
      <c r="P96" s="19">
        <f>(H96-Settings!$D$20)/Settings!$E$20</f>
        <v>0.33419223120278535</v>
      </c>
      <c r="Q96" s="19">
        <f>(I96-Settings!$D$21)/Settings!$E$21</f>
        <v>-0.11326581296530008</v>
      </c>
      <c r="R96" s="19">
        <f>(J96-Settings!$D$22)/Settings!$E$22</f>
        <v>0.9067496780976867</v>
      </c>
      <c r="S96" s="19">
        <f>(K96-Settings!$D$23)/Settings!$E$23</f>
        <v>0.90413786937029261</v>
      </c>
      <c r="T96" s="19">
        <f>(L96-Settings!$D$24)/Settings!$E$24</f>
        <v>2.6444381079911025E-2</v>
      </c>
      <c r="U96" s="19">
        <f>(M96-Settings!$D$25)/Settings!$E$25</f>
        <v>-0.12452194457367066</v>
      </c>
      <c r="V96" s="31">
        <f>Settings!$B$18*(N96-F$6)^2</f>
        <v>2.6678674370849338E-3</v>
      </c>
      <c r="W96" s="31">
        <f>Settings!$B$19*(O96-G$6)^2</f>
        <v>8.3777288654032389E-2</v>
      </c>
      <c r="X96" s="31">
        <f>Settings!$B$20*(P96-H$6)^2</f>
        <v>0.56670193914568878</v>
      </c>
      <c r="Y96" s="31">
        <f>Settings!$B$21*(Q96-I$6)^2</f>
        <v>4.4515547433440937E-3</v>
      </c>
      <c r="Z96" s="31">
        <f>Settings!$B$22*(R96-J$6)^2</f>
        <v>0.12748597229311004</v>
      </c>
      <c r="AA96" s="31">
        <f>Settings!$B$23*(S96-K$6)^2</f>
        <v>0.46785690905110267</v>
      </c>
      <c r="AB96" s="31">
        <f>Settings!$B$24*(T96-L$6)^2</f>
        <v>0.44948017346570374</v>
      </c>
      <c r="AC96" s="31">
        <f>Settings!$B$25*(U96-M$6)^2</f>
        <v>2.1303276779637517</v>
      </c>
      <c r="AD96" s="19">
        <f t="shared" si="4"/>
        <v>1.9577408875420206</v>
      </c>
      <c r="AE96" s="15">
        <f t="shared" si="5"/>
        <v>0.77490933633275183</v>
      </c>
      <c r="AF96" s="33">
        <f t="shared" si="6"/>
        <v>0.74063878678182404</v>
      </c>
      <c r="AG96" s="47">
        <f t="shared" si="7"/>
        <v>3.1944882994695491E-3</v>
      </c>
      <c r="AH96" s="18">
        <v>-1.0334339195309401</v>
      </c>
      <c r="AI96" s="46">
        <v>0</v>
      </c>
      <c r="AJ96" s="18">
        <v>-0.35828981866076032</v>
      </c>
      <c r="AK96" s="46">
        <v>0</v>
      </c>
      <c r="AL96" s="18">
        <v>0.76865876327695126</v>
      </c>
      <c r="AM96" s="46">
        <v>0</v>
      </c>
    </row>
    <row r="97" spans="1:39" ht="20" customHeight="1" x14ac:dyDescent="0.45">
      <c r="A97" s="26">
        <v>87</v>
      </c>
      <c r="B97" s="16" t="s">
        <v>277</v>
      </c>
      <c r="C97" s="16" t="s">
        <v>220</v>
      </c>
      <c r="D97" s="46">
        <v>28</v>
      </c>
      <c r="E97" s="46">
        <v>1</v>
      </c>
      <c r="F97" s="13">
        <v>0.28377146070179399</v>
      </c>
      <c r="G97" s="13">
        <v>-1.140503197444104E-2</v>
      </c>
      <c r="H97" s="13">
        <v>0.46509382350888517</v>
      </c>
      <c r="I97" s="13">
        <v>-0.1062567658488477</v>
      </c>
      <c r="J97" s="13">
        <v>-0.13347291796603211</v>
      </c>
      <c r="K97" s="13">
        <v>19.413333333333309</v>
      </c>
      <c r="L97" s="13">
        <v>0.91121947333818665</v>
      </c>
      <c r="M97" s="13">
        <v>-1.807895186180462</v>
      </c>
      <c r="N97" s="19">
        <f>(F97-Settings!$D$18)/Settings!$E$18</f>
        <v>0.32729030013853089</v>
      </c>
      <c r="O97" s="19">
        <f>(G97-Settings!$D$19)/Settings!$E$19</f>
        <v>-1.9843830046824853E-2</v>
      </c>
      <c r="P97" s="19">
        <f>(H97-Settings!$D$20)/Settings!$E$20</f>
        <v>3.7324968669067742</v>
      </c>
      <c r="Q97" s="19">
        <f>(I97-Settings!$D$21)/Settings!$E$21</f>
        <v>-1.2704630039810709</v>
      </c>
      <c r="R97" s="19">
        <f>(J97-Settings!$D$22)/Settings!$E$22</f>
        <v>-1.0259974766628908</v>
      </c>
      <c r="S97" s="19">
        <f>(K97-Settings!$D$23)/Settings!$E$23</f>
        <v>1.4440200343813219</v>
      </c>
      <c r="T97" s="19">
        <f>(L97-Settings!$D$24)/Settings!$E$24</f>
        <v>-0.27450130769355219</v>
      </c>
      <c r="U97" s="19">
        <f>(M97-Settings!$D$25)/Settings!$E$25</f>
        <v>-1.1832943909828049</v>
      </c>
      <c r="V97" s="31">
        <f>Settings!$B$18*(N97-F$6)^2</f>
        <v>4.1468488530674007E-5</v>
      </c>
      <c r="W97" s="31">
        <f>Settings!$B$19*(O97-G$6)^2</f>
        <v>7.2868823057170823E-2</v>
      </c>
      <c r="X97" s="31">
        <f>Settings!$B$20*(P97-H$6)^2</f>
        <v>0.58824597825093661</v>
      </c>
      <c r="Y97" s="31">
        <f>Settings!$B$21*(Q97-I$6)^2</f>
        <v>0.34132970455271816</v>
      </c>
      <c r="Z97" s="31">
        <f>Settings!$B$22*(R97-J$6)^2</f>
        <v>0.25735230188661506</v>
      </c>
      <c r="AA97" s="31">
        <f>Settings!$B$23*(S97-K$6)^2</f>
        <v>1.497889180398156</v>
      </c>
      <c r="AB97" s="31">
        <f>Settings!$B$24*(T97-L$6)^2</f>
        <v>0.9435762179309638</v>
      </c>
      <c r="AC97" s="31">
        <f>Settings!$B$25*(U97-M$6)^2</f>
        <v>0.16063403634832987</v>
      </c>
      <c r="AD97" s="19">
        <f t="shared" si="4"/>
        <v>1.9651813430097034</v>
      </c>
      <c r="AE97" s="15">
        <f t="shared" si="5"/>
        <v>0.77785440349928303</v>
      </c>
      <c r="AF97" s="33">
        <f t="shared" si="6"/>
        <v>0.73894725318012289</v>
      </c>
      <c r="AG97" s="47">
        <f t="shared" si="7"/>
        <v>3.1871924564820745E-3</v>
      </c>
      <c r="AH97" s="18">
        <v>0.79885108010168104</v>
      </c>
      <c r="AI97" s="46">
        <v>1</v>
      </c>
      <c r="AJ97" s="18">
        <v>0.132967874002931</v>
      </c>
      <c r="AK97" s="46">
        <v>1</v>
      </c>
      <c r="AL97" s="18">
        <v>-1.270553344737158</v>
      </c>
      <c r="AM97" s="46">
        <v>1</v>
      </c>
    </row>
    <row r="98" spans="1:39" ht="20" customHeight="1" x14ac:dyDescent="0.45">
      <c r="A98" s="26">
        <v>88</v>
      </c>
      <c r="B98" s="16" t="s">
        <v>300</v>
      </c>
      <c r="C98" s="16" t="s">
        <v>214</v>
      </c>
      <c r="D98" s="46">
        <v>28</v>
      </c>
      <c r="E98" s="46">
        <v>1</v>
      </c>
      <c r="F98" s="13">
        <v>0.3843954455881653</v>
      </c>
      <c r="G98" s="13">
        <v>-5.1164132704916557E-2</v>
      </c>
      <c r="H98" s="13">
        <v>0.1648514291720892</v>
      </c>
      <c r="I98" s="13">
        <v>1.0904421337230901E-4</v>
      </c>
      <c r="J98" s="13">
        <v>0.39947994832145661</v>
      </c>
      <c r="K98" s="13">
        <v>17.540345528455241</v>
      </c>
      <c r="L98" s="13">
        <v>3.9700320524321548</v>
      </c>
      <c r="M98" s="13">
        <v>-0.33277753389917031</v>
      </c>
      <c r="N98" s="19">
        <f>(F98-Settings!$D$18)/Settings!$E$18</f>
        <v>0.68741726931387459</v>
      </c>
      <c r="O98" s="19">
        <f>(G98-Settings!$D$19)/Settings!$E$19</f>
        <v>-0.18548531123747741</v>
      </c>
      <c r="P98" s="19">
        <f>(H98-Settings!$D$20)/Settings!$E$20</f>
        <v>1.0122430381523622</v>
      </c>
      <c r="Q98" s="19">
        <f>(I98-Settings!$D$21)/Settings!$E$21</f>
        <v>3.7550074640508399E-2</v>
      </c>
      <c r="R98" s="19">
        <f>(J98-Settings!$D$22)/Settings!$E$22</f>
        <v>0.40793730181625215</v>
      </c>
      <c r="S98" s="19">
        <f>(K98-Settings!$D$23)/Settings!$E$23</f>
        <v>0.79357445077027666</v>
      </c>
      <c r="T98" s="19">
        <f>(L98-Settings!$D$24)/Settings!$E$24</f>
        <v>1.84022314033475</v>
      </c>
      <c r="U98" s="19">
        <f>(M98-Settings!$D$25)/Settings!$E$25</f>
        <v>-0.18845861715742782</v>
      </c>
      <c r="V98" s="31">
        <f>Settings!$B$18*(N98-F$6)^2</f>
        <v>2.8053998796910624E-2</v>
      </c>
      <c r="W98" s="31">
        <f>Settings!$B$19*(O98-G$6)^2</f>
        <v>3.8363151648883875E-2</v>
      </c>
      <c r="X98" s="31">
        <f>Settings!$B$20*(P98-H$6)^2</f>
        <v>0.20210647864018699</v>
      </c>
      <c r="Y98" s="31">
        <f>Settings!$B$21*(Q98-I$6)^2</f>
        <v>5.2844577299236581E-7</v>
      </c>
      <c r="Z98" s="31">
        <f>Settings!$B$22*(R98-J$6)^2</f>
        <v>1.7949595878055759E-2</v>
      </c>
      <c r="AA98" s="31">
        <f>Settings!$B$23*(S98-K$6)^2</f>
        <v>0.32883027499765005</v>
      </c>
      <c r="AB98" s="31">
        <f>Settings!$B$24*(T98-L$6)^2</f>
        <v>1.3072399243057087</v>
      </c>
      <c r="AC98" s="31">
        <f>Settings!$B$25*(U98-M$6)^2</f>
        <v>1.9477762182709151</v>
      </c>
      <c r="AD98" s="19">
        <f t="shared" si="4"/>
        <v>1.9673129316364706</v>
      </c>
      <c r="AE98" s="15">
        <f t="shared" si="5"/>
        <v>0.77869812492258961</v>
      </c>
      <c r="AF98" s="33">
        <f t="shared" si="6"/>
        <v>0.73846218395752594</v>
      </c>
      <c r="AG98" s="47">
        <f t="shared" si="7"/>
        <v>3.1851002787786197E-3</v>
      </c>
      <c r="AH98" s="48"/>
      <c r="AI98" s="48"/>
      <c r="AJ98" s="48"/>
      <c r="AK98" s="48"/>
      <c r="AL98" s="48"/>
      <c r="AM98" s="48"/>
    </row>
    <row r="99" spans="1:39" ht="20" customHeight="1" x14ac:dyDescent="0.45">
      <c r="A99" s="26">
        <v>89</v>
      </c>
      <c r="B99" s="16" t="s">
        <v>417</v>
      </c>
      <c r="C99" s="16" t="s">
        <v>214</v>
      </c>
      <c r="D99" s="46">
        <v>28</v>
      </c>
      <c r="E99" s="46">
        <v>1</v>
      </c>
      <c r="F99" s="13">
        <v>0.60513416793774111</v>
      </c>
      <c r="G99" s="13">
        <v>4.56595280405089E-2</v>
      </c>
      <c r="H99" s="13">
        <v>5.1816173960345407E-2</v>
      </c>
      <c r="I99" s="13">
        <v>1.449423854896629E-3</v>
      </c>
      <c r="J99" s="13">
        <v>0.29594070620650792</v>
      </c>
      <c r="K99" s="13">
        <v>14.518620689655171</v>
      </c>
      <c r="L99" s="13">
        <v>0.50396217723067593</v>
      </c>
      <c r="M99" s="13">
        <v>-1.030558018594343</v>
      </c>
      <c r="N99" s="19">
        <f>(F99-Settings!$D$18)/Settings!$E$18</f>
        <v>1.4774273961157327</v>
      </c>
      <c r="O99" s="19">
        <f>(G99-Settings!$D$19)/Settings!$E$19</f>
        <v>0.21789440021259343</v>
      </c>
      <c r="P99" s="19">
        <f>(H99-Settings!$D$20)/Settings!$E$20</f>
        <v>-1.187811053877927E-2</v>
      </c>
      <c r="Q99" s="19">
        <f>(I99-Settings!$D$21)/Settings!$E$21</f>
        <v>5.403313531955873E-2</v>
      </c>
      <c r="R99" s="19">
        <f>(J99-Settings!$D$22)/Settings!$E$22</f>
        <v>0.12936009621790664</v>
      </c>
      <c r="S99" s="19">
        <f>(K99-Settings!$D$23)/Settings!$E$23</f>
        <v>-0.2558010823572629</v>
      </c>
      <c r="T99" s="19">
        <f>(L99-Settings!$D$24)/Settings!$E$24</f>
        <v>-0.55606055280805877</v>
      </c>
      <c r="U99" s="19">
        <f>(M99-Settings!$D$25)/Settings!$E$25</f>
        <v>-0.65904954756790302</v>
      </c>
      <c r="V99" s="31">
        <f>Settings!$B$18*(N99-F$6)^2</f>
        <v>0.27122904560072336</v>
      </c>
      <c r="W99" s="31">
        <f>Settings!$B$19*(O99-G$6)^2</f>
        <v>0.14157311332985234</v>
      </c>
      <c r="X99" s="31">
        <f>Settings!$B$20*(P99-H$6)^2</f>
        <v>0.82367140224415447</v>
      </c>
      <c r="Y99" s="31">
        <f>Settings!$B$21*(Q99-I$6)^2</f>
        <v>6.5583946326125682E-5</v>
      </c>
      <c r="Z99" s="31">
        <f>Settings!$B$22*(R99-J$6)^2</f>
        <v>8.8220712185309457E-5</v>
      </c>
      <c r="AA99" s="31">
        <f>Settings!$B$23*(S99-K$6)^2</f>
        <v>0.22651725323889776</v>
      </c>
      <c r="AB99" s="31">
        <f>Settings!$B$24*(T99-L$6)^2</f>
        <v>1.5698530288212624</v>
      </c>
      <c r="AC99" s="31">
        <f>Settings!$B$25*(U99-M$6)^2</f>
        <v>0.85569272103732175</v>
      </c>
      <c r="AD99" s="19">
        <f t="shared" si="4"/>
        <v>1.9719762597279724</v>
      </c>
      <c r="AE99" s="15">
        <f t="shared" si="5"/>
        <v>0.78054395472544191</v>
      </c>
      <c r="AF99" s="33">
        <f t="shared" si="6"/>
        <v>0.73740026587173912</v>
      </c>
      <c r="AG99" s="47">
        <f t="shared" si="7"/>
        <v>3.1805200637526404E-3</v>
      </c>
      <c r="AH99" s="48"/>
      <c r="AI99" s="48"/>
      <c r="AJ99" s="48"/>
      <c r="AK99" s="48"/>
      <c r="AL99" s="48"/>
      <c r="AM99" s="48"/>
    </row>
    <row r="100" spans="1:39" ht="20" customHeight="1" x14ac:dyDescent="0.45">
      <c r="A100" s="26">
        <v>90</v>
      </c>
      <c r="B100" s="16" t="s">
        <v>387</v>
      </c>
      <c r="C100" s="16" t="s">
        <v>234</v>
      </c>
      <c r="D100" s="46">
        <v>28</v>
      </c>
      <c r="E100" s="46">
        <v>1</v>
      </c>
      <c r="F100" s="13">
        <v>0.47945897120816738</v>
      </c>
      <c r="G100" s="13">
        <v>-0.1292128667165891</v>
      </c>
      <c r="H100" s="13">
        <v>8.6030456573070138E-2</v>
      </c>
      <c r="I100" s="13">
        <v>-1.3403227129235671E-4</v>
      </c>
      <c r="J100" s="13">
        <v>-0.30516367323088089</v>
      </c>
      <c r="K100" s="13">
        <v>18.771598639455739</v>
      </c>
      <c r="L100" s="13">
        <v>0.79547867790698434</v>
      </c>
      <c r="M100" s="13">
        <v>-1.2704359782425041</v>
      </c>
      <c r="N100" s="19">
        <f>(F100-Settings!$D$18)/Settings!$E$18</f>
        <v>1.0276437014047273</v>
      </c>
      <c r="O100" s="19">
        <f>(G100-Settings!$D$19)/Settings!$E$19</f>
        <v>-0.51064628493221831</v>
      </c>
      <c r="P100" s="19">
        <f>(H100-Settings!$D$20)/Settings!$E$20</f>
        <v>0.29810986927644711</v>
      </c>
      <c r="Q100" s="19">
        <f>(I100-Settings!$D$21)/Settings!$E$21</f>
        <v>3.4560888351598901E-2</v>
      </c>
      <c r="R100" s="19">
        <f>(J100-Settings!$D$22)/Settings!$E$22</f>
        <v>-1.4879395370041415</v>
      </c>
      <c r="S100" s="19">
        <f>(K100-Settings!$D$23)/Settings!$E$23</f>
        <v>1.221160335884873</v>
      </c>
      <c r="T100" s="19">
        <f>(L100-Settings!$D$24)/Settings!$E$24</f>
        <v>-0.35451925040944909</v>
      </c>
      <c r="U100" s="19">
        <f>(M100-Settings!$D$25)/Settings!$E$25</f>
        <v>-0.82082591519605241</v>
      </c>
      <c r="V100" s="31">
        <f>Settings!$B$18*(N100-F$6)^2</f>
        <v>0.10217431062663151</v>
      </c>
      <c r="W100" s="31">
        <f>Settings!$B$19*(O100-G$6)^2</f>
        <v>2.5450741787140432E-3</v>
      </c>
      <c r="X100" s="31">
        <f>Settings!$B$20*(P100-H$6)^2</f>
        <v>0.59125734877154235</v>
      </c>
      <c r="Y100" s="31">
        <f>Settings!$B$21*(Q100-I$6)^2</f>
        <v>3.7193164705254682E-7</v>
      </c>
      <c r="Z100" s="31">
        <f>Settings!$B$22*(R100-J$6)^2</f>
        <v>0.50963292947699512</v>
      </c>
      <c r="AA100" s="31">
        <f>Settings!$B$23*(S100-K$6)^2</f>
        <v>1.00204730884769</v>
      </c>
      <c r="AB100" s="31">
        <f>Settings!$B$24*(T100-L$6)^2</f>
        <v>1.1054345097035845</v>
      </c>
      <c r="AC100" s="31">
        <f>Settings!$B$25*(U100-M$6)^2</f>
        <v>0.58256619032208601</v>
      </c>
      <c r="AD100" s="19">
        <f t="shared" si="4"/>
        <v>1.973742142190537</v>
      </c>
      <c r="AE100" s="15">
        <f t="shared" si="5"/>
        <v>0.78124292301885367</v>
      </c>
      <c r="AF100" s="33">
        <f t="shared" si="6"/>
        <v>0.73699788806266475</v>
      </c>
      <c r="AG100" s="47">
        <f t="shared" si="7"/>
        <v>3.1787845467556985E-3</v>
      </c>
      <c r="AH100" s="18">
        <v>0.20820255234398799</v>
      </c>
      <c r="AI100" s="46">
        <v>1</v>
      </c>
      <c r="AJ100" s="18">
        <v>0.81555035032648937</v>
      </c>
      <c r="AK100" s="46">
        <v>1</v>
      </c>
      <c r="AL100" s="18">
        <v>-0.45772889262783839</v>
      </c>
      <c r="AM100" s="46">
        <v>1</v>
      </c>
    </row>
    <row r="101" spans="1:39" ht="20" customHeight="1" x14ac:dyDescent="0.45">
      <c r="A101" s="26">
        <v>91</v>
      </c>
      <c r="B101" s="16" t="s">
        <v>450</v>
      </c>
      <c r="C101" s="16" t="s">
        <v>220</v>
      </c>
      <c r="D101" s="46">
        <v>28</v>
      </c>
      <c r="E101" s="46">
        <v>1</v>
      </c>
      <c r="F101" s="13">
        <v>0.36805513118053029</v>
      </c>
      <c r="G101" s="13">
        <v>4.2828143393386711E-2</v>
      </c>
      <c r="H101" s="13">
        <v>0.20623616674346831</v>
      </c>
      <c r="I101" s="13">
        <v>-3.3074069106351291E-3</v>
      </c>
      <c r="J101" s="13">
        <v>0.3795731517719797</v>
      </c>
      <c r="K101" s="13">
        <v>17.72205128205125</v>
      </c>
      <c r="L101" s="13">
        <v>1.461339887345672</v>
      </c>
      <c r="M101" s="13">
        <v>0.1363211495229035</v>
      </c>
      <c r="N101" s="19">
        <f>(F101-Settings!$D$18)/Settings!$E$18</f>
        <v>0.62893630267715361</v>
      </c>
      <c r="O101" s="19">
        <f>(G101-Settings!$D$19)/Settings!$E$19</f>
        <v>0.20609849089489837</v>
      </c>
      <c r="P101" s="19">
        <f>(H101-Settings!$D$20)/Settings!$E$20</f>
        <v>1.3871967187583654</v>
      </c>
      <c r="Q101" s="19">
        <f>(I101-Settings!$D$21)/Settings!$E$21</f>
        <v>-4.4630755443025383E-3</v>
      </c>
      <c r="R101" s="19">
        <f>(J101-Settings!$D$22)/Settings!$E$22</f>
        <v>0.35437712847626002</v>
      </c>
      <c r="S101" s="19">
        <f>(K101-Settings!$D$23)/Settings!$E$23</f>
        <v>0.85667667953835736</v>
      </c>
      <c r="T101" s="19">
        <f>(L101-Settings!$D$24)/Settings!$E$24</f>
        <v>0.10582702520668393</v>
      </c>
      <c r="U101" s="19">
        <f>(M101-Settings!$D$25)/Settings!$E$25</f>
        <v>0.1279067595302843</v>
      </c>
      <c r="V101" s="31">
        <f>Settings!$B$18*(N101-F$6)^2</f>
        <v>1.9976938074110172E-2</v>
      </c>
      <c r="W101" s="31">
        <f>Settings!$B$19*(O101-G$6)^2</f>
        <v>0.13763115863700937</v>
      </c>
      <c r="X101" s="31">
        <f>Settings!$B$20*(P101-H$6)^2</f>
        <v>7.9455295823043393E-2</v>
      </c>
      <c r="Y101" s="31">
        <f>Settings!$B$21*(Q101-I$6)^2</f>
        <v>3.2623256375814268E-4</v>
      </c>
      <c r="Z101" s="31">
        <f>Settings!$B$22*(R101-J$6)^2</f>
        <v>1.2105118664469124E-2</v>
      </c>
      <c r="AA101" s="31">
        <f>Settings!$B$23*(S101-K$6)^2</f>
        <v>0.40518250282433965</v>
      </c>
      <c r="AB101" s="31">
        <f>Settings!$B$24*(T101-L$6)^2</f>
        <v>0.34934031686411271</v>
      </c>
      <c r="AC101" s="31">
        <f>Settings!$B$25*(U101-M$6)^2</f>
        <v>2.9309197319024403</v>
      </c>
      <c r="AD101" s="19">
        <f t="shared" si="4"/>
        <v>1.9836676373206483</v>
      </c>
      <c r="AE101" s="15">
        <f t="shared" si="5"/>
        <v>0.78517161393652923</v>
      </c>
      <c r="AF101" s="33">
        <f t="shared" si="6"/>
        <v>0.7347336461291869</v>
      </c>
      <c r="AG101" s="47">
        <f t="shared" si="7"/>
        <v>3.169018525190595E-3</v>
      </c>
      <c r="AH101" s="18">
        <v>-1.8411004775092199</v>
      </c>
      <c r="AI101" s="46">
        <v>1</v>
      </c>
      <c r="AJ101" s="18">
        <v>-1.1503032134545761</v>
      </c>
      <c r="AK101" s="46">
        <v>1</v>
      </c>
      <c r="AL101" s="18">
        <v>0.61322816110138501</v>
      </c>
      <c r="AM101" s="46">
        <v>1</v>
      </c>
    </row>
    <row r="102" spans="1:39" ht="20" customHeight="1" x14ac:dyDescent="0.45">
      <c r="A102" s="26">
        <v>92</v>
      </c>
      <c r="B102" s="16" t="s">
        <v>297</v>
      </c>
      <c r="C102" s="16" t="s">
        <v>214</v>
      </c>
      <c r="D102" s="46">
        <v>28</v>
      </c>
      <c r="E102" s="46">
        <v>1</v>
      </c>
      <c r="F102" s="13">
        <v>0.1840207042728807</v>
      </c>
      <c r="G102" s="13">
        <v>-9.358942419665725E-2</v>
      </c>
      <c r="H102" s="13">
        <v>9.815945069202861E-2</v>
      </c>
      <c r="I102" s="13">
        <v>6.4679901292354221E-4</v>
      </c>
      <c r="J102" s="13">
        <v>0.62358362182550986</v>
      </c>
      <c r="K102" s="13">
        <v>18.224416135881079</v>
      </c>
      <c r="L102" s="13">
        <v>4.5177772095612836</v>
      </c>
      <c r="M102" s="13">
        <v>-3.1981370991363969</v>
      </c>
      <c r="N102" s="19">
        <f>(F102-Settings!$D$18)/Settings!$E$18</f>
        <v>-2.9711438823189978E-2</v>
      </c>
      <c r="O102" s="19">
        <f>(G102-Settings!$D$19)/Settings!$E$19</f>
        <v>-0.36223448296234478</v>
      </c>
      <c r="P102" s="19">
        <f>(H102-Settings!$D$20)/Settings!$E$20</f>
        <v>0.40800088837758602</v>
      </c>
      <c r="Q102" s="19">
        <f>(I102-Settings!$D$21)/Settings!$E$21</f>
        <v>4.4163010794457509E-2</v>
      </c>
      <c r="R102" s="19">
        <f>(J102-Settings!$D$22)/Settings!$E$22</f>
        <v>1.0108987863109282</v>
      </c>
      <c r="S102" s="19">
        <f>(K102-Settings!$D$23)/Settings!$E$23</f>
        <v>1.0311364382639578</v>
      </c>
      <c r="T102" s="19">
        <f>(L102-Settings!$D$24)/Settings!$E$24</f>
        <v>2.2189093282322689</v>
      </c>
      <c r="U102" s="19">
        <f>(M102-Settings!$D$25)/Settings!$E$25</f>
        <v>-2.1208890209033835</v>
      </c>
      <c r="V102" s="31">
        <f>Settings!$B$18*(N102-F$6)^2</f>
        <v>2.3475273853893638E-2</v>
      </c>
      <c r="W102" s="31">
        <f>Settings!$B$19*(O102-G$6)^2</f>
        <v>1.3647030105886755E-2</v>
      </c>
      <c r="X102" s="31">
        <f>Settings!$B$20*(P102-H$6)^2</f>
        <v>0.51809454291059032</v>
      </c>
      <c r="Y102" s="31">
        <f>Settings!$B$21*(Q102-I$6)^2</f>
        <v>1.3574344375571119E-5</v>
      </c>
      <c r="Z102" s="31">
        <f>Settings!$B$22*(R102-J$6)^2</f>
        <v>0.16291610754090824</v>
      </c>
      <c r="AA102" s="31">
        <f>Settings!$B$23*(S102-K$6)^2</f>
        <v>0.65771975658249593</v>
      </c>
      <c r="AB102" s="31">
        <f>Settings!$B$24*(T102-L$6)^2</f>
        <v>2.3165817794374037</v>
      </c>
      <c r="AC102" s="31">
        <f>Settings!$B$25*(U102-M$6)^2</f>
        <v>0.28815731919357346</v>
      </c>
      <c r="AD102" s="19">
        <f t="shared" si="4"/>
        <v>1.9951454543388878</v>
      </c>
      <c r="AE102" s="15">
        <f t="shared" si="5"/>
        <v>0.78971474200048852</v>
      </c>
      <c r="AF102" s="33">
        <f t="shared" si="6"/>
        <v>0.7321098654529995</v>
      </c>
      <c r="AG102" s="47">
        <f t="shared" si="7"/>
        <v>3.1577017580700474E-3</v>
      </c>
      <c r="AH102" s="48"/>
      <c r="AI102" s="48"/>
      <c r="AJ102" s="48"/>
      <c r="AK102" s="48"/>
      <c r="AL102" s="48"/>
      <c r="AM102" s="48"/>
    </row>
    <row r="103" spans="1:39" ht="20" customHeight="1" x14ac:dyDescent="0.45">
      <c r="A103" s="26">
        <v>93</v>
      </c>
      <c r="B103" s="16" t="s">
        <v>748</v>
      </c>
      <c r="C103" s="16" t="s">
        <v>220</v>
      </c>
      <c r="D103" s="46">
        <v>28</v>
      </c>
      <c r="E103" s="46">
        <v>1</v>
      </c>
      <c r="F103" s="13">
        <v>-7.3526094465091226E-3</v>
      </c>
      <c r="G103" s="13">
        <v>-0.121708658294182</v>
      </c>
      <c r="H103" s="13">
        <v>3.2609154510654513E-2</v>
      </c>
      <c r="I103" s="13">
        <v>6.510623286740189E-3</v>
      </c>
      <c r="J103" s="13">
        <v>0.83181895446191423</v>
      </c>
      <c r="K103" s="13">
        <v>12.608888888888879</v>
      </c>
      <c r="L103" s="13">
        <v>1.4668811709886771</v>
      </c>
      <c r="M103" s="13">
        <v>-1.134186676665069</v>
      </c>
      <c r="N103" s="19">
        <f>(F103-Settings!$D$18)/Settings!$E$18</f>
        <v>-0.71462459872867246</v>
      </c>
      <c r="O103" s="19">
        <f>(G103-Settings!$D$19)/Settings!$E$19</f>
        <v>-0.47938279618590185</v>
      </c>
      <c r="P103" s="19">
        <f>(H103-Settings!$D$20)/Settings!$E$20</f>
        <v>-0.18589740022767351</v>
      </c>
      <c r="Q103" s="19">
        <f>(I103-Settings!$D$21)/Settings!$E$21</f>
        <v>0.11627226128015607</v>
      </c>
      <c r="R103" s="19">
        <f>(J103-Settings!$D$22)/Settings!$E$22</f>
        <v>1.5711657526104257</v>
      </c>
      <c r="S103" s="19">
        <f>(K103-Settings!$D$23)/Settings!$E$23</f>
        <v>-0.9190070105831909</v>
      </c>
      <c r="T103" s="19">
        <f>(L103-Settings!$D$24)/Settings!$E$24</f>
        <v>0.10965801768834595</v>
      </c>
      <c r="U103" s="19">
        <f>(M103-Settings!$D$25)/Settings!$E$25</f>
        <v>-0.72893786873526245</v>
      </c>
      <c r="V103" s="31">
        <f>Settings!$B$18*(N103-F$6)^2</f>
        <v>0.21115762404579486</v>
      </c>
      <c r="W103" s="31">
        <f>Settings!$B$19*(O103-G$6)^2</f>
        <v>4.1512487941737942E-3</v>
      </c>
      <c r="X103" s="31">
        <f>Settings!$B$20*(P103-H$6)^2</f>
        <v>0.97098800245383898</v>
      </c>
      <c r="Y103" s="31">
        <f>Settings!$B$21*(Q103-I$6)^2</f>
        <v>1.2911499382577451E-3</v>
      </c>
      <c r="Z103" s="31">
        <f>Settings!$B$22*(R103-J$6)^2</f>
        <v>0.42796152034854401</v>
      </c>
      <c r="AA103" s="31">
        <f>Settings!$B$23*(S103-K$6)^2</f>
        <v>1.2976495435767159</v>
      </c>
      <c r="AB103" s="31">
        <f>Settings!$B$24*(T103-L$6)^2</f>
        <v>0.34482637576549691</v>
      </c>
      <c r="AC103" s="31">
        <f>Settings!$B$25*(U103-M$6)^2</f>
        <v>0.73127858775550447</v>
      </c>
      <c r="AD103" s="19">
        <f t="shared" si="4"/>
        <v>1.9973242232242432</v>
      </c>
      <c r="AE103" s="15">
        <f t="shared" si="5"/>
        <v>0.79057713822550324</v>
      </c>
      <c r="AF103" s="33">
        <f t="shared" si="6"/>
        <v>0.73161116190370323</v>
      </c>
      <c r="AG103" s="47">
        <f t="shared" si="7"/>
        <v>3.1555507734314313E-3</v>
      </c>
      <c r="AH103" s="18">
        <v>-1.147753259484545</v>
      </c>
      <c r="AI103" s="46">
        <v>1</v>
      </c>
      <c r="AJ103" s="18">
        <v>-0.29999600786891151</v>
      </c>
      <c r="AK103" s="46">
        <v>1</v>
      </c>
      <c r="AL103" s="18">
        <v>0.43773636258499288</v>
      </c>
      <c r="AM103" s="46">
        <v>1</v>
      </c>
    </row>
    <row r="104" spans="1:39" ht="20" customHeight="1" x14ac:dyDescent="0.45">
      <c r="A104" s="26">
        <v>94</v>
      </c>
      <c r="B104" s="16" t="s">
        <v>253</v>
      </c>
      <c r="C104" s="16" t="s">
        <v>246</v>
      </c>
      <c r="D104" s="46">
        <v>28</v>
      </c>
      <c r="E104" s="46">
        <v>1</v>
      </c>
      <c r="F104" s="13">
        <v>0.44967251630880328</v>
      </c>
      <c r="G104" s="13">
        <v>-0.1494843845550427</v>
      </c>
      <c r="H104" s="13">
        <v>0.23068820847724</v>
      </c>
      <c r="I104" s="13">
        <v>-1.321041777889306E-2</v>
      </c>
      <c r="J104" s="13">
        <v>0.156944472880021</v>
      </c>
      <c r="K104" s="13">
        <v>18.261594202898511</v>
      </c>
      <c r="L104" s="13">
        <v>1.7692455169703529</v>
      </c>
      <c r="M104" s="13">
        <v>0.18553385946041459</v>
      </c>
      <c r="N104" s="19">
        <f>(F104-Settings!$D$18)/Settings!$E$18</f>
        <v>0.92103983615829199</v>
      </c>
      <c r="O104" s="19">
        <f>(G104-Settings!$D$19)/Settings!$E$19</f>
        <v>-0.59510001197968188</v>
      </c>
      <c r="P104" s="19">
        <f>(H104-Settings!$D$20)/Settings!$E$20</f>
        <v>1.6087369189492193</v>
      </c>
      <c r="Q104" s="19">
        <f>(I104-Settings!$D$21)/Settings!$E$21</f>
        <v>-0.12624344581399577</v>
      </c>
      <c r="R104" s="19">
        <f>(J104-Settings!$D$22)/Settings!$E$22</f>
        <v>-0.24461581357096654</v>
      </c>
      <c r="S104" s="19">
        <f>(K104-Settings!$D$23)/Settings!$E$23</f>
        <v>1.0440475257978452</v>
      </c>
      <c r="T104" s="19">
        <f>(L104-Settings!$D$24)/Settings!$E$24</f>
        <v>0.3186990289061486</v>
      </c>
      <c r="U104" s="19">
        <f>(M104-Settings!$D$25)/Settings!$E$25</f>
        <v>0.16109635921883286</v>
      </c>
      <c r="V104" s="31">
        <f>Settings!$B$18*(N104-F$6)^2</f>
        <v>7.3969023330642328E-2</v>
      </c>
      <c r="W104" s="31">
        <f>Settings!$B$19*(O104-G$6)^2</f>
        <v>1.6077918666934242E-4</v>
      </c>
      <c r="X104" s="31">
        <f>Settings!$B$20*(P104-H$6)^2</f>
        <v>3.3416705851121879E-2</v>
      </c>
      <c r="Y104" s="31">
        <f>Settings!$B$21*(Q104-I$6)^2</f>
        <v>5.2596937983230684E-3</v>
      </c>
      <c r="Z104" s="31">
        <f>Settings!$B$22*(R104-J$6)^2</f>
        <v>2.4918050461696414E-2</v>
      </c>
      <c r="AA104" s="31">
        <f>Settings!$B$23*(S104-K$6)^2</f>
        <v>0.67882821694860274</v>
      </c>
      <c r="AB104" s="31">
        <f>Settings!$B$24*(T104-L$6)^2</f>
        <v>0.14301873404483811</v>
      </c>
      <c r="AC104" s="31">
        <f>Settings!$B$25*(U104-M$6)^2</f>
        <v>3.0456620002903212</v>
      </c>
      <c r="AD104" s="19">
        <f t="shared" si="4"/>
        <v>2.0013078733448819</v>
      </c>
      <c r="AE104" s="15">
        <f t="shared" si="5"/>
        <v>0.7921539391652036</v>
      </c>
      <c r="AF104" s="33">
        <f t="shared" si="6"/>
        <v>0.73069880787670272</v>
      </c>
      <c r="AG104" s="47">
        <f t="shared" si="7"/>
        <v>3.1516156510529628E-3</v>
      </c>
      <c r="AH104" s="18">
        <v>0.89900390944992692</v>
      </c>
      <c r="AI104" s="46">
        <v>1</v>
      </c>
      <c r="AJ104" s="48"/>
      <c r="AK104" s="48"/>
      <c r="AL104" s="48"/>
      <c r="AM104" s="48"/>
    </row>
    <row r="105" spans="1:39" ht="20" customHeight="1" x14ac:dyDescent="0.45">
      <c r="A105" s="26">
        <v>95</v>
      </c>
      <c r="B105" s="16" t="s">
        <v>280</v>
      </c>
      <c r="C105" s="16" t="s">
        <v>246</v>
      </c>
      <c r="D105" s="46">
        <v>28</v>
      </c>
      <c r="E105" s="46">
        <v>1</v>
      </c>
      <c r="F105" s="13">
        <v>0.26482818503527239</v>
      </c>
      <c r="G105" s="13">
        <v>2.4108762212934089E-2</v>
      </c>
      <c r="H105" s="13">
        <v>8.7317443166541026E-2</v>
      </c>
      <c r="I105" s="13">
        <v>-3.7272483922081753E-2</v>
      </c>
      <c r="J105" s="13">
        <v>0.58647312566317067</v>
      </c>
      <c r="K105" s="13">
        <v>19.648333333333291</v>
      </c>
      <c r="L105" s="13">
        <v>3.6924440297081289</v>
      </c>
      <c r="M105" s="13">
        <v>-1.2793180005704221</v>
      </c>
      <c r="N105" s="19">
        <f>(F105-Settings!$D$18)/Settings!$E$18</f>
        <v>0.25949349742055938</v>
      </c>
      <c r="O105" s="19">
        <f>(G105-Settings!$D$19)/Settings!$E$19</f>
        <v>0.1281111629942476</v>
      </c>
      <c r="P105" s="19">
        <f>(H105-Settings!$D$20)/Settings!$E$20</f>
        <v>0.30977021529846033</v>
      </c>
      <c r="Q105" s="19">
        <f>(I105-Settings!$D$21)/Settings!$E$21</f>
        <v>-0.42214207334795145</v>
      </c>
      <c r="R105" s="19">
        <f>(J105-Settings!$D$22)/Settings!$E$22</f>
        <v>0.9110512492022903</v>
      </c>
      <c r="S105" s="19">
        <f>(K105-Settings!$D$23)/Settings!$E$23</f>
        <v>1.5256301290922878</v>
      </c>
      <c r="T105" s="19">
        <f>(L105-Settings!$D$24)/Settings!$E$24</f>
        <v>1.6483113566097687</v>
      </c>
      <c r="U105" s="19">
        <f>(M105-Settings!$D$25)/Settings!$E$25</f>
        <v>-0.82681604997754821</v>
      </c>
      <c r="V105" s="31">
        <f>Settings!$B$18*(N105-F$6)^2</f>
        <v>5.702567293694483E-4</v>
      </c>
      <c r="W105" s="31">
        <f>Settings!$B$19*(O105-G$6)^2</f>
        <v>0.11296975944478552</v>
      </c>
      <c r="X105" s="31">
        <f>Settings!$B$20*(P105-H$6)^2</f>
        <v>0.58326508922132514</v>
      </c>
      <c r="Y105" s="31">
        <f>Settings!$B$21*(Q105-I$6)^2</f>
        <v>4.1965012005141883E-2</v>
      </c>
      <c r="Z105" s="31">
        <f>Settings!$B$22*(R105-J$6)^2</f>
        <v>0.12886340906052293</v>
      </c>
      <c r="AA105" s="31">
        <f>Settings!$B$23*(S105-K$6)^2</f>
        <v>1.7043117752216781</v>
      </c>
      <c r="AB105" s="31">
        <f>Settings!$B$24*(T105-L$6)^2</f>
        <v>0.90522694190293895</v>
      </c>
      <c r="AC105" s="31">
        <f>Settings!$B$25*(U105-M$6)^2</f>
        <v>0.57345800864346164</v>
      </c>
      <c r="AD105" s="19">
        <f t="shared" si="4"/>
        <v>2.0126177610836153</v>
      </c>
      <c r="AE105" s="15">
        <f t="shared" si="5"/>
        <v>0.79663059777584511</v>
      </c>
      <c r="AF105" s="33">
        <f t="shared" si="6"/>
        <v>0.72810489497823527</v>
      </c>
      <c r="AG105" s="47">
        <f t="shared" si="7"/>
        <v>3.1404277082232304E-3</v>
      </c>
      <c r="AH105" s="18">
        <v>-0.32615523409328961</v>
      </c>
      <c r="AI105" s="46">
        <v>1</v>
      </c>
      <c r="AJ105" s="48"/>
      <c r="AK105" s="48"/>
      <c r="AL105" s="48"/>
      <c r="AM105" s="48"/>
    </row>
    <row r="106" spans="1:39" ht="20" customHeight="1" x14ac:dyDescent="0.45">
      <c r="A106" s="26">
        <v>96</v>
      </c>
      <c r="B106" s="16" t="s">
        <v>556</v>
      </c>
      <c r="C106" s="16" t="s">
        <v>229</v>
      </c>
      <c r="D106" s="46">
        <v>28</v>
      </c>
      <c r="E106" s="46">
        <v>1</v>
      </c>
      <c r="F106" s="13">
        <v>-3.7337412491602349E-2</v>
      </c>
      <c r="G106" s="13">
        <v>8.7191295309161088E-2</v>
      </c>
      <c r="H106" s="13">
        <v>-3.0251719224284688E-3</v>
      </c>
      <c r="I106" s="13">
        <v>1.6824473123881311E-2</v>
      </c>
      <c r="J106" s="13">
        <v>0.85562164715292666</v>
      </c>
      <c r="K106" s="13">
        <v>13.40881226053639</v>
      </c>
      <c r="L106" s="13">
        <v>0.80843959224820772</v>
      </c>
      <c r="M106" s="13">
        <v>-2.2523810417831061</v>
      </c>
      <c r="N106" s="19">
        <f>(F106-Settings!$D$18)/Settings!$E$18</f>
        <v>-0.82193833962397644</v>
      </c>
      <c r="O106" s="19">
        <f>(G106-Settings!$D$19)/Settings!$E$19</f>
        <v>0.3909210361387912</v>
      </c>
      <c r="P106" s="19">
        <f>(H106-Settings!$D$20)/Settings!$E$20</f>
        <v>-0.50875125012717382</v>
      </c>
      <c r="Q106" s="19">
        <f>(I106-Settings!$D$21)/Settings!$E$21</f>
        <v>0.24310484470172833</v>
      </c>
      <c r="R106" s="19">
        <f>(J106-Settings!$D$22)/Settings!$E$22</f>
        <v>1.6352080179402881</v>
      </c>
      <c r="S106" s="19">
        <f>(K106-Settings!$D$23)/Settings!$E$23</f>
        <v>-0.64121202283138745</v>
      </c>
      <c r="T106" s="19">
        <f>(L106-Settings!$D$24)/Settings!$E$24</f>
        <v>-0.34555866138431035</v>
      </c>
      <c r="U106" s="19">
        <f>(M106-Settings!$D$25)/Settings!$E$25</f>
        <v>-1.4830606024636568</v>
      </c>
      <c r="V106" s="31">
        <f>Settings!$B$18*(N106-F$6)^2</f>
        <v>0.25756748506125177</v>
      </c>
      <c r="W106" s="31">
        <f>Settings!$B$19*(O106-G$6)^2</f>
        <v>0.20579096568599484</v>
      </c>
      <c r="X106" s="31">
        <f>Settings!$B$20*(P106-H$6)^2</f>
        <v>1.2763844687705914</v>
      </c>
      <c r="Y106" s="31">
        <f>Settings!$B$21*(Q106-I$6)^2</f>
        <v>8.5847323153952007E-3</v>
      </c>
      <c r="Z106" s="31">
        <f>Settings!$B$22*(R106-J$6)^2</f>
        <v>0.46625442104817411</v>
      </c>
      <c r="AA106" s="31">
        <f>Settings!$B$23*(S106-K$6)^2</f>
        <v>0.74192249204381822</v>
      </c>
      <c r="AB106" s="31">
        <f>Settings!$B$24*(T106-L$6)^2</f>
        <v>1.086672538752689</v>
      </c>
      <c r="AC106" s="31">
        <f>Settings!$B$25*(U106-M$6)^2</f>
        <v>1.0206161822726767E-2</v>
      </c>
      <c r="AD106" s="19">
        <f t="shared" si="4"/>
        <v>2.0133015833452874</v>
      </c>
      <c r="AE106" s="15">
        <f t="shared" si="5"/>
        <v>0.79690126702443354</v>
      </c>
      <c r="AF106" s="33">
        <f t="shared" si="6"/>
        <v>0.7279478887807993</v>
      </c>
      <c r="AG106" s="47">
        <f t="shared" si="7"/>
        <v>3.139750516494138E-3</v>
      </c>
      <c r="AH106" s="48"/>
      <c r="AI106" s="48"/>
      <c r="AJ106" s="48"/>
      <c r="AK106" s="48"/>
      <c r="AL106" s="18">
        <v>-0.93749639531252538</v>
      </c>
      <c r="AM106" s="46">
        <v>1</v>
      </c>
    </row>
    <row r="107" spans="1:39" ht="20" customHeight="1" x14ac:dyDescent="0.45">
      <c r="A107" s="26">
        <v>97</v>
      </c>
      <c r="B107" s="16" t="s">
        <v>537</v>
      </c>
      <c r="C107" s="16" t="s">
        <v>260</v>
      </c>
      <c r="D107" s="46">
        <v>28</v>
      </c>
      <c r="E107" s="46">
        <v>1</v>
      </c>
      <c r="F107" s="13">
        <v>9.9918021198772307E-3</v>
      </c>
      <c r="G107" s="13">
        <v>-9.3523295418204404E-3</v>
      </c>
      <c r="H107" s="13">
        <v>-3.3832270247163593E-2</v>
      </c>
      <c r="I107" s="13">
        <v>-6.9529355853581703E-4</v>
      </c>
      <c r="J107" s="13">
        <v>0.94612830453260299</v>
      </c>
      <c r="K107" s="13">
        <v>13.5075</v>
      </c>
      <c r="L107" s="13">
        <v>0.97640663011509821</v>
      </c>
      <c r="M107" s="13">
        <v>-2.063493841541757</v>
      </c>
      <c r="N107" s="19">
        <f>(F107-Settings!$D$18)/Settings!$E$18</f>
        <v>-0.65255003095453834</v>
      </c>
      <c r="O107" s="19">
        <f>(G107-Settings!$D$19)/Settings!$E$19</f>
        <v>-1.1292010082689935E-2</v>
      </c>
      <c r="P107" s="19">
        <f>(H107-Settings!$D$20)/Settings!$E$20</f>
        <v>-0.78786948509791044</v>
      </c>
      <c r="Q107" s="19">
        <f>(I107-Settings!$D$21)/Settings!$E$21</f>
        <v>2.7658885689192753E-2</v>
      </c>
      <c r="R107" s="19">
        <f>(J107-Settings!$D$22)/Settings!$E$22</f>
        <v>1.8787204407266715</v>
      </c>
      <c r="S107" s="19">
        <f>(K107-Settings!$D$23)/Settings!$E$23</f>
        <v>-0.60694004085505981</v>
      </c>
      <c r="T107" s="19">
        <f>(L107-Settings!$D$24)/Settings!$E$24</f>
        <v>-0.22943386058163362</v>
      </c>
      <c r="U107" s="19">
        <f>(M107-Settings!$D$25)/Settings!$E$25</f>
        <v>-1.3556729708891833</v>
      </c>
      <c r="V107" s="31">
        <f>Settings!$B$18*(N107-F$6)^2</f>
        <v>0.18641524200986787</v>
      </c>
      <c r="W107" s="31">
        <f>Settings!$B$19*(O107-G$6)^2</f>
        <v>7.4948232803683443E-2</v>
      </c>
      <c r="X107" s="31">
        <f>Settings!$B$20*(P107-H$6)^2</f>
        <v>1.5740144735876864</v>
      </c>
      <c r="Y107" s="31">
        <f>Settings!$B$21*(Q107-I$6)^2</f>
        <v>1.3664344516673233E-5</v>
      </c>
      <c r="Z107" s="31">
        <f>Settings!$B$22*(R107-J$6)^2</f>
        <v>0.62683689587729574</v>
      </c>
      <c r="AA107" s="31">
        <f>Settings!$B$23*(S107-K$6)^2</f>
        <v>0.68405677037890711</v>
      </c>
      <c r="AB107" s="31">
        <f>Settings!$B$24*(T107-L$6)^2</f>
        <v>0.85805219308764014</v>
      </c>
      <c r="AC107" s="31">
        <f>Settings!$B$25*(U107-M$6)^2</f>
        <v>5.2172581675068309E-2</v>
      </c>
      <c r="AD107" s="19">
        <f t="shared" si="4"/>
        <v>2.0140779661583772</v>
      </c>
      <c r="AE107" s="15">
        <f t="shared" si="5"/>
        <v>0.79720857341735807</v>
      </c>
      <c r="AF107" s="33">
        <f t="shared" si="6"/>
        <v>0.72776960700721471</v>
      </c>
      <c r="AG107" s="47">
        <f t="shared" si="7"/>
        <v>3.1389815599529892E-3</v>
      </c>
      <c r="AH107" s="48"/>
      <c r="AI107" s="48"/>
      <c r="AJ107" s="48"/>
      <c r="AK107" s="48"/>
      <c r="AL107" s="48"/>
      <c r="AM107" s="48"/>
    </row>
    <row r="108" spans="1:39" ht="20" customHeight="1" x14ac:dyDescent="0.45">
      <c r="A108" s="26">
        <v>98</v>
      </c>
      <c r="B108" s="16" t="s">
        <v>620</v>
      </c>
      <c r="C108" s="16" t="s">
        <v>224</v>
      </c>
      <c r="D108" s="46">
        <v>28</v>
      </c>
      <c r="E108" s="46">
        <v>0</v>
      </c>
      <c r="F108" s="13">
        <v>0.25129684368360911</v>
      </c>
      <c r="G108" s="13">
        <v>0.30105460629308689</v>
      </c>
      <c r="H108" s="13">
        <v>9.2762310135084833E-2</v>
      </c>
      <c r="I108" s="13">
        <v>2.2861537187900669E-3</v>
      </c>
      <c r="J108" s="13">
        <v>0.35260008616942923</v>
      </c>
      <c r="K108" s="13">
        <v>12.99518518518518</v>
      </c>
      <c r="L108" s="13">
        <v>1.1223347309626781</v>
      </c>
      <c r="M108" s="13">
        <v>-0.84483728324875307</v>
      </c>
      <c r="N108" s="19">
        <f>(F108-Settings!$D$18)/Settings!$E$18</f>
        <v>0.21106567024442152</v>
      </c>
      <c r="O108" s="19">
        <f>(G108-Settings!$D$19)/Settings!$E$19</f>
        <v>1.2819028479221117</v>
      </c>
      <c r="P108" s="19">
        <f>(H108-Settings!$D$20)/Settings!$E$20</f>
        <v>0.35910175707142211</v>
      </c>
      <c r="Q108" s="19">
        <f>(I108-Settings!$D$21)/Settings!$E$21</f>
        <v>6.432265978804777E-2</v>
      </c>
      <c r="R108" s="19">
        <f>(J108-Settings!$D$22)/Settings!$E$22</f>
        <v>0.28180482556489361</v>
      </c>
      <c r="S108" s="19">
        <f>(K108-Settings!$D$23)/Settings!$E$23</f>
        <v>-0.7848551921694078</v>
      </c>
      <c r="T108" s="19">
        <f>(L108-Settings!$D$24)/Settings!$E$24</f>
        <v>-0.12854578243461467</v>
      </c>
      <c r="U108" s="19">
        <f>(M108-Settings!$D$25)/Settings!$E$25</f>
        <v>-0.53379741518564083</v>
      </c>
      <c r="V108" s="31">
        <f>Settings!$B$18*(N108-F$6)^2</f>
        <v>2.0736758813577911E-3</v>
      </c>
      <c r="W108" s="31">
        <f>Settings!$B$19*(O108-G$6)^2</f>
        <v>0.72607623525239851</v>
      </c>
      <c r="X108" s="31">
        <f>Settings!$B$20*(P108-H$6)^2</f>
        <v>0.55005392210294768</v>
      </c>
      <c r="Y108" s="31">
        <f>Settings!$B$21*(Q108-I$6)^2</f>
        <v>1.6129017328833423E-4</v>
      </c>
      <c r="Z108" s="31">
        <f>Settings!$B$22*(R108-J$6)^2</f>
        <v>6.0167858864131757E-3</v>
      </c>
      <c r="AA108" s="31">
        <f>Settings!$B$23*(S108-K$6)^2</f>
        <v>1.0100097180860617</v>
      </c>
      <c r="AB108" s="31">
        <f>Settings!$B$24*(T108-L$6)^2</f>
        <v>0.68132311074170604</v>
      </c>
      <c r="AC108" s="31">
        <f>Settings!$B$25*(U108-M$6)^2</f>
        <v>1.1031064323800006</v>
      </c>
      <c r="AD108" s="19">
        <f t="shared" si="4"/>
        <v>2.019609162809521</v>
      </c>
      <c r="AE108" s="15">
        <f t="shared" si="5"/>
        <v>0.79939792133021959</v>
      </c>
      <c r="AF108" s="33">
        <f t="shared" si="6"/>
        <v>0.72649874871980447</v>
      </c>
      <c r="AG108" s="47">
        <f t="shared" si="7"/>
        <v>3.1335001538993633E-3</v>
      </c>
      <c r="AH108" s="18">
        <v>-0.93091497719361538</v>
      </c>
      <c r="AI108" s="46">
        <v>0</v>
      </c>
      <c r="AJ108" s="18">
        <v>-0.37502323576175262</v>
      </c>
      <c r="AK108" s="46">
        <v>0</v>
      </c>
      <c r="AL108" s="18">
        <v>-4.3885964664068723E-2</v>
      </c>
      <c r="AM108" s="46">
        <v>1</v>
      </c>
    </row>
    <row r="109" spans="1:39" ht="20" customHeight="1" x14ac:dyDescent="0.45">
      <c r="A109" s="26">
        <v>99</v>
      </c>
      <c r="B109" s="16" t="s">
        <v>364</v>
      </c>
      <c r="C109" s="16" t="s">
        <v>260</v>
      </c>
      <c r="D109" s="46">
        <v>28</v>
      </c>
      <c r="E109" s="46">
        <v>1</v>
      </c>
      <c r="F109" s="13">
        <v>0.56162063891966163</v>
      </c>
      <c r="G109" s="13">
        <v>-0.14074790939453119</v>
      </c>
      <c r="H109" s="13">
        <v>7.4862331192677364E-2</v>
      </c>
      <c r="I109" s="13">
        <v>-7.5232744860504304E-5</v>
      </c>
      <c r="J109" s="13">
        <v>-0.22269388774826951</v>
      </c>
      <c r="K109" s="13">
        <v>15.170238095238091</v>
      </c>
      <c r="L109" s="13">
        <v>0.98722377059915589</v>
      </c>
      <c r="M109" s="13">
        <v>-0.33517951313090077</v>
      </c>
      <c r="N109" s="19">
        <f>(F109-Settings!$D$18)/Settings!$E$18</f>
        <v>1.3216951883215375</v>
      </c>
      <c r="O109" s="19">
        <f>(G109-Settings!$D$19)/Settings!$E$19</f>
        <v>-0.55870274294227518</v>
      </c>
      <c r="P109" s="19">
        <f>(H109-Settings!$D$20)/Settings!$E$20</f>
        <v>0.19692450572001363</v>
      </c>
      <c r="Q109" s="19">
        <f>(I109-Settings!$D$21)/Settings!$E$21</f>
        <v>3.5283964211639152E-2</v>
      </c>
      <c r="R109" s="19">
        <f>(J109-Settings!$D$22)/Settings!$E$22</f>
        <v>-1.2660506964374405</v>
      </c>
      <c r="S109" s="19">
        <f>(K109-Settings!$D$23)/Settings!$E$23</f>
        <v>-2.9509345400070233E-2</v>
      </c>
      <c r="T109" s="19">
        <f>(L109-Settings!$D$24)/Settings!$E$24</f>
        <v>-0.2219553796849161</v>
      </c>
      <c r="U109" s="19">
        <f>(M109-Settings!$D$25)/Settings!$E$25</f>
        <v>-0.19007853870335709</v>
      </c>
      <c r="V109" s="31">
        <f>Settings!$B$18*(N109-F$6)^2</f>
        <v>0.2035372144801261</v>
      </c>
      <c r="W109" s="31">
        <f>Settings!$B$19*(O109-G$6)^2</f>
        <v>8.3852098645680734E-4</v>
      </c>
      <c r="X109" s="31">
        <f>Settings!$B$20*(P109-H$6)^2</f>
        <v>0.6628957059939351</v>
      </c>
      <c r="Y109" s="31">
        <f>Settings!$B$21*(Q109-I$6)^2</f>
        <v>8.207802989829394E-8</v>
      </c>
      <c r="Z109" s="31">
        <f>Settings!$B$22*(R109-J$6)^2</f>
        <v>0.37779964990043091</v>
      </c>
      <c r="AA109" s="31">
        <f>Settings!$B$23*(S109-K$6)^2</f>
        <v>6.2323400056541814E-2</v>
      </c>
      <c r="AB109" s="31">
        <f>Settings!$B$24*(T109-L$6)^2</f>
        <v>0.84425332152426225</v>
      </c>
      <c r="AC109" s="31">
        <f>Settings!$B$25*(U109-M$6)^2</f>
        <v>1.9432572281865397</v>
      </c>
      <c r="AD109" s="19">
        <f t="shared" si="4"/>
        <v>2.0235871918961936</v>
      </c>
      <c r="AE109" s="15">
        <f t="shared" si="5"/>
        <v>0.8009724973627691</v>
      </c>
      <c r="AF109" s="33">
        <f t="shared" si="6"/>
        <v>0.72558397124888219</v>
      </c>
      <c r="AG109" s="47">
        <f t="shared" si="7"/>
        <v>3.1295545788368189E-3</v>
      </c>
      <c r="AH109" s="18">
        <v>0.45246847900615073</v>
      </c>
      <c r="AI109" s="46">
        <v>1</v>
      </c>
      <c r="AJ109" s="18">
        <v>1.4614943540634691</v>
      </c>
      <c r="AK109" s="46">
        <v>1</v>
      </c>
      <c r="AL109" s="18">
        <v>-0.1159707669546028</v>
      </c>
      <c r="AM109" s="46">
        <v>1</v>
      </c>
    </row>
    <row r="110" spans="1:39" ht="20" customHeight="1" x14ac:dyDescent="0.45">
      <c r="A110" s="26">
        <v>100</v>
      </c>
      <c r="B110" s="16" t="s">
        <v>381</v>
      </c>
      <c r="C110" s="16" t="s">
        <v>232</v>
      </c>
      <c r="D110" s="46">
        <v>28</v>
      </c>
      <c r="E110" s="46">
        <v>0</v>
      </c>
      <c r="F110" s="13">
        <v>2.01832345224764E-2</v>
      </c>
      <c r="G110" s="13">
        <v>-3.3398369302055199E-3</v>
      </c>
      <c r="H110" s="13">
        <v>0.19550575903222769</v>
      </c>
      <c r="I110" s="13">
        <v>1.1110295403102481E-3</v>
      </c>
      <c r="J110" s="13">
        <v>0.77986013997478021</v>
      </c>
      <c r="K110" s="13">
        <v>17.260000000000002</v>
      </c>
      <c r="L110" s="13">
        <v>2.5414958617248442</v>
      </c>
      <c r="M110" s="13">
        <v>0.22938980146216401</v>
      </c>
      <c r="N110" s="19">
        <f>(F110-Settings!$D$18)/Settings!$E$18</f>
        <v>-0.61607552970269497</v>
      </c>
      <c r="O110" s="19">
        <f>(G110-Settings!$D$19)/Settings!$E$19</f>
        <v>1.3756800467302583E-2</v>
      </c>
      <c r="P110" s="19">
        <f>(H110-Settings!$D$20)/Settings!$E$20</f>
        <v>1.2899771614567572</v>
      </c>
      <c r="Q110" s="19">
        <f>(I110-Settings!$D$21)/Settings!$E$21</f>
        <v>4.9871796361567876E-2</v>
      </c>
      <c r="R110" s="19">
        <f>(J110-Settings!$D$22)/Settings!$E$22</f>
        <v>1.4313681159814164</v>
      </c>
      <c r="S110" s="19">
        <f>(K110-Settings!$D$23)/Settings!$E$23</f>
        <v>0.69621689702972467</v>
      </c>
      <c r="T110" s="19">
        <f>(L110-Settings!$D$24)/Settings!$E$24</f>
        <v>0.85259793307972076</v>
      </c>
      <c r="U110" s="19">
        <f>(M110-Settings!$D$25)/Settings!$E$25</f>
        <v>0.19067329495048629</v>
      </c>
      <c r="V110" s="31">
        <f>Settings!$B$18*(N110-F$6)^2</f>
        <v>0.17259572913759863</v>
      </c>
      <c r="W110" s="31">
        <f>Settings!$B$19*(O110-G$6)^2</f>
        <v>8.1207283958108362E-2</v>
      </c>
      <c r="X110" s="31">
        <f>Settings!$B$20*(P110-H$6)^2</f>
        <v>0.1058565693806189</v>
      </c>
      <c r="Y110" s="31">
        <f>Settings!$B$21*(Q110-I$6)^2</f>
        <v>3.8904962049351613E-5</v>
      </c>
      <c r="Z110" s="31">
        <f>Settings!$B$22*(R110-J$6)^2</f>
        <v>0.35007134887191532</v>
      </c>
      <c r="AA110" s="31">
        <f>Settings!$B$23*(S110-K$6)^2</f>
        <v>0.22665187329682404</v>
      </c>
      <c r="AB110" s="31">
        <f>Settings!$B$24*(T110-L$6)^2</f>
        <v>2.424894467143256E-2</v>
      </c>
      <c r="AC110" s="31">
        <f>Settings!$B$25*(U110-M$6)^2</f>
        <v>3.1497710974141446</v>
      </c>
      <c r="AD110" s="19">
        <f t="shared" si="4"/>
        <v>2.0274224403642895</v>
      </c>
      <c r="AE110" s="15">
        <f t="shared" si="5"/>
        <v>0.80249055823793158</v>
      </c>
      <c r="AF110" s="33">
        <f t="shared" si="6"/>
        <v>0.72470141667131494</v>
      </c>
      <c r="AG110" s="47">
        <f t="shared" si="7"/>
        <v>3.1257479860388204E-3</v>
      </c>
      <c r="AH110" s="18">
        <v>-1.1208881037936851</v>
      </c>
      <c r="AI110" s="46">
        <v>0</v>
      </c>
      <c r="AJ110" s="18">
        <v>-0.86612501217575522</v>
      </c>
      <c r="AK110" s="46">
        <v>0</v>
      </c>
      <c r="AL110" s="18">
        <v>-0.69049790384857723</v>
      </c>
      <c r="AM110" s="46">
        <v>0</v>
      </c>
    </row>
    <row r="111" spans="1:39" ht="20" customHeight="1" x14ac:dyDescent="0.45">
      <c r="A111" s="26">
        <v>101</v>
      </c>
      <c r="B111" s="16" t="s">
        <v>749</v>
      </c>
      <c r="C111" s="16" t="s">
        <v>260</v>
      </c>
      <c r="D111" s="46">
        <v>28</v>
      </c>
      <c r="E111" s="46">
        <v>1</v>
      </c>
      <c r="F111" s="13">
        <v>0.37800709265584198</v>
      </c>
      <c r="G111" s="13">
        <v>-0.30106825023856709</v>
      </c>
      <c r="H111" s="13">
        <v>0.13132394722213939</v>
      </c>
      <c r="I111" s="13">
        <v>-2.7231698686004161E-5</v>
      </c>
      <c r="J111" s="13">
        <v>-0.18957347818476539</v>
      </c>
      <c r="K111" s="13">
        <v>14.26391752577319</v>
      </c>
      <c r="L111" s="13">
        <v>6.3034121440411206E-2</v>
      </c>
      <c r="M111" s="13">
        <v>-1.253065909119256</v>
      </c>
      <c r="N111" s="19">
        <f>(F111-Settings!$D$18)/Settings!$E$18</f>
        <v>0.66455375240845715</v>
      </c>
      <c r="O111" s="19">
        <f>(G111-Settings!$D$19)/Settings!$E$19</f>
        <v>-1.2266177167344599</v>
      </c>
      <c r="P111" s="19">
        <f>(H111-Settings!$D$20)/Settings!$E$20</f>
        <v>0.70847760441238727</v>
      </c>
      <c r="Q111" s="19">
        <f>(I111-Settings!$D$21)/Settings!$E$21</f>
        <v>3.5874247838934781E-2</v>
      </c>
      <c r="R111" s="19">
        <f>(J111-Settings!$D$22)/Settings!$E$22</f>
        <v>-1.1769386751785793</v>
      </c>
      <c r="S111" s="19">
        <f>(K111-Settings!$D$23)/Settings!$E$23</f>
        <v>-0.34425363268744508</v>
      </c>
      <c r="T111" s="19">
        <f>(L111-Settings!$D$24)/Settings!$E$24</f>
        <v>-0.86089823582734737</v>
      </c>
      <c r="U111" s="19">
        <f>(M111-Settings!$D$25)/Settings!$E$25</f>
        <v>-0.80911134712014166</v>
      </c>
      <c r="V111" s="31">
        <f>Settings!$B$18*(N111-F$6)^2</f>
        <v>2.473335097689058E-2</v>
      </c>
      <c r="W111" s="31">
        <f>Settings!$B$19*(O111-G$6)^2</f>
        <v>7.276151806836767E-2</v>
      </c>
      <c r="X111" s="31">
        <f>Settings!$B$20*(P111-H$6)^2</f>
        <v>0.34270553924099878</v>
      </c>
      <c r="Y111" s="31">
        <f>Settings!$B$21*(Q111-I$6)^2</f>
        <v>5.066898198816999E-10</v>
      </c>
      <c r="Z111" s="31">
        <f>Settings!$B$22*(R111-J$6)^2</f>
        <v>0.33039731874313483</v>
      </c>
      <c r="AA111" s="31">
        <f>Settings!$B$23*(S111-K$6)^2</f>
        <v>0.31853701750702734</v>
      </c>
      <c r="AB111" s="31">
        <f>Settings!$B$24*(T111-L$6)^2</f>
        <v>2.4266643288690539</v>
      </c>
      <c r="AC111" s="31">
        <f>Settings!$B$25*(U111-M$6)^2</f>
        <v>0.60058594945361365</v>
      </c>
      <c r="AD111" s="19">
        <f t="shared" si="4"/>
        <v>2.0288876320205058</v>
      </c>
      <c r="AE111" s="15">
        <f t="shared" si="5"/>
        <v>0.80307050765878907</v>
      </c>
      <c r="AF111" s="33">
        <f t="shared" si="6"/>
        <v>0.72436409443714789</v>
      </c>
      <c r="AG111" s="47">
        <f t="shared" si="7"/>
        <v>3.1242930636806764E-3</v>
      </c>
      <c r="AH111" s="48"/>
      <c r="AI111" s="48"/>
      <c r="AJ111" s="48"/>
      <c r="AK111" s="48"/>
      <c r="AL111" s="48"/>
      <c r="AM111" s="48"/>
    </row>
    <row r="112" spans="1:39" ht="20" customHeight="1" x14ac:dyDescent="0.45">
      <c r="A112" s="26">
        <v>102</v>
      </c>
      <c r="B112" s="16" t="s">
        <v>490</v>
      </c>
      <c r="C112" s="16" t="s">
        <v>246</v>
      </c>
      <c r="D112" s="46">
        <v>28</v>
      </c>
      <c r="E112" s="46">
        <v>1</v>
      </c>
      <c r="F112" s="13">
        <v>0.17073797181524011</v>
      </c>
      <c r="G112" s="13">
        <v>-0.15101567620361731</v>
      </c>
      <c r="H112" s="13">
        <v>0.12506245410621669</v>
      </c>
      <c r="I112" s="13">
        <v>-1.7952463642197389E-5</v>
      </c>
      <c r="J112" s="13">
        <v>0.5531659454112835</v>
      </c>
      <c r="K112" s="13">
        <v>18.97921940928272</v>
      </c>
      <c r="L112" s="13">
        <v>4.2599999415437182</v>
      </c>
      <c r="M112" s="13">
        <v>-1.1901463841168181</v>
      </c>
      <c r="N112" s="19">
        <f>(F112-Settings!$D$18)/Settings!$E$18</f>
        <v>-7.7249510265488319E-2</v>
      </c>
      <c r="O112" s="19">
        <f>(G112-Settings!$D$19)/Settings!$E$19</f>
        <v>-0.60147956816039683</v>
      </c>
      <c r="P112" s="19">
        <f>(H112-Settings!$D$20)/Settings!$E$20</f>
        <v>0.65174727270845889</v>
      </c>
      <c r="Q112" s="19">
        <f>(I112-Settings!$D$21)/Settings!$E$21</f>
        <v>3.5988357446051979E-2</v>
      </c>
      <c r="R112" s="19">
        <f>(J112-Settings!$D$22)/Settings!$E$22</f>
        <v>0.82143671261306117</v>
      </c>
      <c r="S112" s="19">
        <f>(K112-Settings!$D$23)/Settings!$E$23</f>
        <v>1.2932622537127241</v>
      </c>
      <c r="T112" s="19">
        <f>(L112-Settings!$D$24)/Settings!$E$24</f>
        <v>2.040693802852104</v>
      </c>
      <c r="U112" s="19">
        <f>(M112-Settings!$D$25)/Settings!$E$25</f>
        <v>-0.76667771869211632</v>
      </c>
      <c r="V112" s="31">
        <f>Settings!$B$18*(N112-F$6)^2</f>
        <v>3.0441909470892349E-2</v>
      </c>
      <c r="W112" s="31">
        <f>Settings!$B$19*(O112-G$6)^2</f>
        <v>9.6566961926674135E-5</v>
      </c>
      <c r="X112" s="31">
        <f>Settings!$B$20*(P112-H$6)^2</f>
        <v>0.3730536117758399</v>
      </c>
      <c r="Y112" s="31">
        <f>Settings!$B$21*(Q112-I$6)^2</f>
        <v>8.1348143991108405E-10</v>
      </c>
      <c r="Z112" s="31">
        <f>Settings!$B$22*(R112-J$6)^2</f>
        <v>0.10169635543341592</v>
      </c>
      <c r="AA112" s="31">
        <f>Settings!$B$23*(S112-K$6)^2</f>
        <v>1.1515973704760725</v>
      </c>
      <c r="AB112" s="31">
        <f>Settings!$B$24*(T112-L$6)^2</f>
        <v>1.8058430445011877</v>
      </c>
      <c r="AC112" s="31">
        <f>Settings!$B$25*(U112-M$6)^2</f>
        <v>0.66815654816660752</v>
      </c>
      <c r="AD112" s="19">
        <f t="shared" si="4"/>
        <v>2.0324579719146532</v>
      </c>
      <c r="AE112" s="15">
        <f t="shared" si="5"/>
        <v>0.80448371291769827</v>
      </c>
      <c r="AF112" s="33">
        <f t="shared" si="6"/>
        <v>0.72354175492210338</v>
      </c>
      <c r="AG112" s="47">
        <f t="shared" si="7"/>
        <v>3.1207461876516535E-3</v>
      </c>
      <c r="AH112" s="18">
        <v>-2.035749938813912</v>
      </c>
      <c r="AI112" s="46">
        <v>1</v>
      </c>
      <c r="AJ112" s="48"/>
      <c r="AK112" s="48"/>
      <c r="AL112" s="48"/>
      <c r="AM112" s="48"/>
    </row>
    <row r="113" spans="1:39" ht="20" customHeight="1" x14ac:dyDescent="0.45">
      <c r="A113" s="26">
        <v>103</v>
      </c>
      <c r="B113" s="16" t="s">
        <v>288</v>
      </c>
      <c r="C113" s="16" t="s">
        <v>260</v>
      </c>
      <c r="D113" s="46">
        <v>28</v>
      </c>
      <c r="E113" s="46">
        <v>1</v>
      </c>
      <c r="F113" s="13">
        <v>0.20031002376909371</v>
      </c>
      <c r="G113" s="13">
        <v>-8.6970442611848914E-2</v>
      </c>
      <c r="H113" s="13">
        <v>2.95102437621216E-3</v>
      </c>
      <c r="I113" s="13">
        <v>-5.0975323386963707E-2</v>
      </c>
      <c r="J113" s="13">
        <v>0.65879318585588154</v>
      </c>
      <c r="K113" s="13">
        <v>17.939327485380151</v>
      </c>
      <c r="L113" s="13">
        <v>1.7143516458958981</v>
      </c>
      <c r="M113" s="13">
        <v>-0.34484809457465843</v>
      </c>
      <c r="N113" s="19">
        <f>(F113-Settings!$D$18)/Settings!$E$18</f>
        <v>2.8587020204490214E-2</v>
      </c>
      <c r="O113" s="19">
        <f>(G113-Settings!$D$19)/Settings!$E$19</f>
        <v>-0.33465896204919376</v>
      </c>
      <c r="P113" s="19">
        <f>(H113-Settings!$D$20)/Settings!$E$20</f>
        <v>-0.45460576244987694</v>
      </c>
      <c r="Q113" s="19">
        <f>(I113-Settings!$D$21)/Settings!$E$21</f>
        <v>-0.59065010448909494</v>
      </c>
      <c r="R113" s="19">
        <f>(J113-Settings!$D$22)/Settings!$E$22</f>
        <v>1.1056317760215109</v>
      </c>
      <c r="S113" s="19">
        <f>(K113-Settings!$D$23)/Settings!$E$23</f>
        <v>0.93213170733457895</v>
      </c>
      <c r="T113" s="19">
        <f>(L113-Settings!$D$24)/Settings!$E$24</f>
        <v>0.28074789322641752</v>
      </c>
      <c r="U113" s="19">
        <f>(M113-Settings!$D$25)/Settings!$E$25</f>
        <v>-0.19659913771287948</v>
      </c>
      <c r="V113" s="31">
        <f>Settings!$B$18*(N113-F$6)^2</f>
        <v>1.6165740325726412E-2</v>
      </c>
      <c r="W113" s="31">
        <f>Settings!$B$19*(O113-G$6)^2</f>
        <v>1.6680407427178155E-2</v>
      </c>
      <c r="X113" s="31">
        <f>Settings!$B$20*(P113-H$6)^2</f>
        <v>1.2222568719065363</v>
      </c>
      <c r="Y113" s="31">
        <f>Settings!$B$21*(Q113-I$6)^2</f>
        <v>7.8519167353916661E-2</v>
      </c>
      <c r="Z113" s="31">
        <f>Settings!$B$22*(R113-J$6)^2</f>
        <v>0.19891114421474895</v>
      </c>
      <c r="AA113" s="31">
        <f>Settings!$B$23*(S113-K$6)^2</f>
        <v>0.50693617155462778</v>
      </c>
      <c r="AB113" s="31">
        <f>Settings!$B$24*(T113-L$6)^2</f>
        <v>0.17316360540585093</v>
      </c>
      <c r="AC113" s="31">
        <f>Settings!$B$25*(U113-M$6)^2</f>
        <v>1.9251202170623649</v>
      </c>
      <c r="AD113" s="19">
        <f t="shared" si="4"/>
        <v>2.0341468298161147</v>
      </c>
      <c r="AE113" s="15">
        <f t="shared" si="5"/>
        <v>0.8051521934934015</v>
      </c>
      <c r="AF113" s="33">
        <f t="shared" si="6"/>
        <v>0.72315259041383395</v>
      </c>
      <c r="AG113" s="47">
        <f t="shared" si="7"/>
        <v>3.1190676616408334E-3</v>
      </c>
      <c r="AH113" s="18">
        <v>-1.1305076931371929</v>
      </c>
      <c r="AI113" s="46">
        <v>1</v>
      </c>
      <c r="AJ113" s="18">
        <v>-1.8975338673841791</v>
      </c>
      <c r="AK113" s="46">
        <v>1</v>
      </c>
      <c r="AL113" s="18">
        <v>0.53691938112593696</v>
      </c>
      <c r="AM113" s="46">
        <v>1</v>
      </c>
    </row>
    <row r="114" spans="1:39" ht="20" customHeight="1" x14ac:dyDescent="0.45">
      <c r="A114" s="26">
        <v>104</v>
      </c>
      <c r="B114" s="16" t="s">
        <v>498</v>
      </c>
      <c r="C114" s="16" t="s">
        <v>224</v>
      </c>
      <c r="D114" s="46">
        <v>28</v>
      </c>
      <c r="E114" s="46">
        <v>0</v>
      </c>
      <c r="F114" s="13">
        <v>0.33894565195467491</v>
      </c>
      <c r="G114" s="13">
        <v>1.1899408058080541E-2</v>
      </c>
      <c r="H114" s="13">
        <v>-3.0322147579317359E-2</v>
      </c>
      <c r="I114" s="13">
        <v>1.2736077990630681E-3</v>
      </c>
      <c r="J114" s="13">
        <v>0.61755918460886416</v>
      </c>
      <c r="K114" s="13">
        <v>15.57137096774191</v>
      </c>
      <c r="L114" s="13">
        <v>2.0085127111925551</v>
      </c>
      <c r="M114" s="13">
        <v>-0.13199616830839031</v>
      </c>
      <c r="N114" s="19">
        <f>(F114-Settings!$D$18)/Settings!$E$18</f>
        <v>0.52475529116466102</v>
      </c>
      <c r="O114" s="19">
        <f>(G114-Settings!$D$19)/Settings!$E$19</f>
        <v>7.7245437426138097E-2</v>
      </c>
      <c r="P114" s="19">
        <f>(H114-Settings!$D$20)/Settings!$E$20</f>
        <v>-0.75606709873705735</v>
      </c>
      <c r="Q114" s="19">
        <f>(I114-Settings!$D$21)/Settings!$E$21</f>
        <v>5.1871071209602389E-2</v>
      </c>
      <c r="R114" s="19">
        <f>(J114-Settings!$D$22)/Settings!$E$22</f>
        <v>0.99468975434551521</v>
      </c>
      <c r="S114" s="19">
        <f>(K114-Settings!$D$23)/Settings!$E$23</f>
        <v>0.10979487467108347</v>
      </c>
      <c r="T114" s="19">
        <f>(L114-Settings!$D$24)/Settings!$E$24</f>
        <v>0.48411752780048151</v>
      </c>
      <c r="U114" s="19">
        <f>(M114-Settings!$D$25)/Settings!$E$25</f>
        <v>-5.3049427999999142E-2</v>
      </c>
      <c r="V114" s="31">
        <f>Settings!$B$18*(N114-F$6)^2</f>
        <v>8.977303219771594E-3</v>
      </c>
      <c r="W114" s="31">
        <f>Settings!$B$19*(O114-G$6)^2</f>
        <v>9.8195679831096186E-2</v>
      </c>
      <c r="X114" s="31">
        <f>Settings!$B$20*(P114-H$6)^2</f>
        <v>1.5385298322396102</v>
      </c>
      <c r="Y114" s="31">
        <f>Settings!$B$21*(Q114-I$6)^2</f>
        <v>5.0858108607205403E-5</v>
      </c>
      <c r="Z114" s="31">
        <f>Settings!$B$22*(R114-J$6)^2</f>
        <v>0.15711692670732225</v>
      </c>
      <c r="AA114" s="31">
        <f>Settings!$B$23*(S114-K$6)^2</f>
        <v>1.2175429831426193E-2</v>
      </c>
      <c r="AB114" s="31">
        <f>Settings!$B$24*(T114-L$6)^2</f>
        <v>4.5266680900930903E-2</v>
      </c>
      <c r="AC114" s="31">
        <f>Settings!$B$25*(U114-M$6)^2</f>
        <v>2.3440734527161045</v>
      </c>
      <c r="AD114" s="19">
        <f t="shared" si="4"/>
        <v>2.0504599882843042</v>
      </c>
      <c r="AE114" s="15">
        <f t="shared" si="5"/>
        <v>0.81160923736601898</v>
      </c>
      <c r="AF114" s="33">
        <f t="shared" si="6"/>
        <v>0.71938774917674864</v>
      </c>
      <c r="AG114" s="47">
        <f t="shared" si="7"/>
        <v>3.1028293259016434E-3</v>
      </c>
      <c r="AH114" s="18">
        <v>-0.2359418750937641</v>
      </c>
      <c r="AI114" s="46">
        <v>0</v>
      </c>
      <c r="AJ114" s="18">
        <v>-1.117074395207446</v>
      </c>
      <c r="AK114" s="46">
        <v>0</v>
      </c>
      <c r="AL114" s="48"/>
      <c r="AM114" s="48"/>
    </row>
    <row r="115" spans="1:39" ht="20" customHeight="1" x14ac:dyDescent="0.45">
      <c r="A115" s="26">
        <v>105</v>
      </c>
      <c r="B115" s="16" t="s">
        <v>512</v>
      </c>
      <c r="C115" s="16" t="s">
        <v>236</v>
      </c>
      <c r="D115" s="46">
        <v>28</v>
      </c>
      <c r="E115" s="46">
        <v>0</v>
      </c>
      <c r="F115" s="13">
        <v>0.57489601992303685</v>
      </c>
      <c r="G115" s="13">
        <v>0.22503097500876021</v>
      </c>
      <c r="H115" s="13">
        <v>-3.9755509401374817E-2</v>
      </c>
      <c r="I115" s="13">
        <v>3.9778836532922392E-2</v>
      </c>
      <c r="J115" s="13">
        <v>0.12053865913390591</v>
      </c>
      <c r="K115" s="13">
        <v>13.640852130325809</v>
      </c>
      <c r="L115" s="13">
        <v>1.054589322219756</v>
      </c>
      <c r="M115" s="13">
        <v>-1.429297746069164</v>
      </c>
      <c r="N115" s="19">
        <f>(F115-Settings!$D$18)/Settings!$E$18</f>
        <v>1.3692069493672976</v>
      </c>
      <c r="O115" s="19">
        <f>(G115-Settings!$D$19)/Settings!$E$19</f>
        <v>0.96517871030157532</v>
      </c>
      <c r="P115" s="19">
        <f>(H115-Settings!$D$20)/Settings!$E$20</f>
        <v>-0.84153517086311491</v>
      </c>
      <c r="Q115" s="19">
        <f>(I115-Settings!$D$21)/Settings!$E$21</f>
        <v>0.52538171104529385</v>
      </c>
      <c r="R115" s="19">
        <f>(J115-Settings!$D$22)/Settings!$E$22</f>
        <v>-0.34256736946189315</v>
      </c>
      <c r="S115" s="19">
        <f>(K115-Settings!$D$23)/Settings!$E$23</f>
        <v>-0.56062991325591405</v>
      </c>
      <c r="T115" s="19">
        <f>(L115-Settings!$D$24)/Settings!$E$24</f>
        <v>-0.1753818890628811</v>
      </c>
      <c r="U115" s="19">
        <f>(M115-Settings!$D$25)/Settings!$E$25</f>
        <v>-0.92796406074172422</v>
      </c>
      <c r="V115" s="31">
        <f>Settings!$B$18*(N115-F$6)^2</f>
        <v>0.22316071509723343</v>
      </c>
      <c r="W115" s="31">
        <f>Settings!$B$19*(O115-G$6)^2</f>
        <v>0.50475018706056207</v>
      </c>
      <c r="X115" s="31">
        <f>Settings!$B$20*(P115-H$6)^2</f>
        <v>1.6348112077832386</v>
      </c>
      <c r="Y115" s="31">
        <f>Settings!$B$21*(Q115-I$6)^2</f>
        <v>4.7913656387654741E-2</v>
      </c>
      <c r="Z115" s="31">
        <f>Settings!$B$22*(R115-J$6)^2</f>
        <v>4.0666671140907718E-2</v>
      </c>
      <c r="AA115" s="31">
        <f>Settings!$B$23*(S115-K$6)^2</f>
        <v>0.60959729273036667</v>
      </c>
      <c r="AB115" s="31">
        <f>Settings!$B$24*(T115-L$6)^2</f>
        <v>0.76083592987666504</v>
      </c>
      <c r="AC115" s="31">
        <f>Settings!$B$25*(U115-M$6)^2</f>
        <v>0.43049619969969533</v>
      </c>
      <c r="AD115" s="19">
        <f t="shared" si="4"/>
        <v>2.0620940472675642</v>
      </c>
      <c r="AE115" s="15">
        <f t="shared" si="5"/>
        <v>0.81621420883233642</v>
      </c>
      <c r="AF115" s="33">
        <f t="shared" si="6"/>
        <v>0.71669650153235476</v>
      </c>
      <c r="AG115" s="47">
        <f t="shared" si="7"/>
        <v>3.0912215634343993E-3</v>
      </c>
      <c r="AH115" s="18">
        <v>-0.41522263264788739</v>
      </c>
      <c r="AI115" s="46">
        <v>0</v>
      </c>
      <c r="AJ115" s="18">
        <v>-0.18440053295378861</v>
      </c>
      <c r="AK115" s="46">
        <v>1</v>
      </c>
      <c r="AL115" s="18">
        <v>-1.0145493997066199</v>
      </c>
      <c r="AM115" s="46">
        <v>1</v>
      </c>
    </row>
    <row r="116" spans="1:39" ht="20" customHeight="1" x14ac:dyDescent="0.45">
      <c r="A116" s="26">
        <v>106</v>
      </c>
      <c r="B116" s="16" t="s">
        <v>256</v>
      </c>
      <c r="C116" s="16" t="s">
        <v>271</v>
      </c>
      <c r="D116" s="46">
        <v>28</v>
      </c>
      <c r="E116" s="46">
        <v>0</v>
      </c>
      <c r="F116" s="13">
        <v>3.1448832831816501E-2</v>
      </c>
      <c r="G116" s="13">
        <v>9.1787719307153029E-2</v>
      </c>
      <c r="H116" s="13">
        <v>0.21671375507033941</v>
      </c>
      <c r="I116" s="13">
        <v>1.1004919927474179E-2</v>
      </c>
      <c r="J116" s="13">
        <v>0.64904477286321693</v>
      </c>
      <c r="K116" s="13">
        <v>17.15759803921566</v>
      </c>
      <c r="L116" s="13">
        <v>3.2942812291444028</v>
      </c>
      <c r="M116" s="13">
        <v>0.19154026758465509</v>
      </c>
      <c r="N116" s="19">
        <f>(F116-Settings!$D$18)/Settings!$E$18</f>
        <v>-0.57575665563235368</v>
      </c>
      <c r="O116" s="19">
        <f>(G116-Settings!$D$19)/Settings!$E$19</f>
        <v>0.41007032435757784</v>
      </c>
      <c r="P116" s="19">
        <f>(H116-Settings!$D$20)/Settings!$E$20</f>
        <v>1.4821256838208803</v>
      </c>
      <c r="Q116" s="19">
        <f>(I116-Settings!$D$21)/Settings!$E$21</f>
        <v>0.1715400092702887</v>
      </c>
      <c r="R116" s="19">
        <f>(J116-Settings!$D$22)/Settings!$E$22</f>
        <v>1.0794032119037613</v>
      </c>
      <c r="S116" s="19">
        <f>(K116-Settings!$D$23)/Settings!$E$23</f>
        <v>0.66065505142036562</v>
      </c>
      <c r="T116" s="19">
        <f>(L116-Settings!$D$24)/Settings!$E$24</f>
        <v>1.3730396337188771</v>
      </c>
      <c r="U116" s="19">
        <f>(M116-Settings!$D$25)/Settings!$E$25</f>
        <v>0.16514714775420752</v>
      </c>
      <c r="V116" s="31">
        <f>Settings!$B$18*(N116-F$6)^2</f>
        <v>0.15793889910320358</v>
      </c>
      <c r="W116" s="31">
        <f>Settings!$B$19*(O116-G$6)^2</f>
        <v>0.21363412158652789</v>
      </c>
      <c r="X116" s="31">
        <f>Settings!$B$20*(P116-H$6)^2</f>
        <v>5.7324155355906042E-2</v>
      </c>
      <c r="Y116" s="31">
        <f>Settings!$B$21*(Q116-I$6)^2</f>
        <v>3.6783088651334618E-3</v>
      </c>
      <c r="Z116" s="31">
        <f>Settings!$B$22*(R116-J$6)^2</f>
        <v>0.18858590418369586</v>
      </c>
      <c r="AA116" s="31">
        <f>Settings!$B$23*(S116-K$6)^2</f>
        <v>0.19405597313855588</v>
      </c>
      <c r="AB116" s="31">
        <f>Settings!$B$24*(T116-L$6)^2</f>
        <v>0.457195627917028</v>
      </c>
      <c r="AC116" s="31">
        <f>Settings!$B$25*(U116-M$6)^2</f>
        <v>3.0598171398018028</v>
      </c>
      <c r="AD116" s="19">
        <f t="shared" si="4"/>
        <v>2.0814010017177984</v>
      </c>
      <c r="AE116" s="15">
        <f t="shared" si="5"/>
        <v>0.82385625143094698</v>
      </c>
      <c r="AF116" s="33">
        <f t="shared" si="6"/>
        <v>0.71221919164670355</v>
      </c>
      <c r="AG116" s="47">
        <f t="shared" si="7"/>
        <v>3.0719102415078781E-3</v>
      </c>
      <c r="AH116" s="18">
        <v>-5.9156485747454468E-2</v>
      </c>
      <c r="AI116" s="46">
        <v>1</v>
      </c>
      <c r="AJ116" s="18">
        <v>-1.807267946897996</v>
      </c>
      <c r="AK116" s="46">
        <v>1</v>
      </c>
      <c r="AL116" s="18">
        <v>-1.247110193984146</v>
      </c>
      <c r="AM116" s="46">
        <v>1</v>
      </c>
    </row>
    <row r="117" spans="1:39" ht="20" customHeight="1" x14ac:dyDescent="0.45">
      <c r="A117" s="26">
        <v>107</v>
      </c>
      <c r="B117" s="16" t="s">
        <v>344</v>
      </c>
      <c r="C117" s="16" t="s">
        <v>260</v>
      </c>
      <c r="D117" s="46">
        <v>28</v>
      </c>
      <c r="E117" s="46">
        <v>1</v>
      </c>
      <c r="F117" s="13">
        <v>0.50840561943635987</v>
      </c>
      <c r="G117" s="13">
        <v>5.5792630463973807E-2</v>
      </c>
      <c r="H117" s="13">
        <v>0.34608800591892552</v>
      </c>
      <c r="I117" s="13">
        <v>-2.1987668452259631E-2</v>
      </c>
      <c r="J117" s="13">
        <v>-6.772607572848123E-2</v>
      </c>
      <c r="K117" s="13">
        <v>18.243977591036391</v>
      </c>
      <c r="L117" s="13">
        <v>1.767341203126666</v>
      </c>
      <c r="M117" s="13">
        <v>0.16141329942154939</v>
      </c>
      <c r="N117" s="19">
        <f>(F117-Settings!$D$18)/Settings!$E$18</f>
        <v>1.1312419509271996</v>
      </c>
      <c r="O117" s="19">
        <f>(G117-Settings!$D$19)/Settings!$E$19</f>
        <v>0.2601101964363941</v>
      </c>
      <c r="P117" s="19">
        <f>(H117-Settings!$D$20)/Settings!$E$20</f>
        <v>2.6542812749407765</v>
      </c>
      <c r="Q117" s="19">
        <f>(I117-Settings!$D$21)/Settings!$E$21</f>
        <v>-0.23417999674504897</v>
      </c>
      <c r="R117" s="19">
        <f>(J117-Settings!$D$22)/Settings!$E$22</f>
        <v>-0.8491025022229739</v>
      </c>
      <c r="S117" s="19">
        <f>(K117-Settings!$D$23)/Settings!$E$23</f>
        <v>1.0379296817018704</v>
      </c>
      <c r="T117" s="19">
        <f>(L117-Settings!$D$24)/Settings!$E$24</f>
        <v>0.31738247258312069</v>
      </c>
      <c r="U117" s="19">
        <f>(M117-Settings!$D$25)/Settings!$E$25</f>
        <v>0.14482918488581897</v>
      </c>
      <c r="V117" s="31">
        <f>Settings!$B$18*(N117-F$6)^2</f>
        <v>0.13393968530884121</v>
      </c>
      <c r="W117" s="31">
        <f>Settings!$B$19*(O117-G$6)^2</f>
        <v>0.15613680937257343</v>
      </c>
      <c r="X117" s="31">
        <f>Settings!$B$20*(P117-H$6)^2</f>
        <v>8.1099239690670982E-2</v>
      </c>
      <c r="Y117" s="31">
        <f>Settings!$B$21*(Q117-I$6)^2</f>
        <v>1.4591296607374403E-2</v>
      </c>
      <c r="Z117" s="31">
        <f>Settings!$B$22*(R117-J$6)^2</f>
        <v>0.18334598119915055</v>
      </c>
      <c r="AA117" s="31">
        <f>Settings!$B$23*(S117-K$6)^2</f>
        <v>0.66878453517985548</v>
      </c>
      <c r="AB117" s="31">
        <f>Settings!$B$24*(T117-L$6)^2</f>
        <v>0.14401625310740207</v>
      </c>
      <c r="AC117" s="31">
        <f>Settings!$B$25*(U117-M$6)^2</f>
        <v>2.9891482449189106</v>
      </c>
      <c r="AD117" s="19">
        <f t="shared" si="4"/>
        <v>2.0907085032076518</v>
      </c>
      <c r="AE117" s="15">
        <f t="shared" si="5"/>
        <v>0.82754032926183585</v>
      </c>
      <c r="AF117" s="33">
        <f t="shared" si="6"/>
        <v>0.71005595778026742</v>
      </c>
      <c r="AG117" s="47">
        <f t="shared" si="7"/>
        <v>3.0625798831757506E-3</v>
      </c>
      <c r="AH117" s="18">
        <v>-0.37326505441789531</v>
      </c>
      <c r="AI117" s="46">
        <v>1</v>
      </c>
      <c r="AJ117" s="18">
        <v>-0.1485577876895354</v>
      </c>
      <c r="AK117" s="46">
        <v>1</v>
      </c>
      <c r="AL117" s="18">
        <v>1.9218792291666069</v>
      </c>
      <c r="AM117" s="46">
        <v>1</v>
      </c>
    </row>
    <row r="118" spans="1:39" ht="20" customHeight="1" x14ac:dyDescent="0.45">
      <c r="A118" s="26">
        <v>108</v>
      </c>
      <c r="B118" s="16" t="s">
        <v>572</v>
      </c>
      <c r="C118" s="16" t="s">
        <v>216</v>
      </c>
      <c r="D118" s="46">
        <v>28</v>
      </c>
      <c r="E118" s="46">
        <v>1</v>
      </c>
      <c r="F118" s="13">
        <v>0.1733423342643734</v>
      </c>
      <c r="G118" s="13">
        <v>-0.13262260849485291</v>
      </c>
      <c r="H118" s="13">
        <v>-2.755523767216991E-2</v>
      </c>
      <c r="I118" s="13">
        <v>-0.14020103173074289</v>
      </c>
      <c r="J118" s="13">
        <v>0.52627878783786086</v>
      </c>
      <c r="K118" s="13">
        <v>14.430900243309029</v>
      </c>
      <c r="L118" s="13">
        <v>0.40354809873693631</v>
      </c>
      <c r="M118" s="13">
        <v>-1.747465966500763</v>
      </c>
      <c r="N118" s="19">
        <f>(F118-Settings!$D$18)/Settings!$E$18</f>
        <v>-6.7928659411692766E-2</v>
      </c>
      <c r="O118" s="19">
        <f>(G118-Settings!$D$19)/Settings!$E$19</f>
        <v>-0.52485170377350387</v>
      </c>
      <c r="P118" s="19">
        <f>(H118-Settings!$D$20)/Settings!$E$20</f>
        <v>-0.73099836290658937</v>
      </c>
      <c r="Q118" s="19">
        <f>(I118-Settings!$D$21)/Settings!$E$21</f>
        <v>-1.6878860809242642</v>
      </c>
      <c r="R118" s="19">
        <f>(J118-Settings!$D$22)/Settings!$E$22</f>
        <v>0.7490955492986634</v>
      </c>
      <c r="S118" s="19">
        <f>(K118-Settings!$D$23)/Settings!$E$23</f>
        <v>-0.28626437569512408</v>
      </c>
      <c r="T118" s="19">
        <f>(L118-Settings!$D$24)/Settings!$E$24</f>
        <v>-0.6254822977584612</v>
      </c>
      <c r="U118" s="19">
        <f>(M118-Settings!$D$25)/Settings!$E$25</f>
        <v>-1.142540252200217</v>
      </c>
      <c r="V118" s="31">
        <f>Settings!$B$18*(N118-F$6)^2</f>
        <v>2.9004708856101943E-2</v>
      </c>
      <c r="W118" s="31">
        <f>Settings!$B$19*(O118-G$6)^2</f>
        <v>1.9444459081633292E-3</v>
      </c>
      <c r="X118" s="31">
        <f>Settings!$B$20*(P118-H$6)^2</f>
        <v>1.5108436378968044</v>
      </c>
      <c r="Y118" s="31">
        <f>Settings!$B$21*(Q118-I$6)^2</f>
        <v>0.59430463978342152</v>
      </c>
      <c r="Z118" s="31">
        <f>Settings!$B$22*(R118-J$6)^2</f>
        <v>8.2109016084917996E-2</v>
      </c>
      <c r="AA118" s="31">
        <f>Settings!$B$23*(S118-K$6)^2</f>
        <v>0.25644256078829786</v>
      </c>
      <c r="AB118" s="31">
        <f>Settings!$B$24*(T118-L$6)^2</f>
        <v>1.7486346586307711</v>
      </c>
      <c r="AC118" s="31">
        <f>Settings!$B$25*(U118-M$6)^2</f>
        <v>0.19496278234506498</v>
      </c>
      <c r="AD118" s="19">
        <f t="shared" si="4"/>
        <v>2.1019625235226109</v>
      </c>
      <c r="AE118" s="15">
        <f t="shared" si="5"/>
        <v>0.8319948745332939</v>
      </c>
      <c r="AF118" s="33">
        <f t="shared" si="6"/>
        <v>0.70743626691251305</v>
      </c>
      <c r="AG118" s="47">
        <f t="shared" si="7"/>
        <v>3.0512807560241317E-3</v>
      </c>
      <c r="AH118" s="18">
        <v>-0.30914338932920638</v>
      </c>
      <c r="AI118" s="46">
        <v>1</v>
      </c>
      <c r="AJ118" s="18">
        <v>1.261938142880667E-2</v>
      </c>
      <c r="AK118" s="46">
        <v>1</v>
      </c>
      <c r="AL118" s="48"/>
      <c r="AM118" s="48"/>
    </row>
    <row r="119" spans="1:39" ht="20" customHeight="1" x14ac:dyDescent="0.45">
      <c r="A119" s="26">
        <v>109</v>
      </c>
      <c r="B119" s="16" t="s">
        <v>598</v>
      </c>
      <c r="C119" s="16" t="s">
        <v>234</v>
      </c>
      <c r="D119" s="46">
        <v>28</v>
      </c>
      <c r="E119" s="46">
        <v>1</v>
      </c>
      <c r="F119" s="13">
        <v>-0.19619177154418191</v>
      </c>
      <c r="G119" s="13">
        <v>-0.25708262322430592</v>
      </c>
      <c r="H119" s="13">
        <v>-1.9902019315898911E-2</v>
      </c>
      <c r="I119" s="13">
        <v>-7.1627794233746931E-3</v>
      </c>
      <c r="J119" s="13">
        <v>0.51966080649223856</v>
      </c>
      <c r="K119" s="13">
        <v>14.79317585301837</v>
      </c>
      <c r="L119" s="13">
        <v>0.25296794657074162</v>
      </c>
      <c r="M119" s="13">
        <v>-1.899613326561302</v>
      </c>
      <c r="N119" s="19">
        <f>(F119-Settings!$D$18)/Settings!$E$18</f>
        <v>-1.3904681879548551</v>
      </c>
      <c r="O119" s="19">
        <f>(G119-Settings!$D$19)/Settings!$E$19</f>
        <v>-1.0433679883481946</v>
      </c>
      <c r="P119" s="19">
        <f>(H119-Settings!$D$20)/Settings!$E$20</f>
        <v>-0.66165873289888821</v>
      </c>
      <c r="Q119" s="19">
        <f>(I119-Settings!$D$21)/Settings!$E$21</f>
        <v>-5.187377703448625E-2</v>
      </c>
      <c r="R119" s="19">
        <f>(J119-Settings!$D$22)/Settings!$E$22</f>
        <v>0.73128955890983416</v>
      </c>
      <c r="S119" s="19">
        <f>(K119-Settings!$D$23)/Settings!$E$23</f>
        <v>-0.16045438922765756</v>
      </c>
      <c r="T119" s="19">
        <f>(L119-Settings!$D$24)/Settings!$E$24</f>
        <v>-0.72958659344172139</v>
      </c>
      <c r="U119" s="19">
        <f>(M119-Settings!$D$25)/Settings!$E$25</f>
        <v>-1.245150126366682</v>
      </c>
      <c r="V119" s="31">
        <f>Settings!$B$18*(N119-F$6)^2</f>
        <v>0.58028644316826061</v>
      </c>
      <c r="W119" s="31">
        <f>Settings!$B$19*(O119-G$6)^2</f>
        <v>3.5265707628844387E-2</v>
      </c>
      <c r="X119" s="31">
        <f>Settings!$B$20*(P119-H$6)^2</f>
        <v>1.4355734173813621</v>
      </c>
      <c r="Y119" s="31">
        <f>Settings!$B$21*(Q119-I$6)^2</f>
        <v>1.5417103423842756E-3</v>
      </c>
      <c r="Z119" s="31">
        <f>Settings!$B$22*(R119-J$6)^2</f>
        <v>7.760883745500799E-2</v>
      </c>
      <c r="AA119" s="31">
        <f>Settings!$B$23*(S119-K$6)^2</f>
        <v>0.14484996148986115</v>
      </c>
      <c r="AB119" s="31">
        <f>Settings!$B$24*(T119-L$6)^2</f>
        <v>2.0347989726823466</v>
      </c>
      <c r="AC119" s="31">
        <f>Settings!$B$25*(U119-M$6)^2</f>
        <v>0.11487763002100185</v>
      </c>
      <c r="AD119" s="19">
        <f t="shared" si="4"/>
        <v>2.1035214950575307</v>
      </c>
      <c r="AE119" s="15">
        <f t="shared" si="5"/>
        <v>0.83261194373033309</v>
      </c>
      <c r="AF119" s="33">
        <f t="shared" si="6"/>
        <v>0.70707302885716605</v>
      </c>
      <c r="AG119" s="47">
        <f t="shared" si="7"/>
        <v>3.0497140547678151E-3</v>
      </c>
      <c r="AH119" s="18">
        <v>-1.3336715430052319</v>
      </c>
      <c r="AI119" s="46">
        <v>1</v>
      </c>
      <c r="AJ119" s="18">
        <v>-0.1463179125615468</v>
      </c>
      <c r="AK119" s="46">
        <v>1</v>
      </c>
      <c r="AL119" s="48"/>
      <c r="AM119" s="48"/>
    </row>
    <row r="120" spans="1:39" ht="20" customHeight="1" x14ac:dyDescent="0.45">
      <c r="A120" s="26">
        <v>110</v>
      </c>
      <c r="B120" s="16" t="s">
        <v>441</v>
      </c>
      <c r="C120" s="16" t="s">
        <v>227</v>
      </c>
      <c r="D120" s="46">
        <v>28</v>
      </c>
      <c r="E120" s="46">
        <v>0</v>
      </c>
      <c r="F120" s="13">
        <v>0.1143440686325316</v>
      </c>
      <c r="G120" s="13">
        <v>-0.19666212395315349</v>
      </c>
      <c r="H120" s="13">
        <v>6.5679746907524802E-2</v>
      </c>
      <c r="I120" s="13">
        <v>0.1357961402062019</v>
      </c>
      <c r="J120" s="13">
        <v>0.48751792030058833</v>
      </c>
      <c r="K120" s="13">
        <v>15.346710526315791</v>
      </c>
      <c r="L120" s="13">
        <v>-9.6440784655285494E-2</v>
      </c>
      <c r="M120" s="13">
        <v>-3.0583557338253811</v>
      </c>
      <c r="N120" s="19">
        <f>(F120-Settings!$D$18)/Settings!$E$18</f>
        <v>-0.27907977425364477</v>
      </c>
      <c r="O120" s="19">
        <f>(G120-Settings!$D$19)/Settings!$E$19</f>
        <v>-0.79164848741186788</v>
      </c>
      <c r="P120" s="19">
        <f>(H120-Settings!$D$20)/Settings!$E$20</f>
        <v>0.1137285263023759</v>
      </c>
      <c r="Q120" s="19">
        <f>(I120-Settings!$D$21)/Settings!$E$21</f>
        <v>1.7061360239693701</v>
      </c>
      <c r="R120" s="19">
        <f>(J120-Settings!$D$22)/Settings!$E$22</f>
        <v>0.64480761030531786</v>
      </c>
      <c r="S120" s="19">
        <f>(K120-Settings!$D$23)/Settings!$E$23</f>
        <v>3.1775470830256038E-2</v>
      </c>
      <c r="T120" s="19">
        <f>(L120-Settings!$D$24)/Settings!$E$24</f>
        <v>-0.97115196143072557</v>
      </c>
      <c r="U120" s="19">
        <f>(M120-Settings!$D$25)/Settings!$E$25</f>
        <v>-2.0266189113222972</v>
      </c>
      <c r="V120" s="31">
        <f>Settings!$B$18*(N120-F$6)^2</f>
        <v>7.0085858151413868E-2</v>
      </c>
      <c r="W120" s="31">
        <f>Settings!$B$19*(O120-G$6)^2</f>
        <v>5.6579396470431524E-3</v>
      </c>
      <c r="X120" s="31">
        <f>Settings!$B$20*(P120-H$6)^2</f>
        <v>0.72486569301234094</v>
      </c>
      <c r="Y120" s="31">
        <f>Settings!$B$21*(Q120-I$6)^2</f>
        <v>0.55792125269918236</v>
      </c>
      <c r="Z120" s="31">
        <f>Settings!$B$22*(R120-J$6)^2</f>
        <v>5.7555716139523351E-2</v>
      </c>
      <c r="AA120" s="31">
        <f>Settings!$B$23*(S120-K$6)^2</f>
        <v>3.548014284653208E-2</v>
      </c>
      <c r="AB120" s="31">
        <f>Settings!$B$24*(T120-L$6)^2</f>
        <v>2.7823213052292388</v>
      </c>
      <c r="AC120" s="31">
        <f>Settings!$B$25*(U120-M$6)^2</f>
        <v>0.19583524235674304</v>
      </c>
      <c r="AD120" s="19">
        <f t="shared" si="4"/>
        <v>2.1046907492745861</v>
      </c>
      <c r="AE120" s="15">
        <f t="shared" si="5"/>
        <v>0.83307475574754553</v>
      </c>
      <c r="AF120" s="33">
        <f t="shared" si="6"/>
        <v>0.70680054014007376</v>
      </c>
      <c r="AG120" s="47">
        <f t="shared" si="7"/>
        <v>3.0485387692790935E-3</v>
      </c>
      <c r="AH120" s="18">
        <v>-1.9021189802797409</v>
      </c>
      <c r="AI120" s="46">
        <v>0</v>
      </c>
      <c r="AJ120" s="48"/>
      <c r="AK120" s="48"/>
      <c r="AL120" s="48"/>
      <c r="AM120" s="48"/>
    </row>
    <row r="121" spans="1:39" ht="20" customHeight="1" x14ac:dyDescent="0.45">
      <c r="A121" s="26">
        <v>111</v>
      </c>
      <c r="B121" s="16" t="s">
        <v>379</v>
      </c>
      <c r="C121" s="16" t="s">
        <v>260</v>
      </c>
      <c r="D121" s="46">
        <v>28</v>
      </c>
      <c r="E121" s="46">
        <v>1</v>
      </c>
      <c r="F121" s="13">
        <v>0.1879983657821617</v>
      </c>
      <c r="G121" s="13">
        <v>-0.28262186135476453</v>
      </c>
      <c r="H121" s="13">
        <v>0.20552860552090291</v>
      </c>
      <c r="I121" s="13">
        <v>1.4498972161157209E-3</v>
      </c>
      <c r="J121" s="13">
        <v>0.32240127012605518</v>
      </c>
      <c r="K121" s="13">
        <v>16.42241379310342</v>
      </c>
      <c r="L121" s="13">
        <v>0.11550194554348241</v>
      </c>
      <c r="M121" s="13">
        <v>-0.34317257895929082</v>
      </c>
      <c r="N121" s="19">
        <f>(F121-Settings!$D$18)/Settings!$E$18</f>
        <v>-1.5475636242320363E-2</v>
      </c>
      <c r="O121" s="19">
        <f>(G121-Settings!$D$19)/Settings!$E$19</f>
        <v>-1.1497677095362386</v>
      </c>
      <c r="P121" s="19">
        <f>(H121-Settings!$D$20)/Settings!$E$20</f>
        <v>1.3807860780191941</v>
      </c>
      <c r="Q121" s="19">
        <f>(I121-Settings!$D$21)/Settings!$E$21</f>
        <v>5.4038956388049834E-2</v>
      </c>
      <c r="R121" s="19">
        <f>(J121-Settings!$D$22)/Settings!$E$22</f>
        <v>0.20055348922227395</v>
      </c>
      <c r="S121" s="19">
        <f>(K121-Settings!$D$23)/Settings!$E$23</f>
        <v>0.40534247288745145</v>
      </c>
      <c r="T121" s="19">
        <f>(L121-Settings!$D$24)/Settings!$E$24</f>
        <v>-0.82462435911977916</v>
      </c>
      <c r="U121" s="19">
        <f>(M121-Settings!$D$25)/Settings!$E$25</f>
        <v>-0.19546915132081583</v>
      </c>
      <c r="V121" s="31">
        <f>Settings!$B$18*(N121-F$6)^2</f>
        <v>2.1564917709526323E-2</v>
      </c>
      <c r="W121" s="31">
        <f>Settings!$B$19*(O121-G$6)^2</f>
        <v>5.5401419830901681E-2</v>
      </c>
      <c r="X121" s="31">
        <f>Settings!$B$20*(P121-H$6)^2</f>
        <v>8.1079762552347293E-2</v>
      </c>
      <c r="Y121" s="31">
        <f>Settings!$B$21*(Q121-I$6)^2</f>
        <v>6.5626117556572195E-5</v>
      </c>
      <c r="Z121" s="31">
        <f>Settings!$B$22*(R121-J$6)^2</f>
        <v>1.7000152684497E-3</v>
      </c>
      <c r="AA121" s="31">
        <f>Settings!$B$23*(S121-K$6)^2</f>
        <v>3.4300991305277383E-2</v>
      </c>
      <c r="AB121" s="31">
        <f>Settings!$B$24*(T121-L$6)^2</f>
        <v>2.3149670143308163</v>
      </c>
      <c r="AC121" s="31">
        <f>Settings!$B$25*(U121-M$6)^2</f>
        <v>1.9282571768240604</v>
      </c>
      <c r="AD121" s="19">
        <f t="shared" si="4"/>
        <v>2.1064987358028335</v>
      </c>
      <c r="AE121" s="15">
        <f t="shared" si="5"/>
        <v>0.83379038959348406</v>
      </c>
      <c r="AF121" s="33">
        <f t="shared" si="6"/>
        <v>0.70637910697713213</v>
      </c>
      <c r="AG121" s="47">
        <f t="shared" si="7"/>
        <v>3.0467210636281714E-3</v>
      </c>
      <c r="AH121" s="18">
        <v>1.240886948026932</v>
      </c>
      <c r="AI121" s="46">
        <v>1</v>
      </c>
      <c r="AJ121" s="18">
        <v>1.04631502064938E-2</v>
      </c>
      <c r="AK121" s="46">
        <v>1</v>
      </c>
      <c r="AL121" s="18">
        <v>-0.92073990865780186</v>
      </c>
      <c r="AM121" s="46">
        <v>1</v>
      </c>
    </row>
    <row r="122" spans="1:39" ht="20" customHeight="1" x14ac:dyDescent="0.45">
      <c r="A122" s="26">
        <v>112</v>
      </c>
      <c r="B122" s="16" t="s">
        <v>406</v>
      </c>
      <c r="C122" s="16" t="s">
        <v>229</v>
      </c>
      <c r="D122" s="46">
        <v>28</v>
      </c>
      <c r="E122" s="46">
        <v>1</v>
      </c>
      <c r="F122" s="13">
        <v>0.46291382968476269</v>
      </c>
      <c r="G122" s="13">
        <v>-0.17573015400948361</v>
      </c>
      <c r="H122" s="13">
        <v>7.8838586204700134E-2</v>
      </c>
      <c r="I122" s="13">
        <v>5.2533909549564037E-2</v>
      </c>
      <c r="J122" s="13">
        <v>-0.2299835205514896</v>
      </c>
      <c r="K122" s="13">
        <v>18.090476190476171</v>
      </c>
      <c r="L122" s="13">
        <v>0.22404045030398231</v>
      </c>
      <c r="M122" s="13">
        <v>-3.5216262641775251</v>
      </c>
      <c r="N122" s="19">
        <f>(F122-Settings!$D$18)/Settings!$E$18</f>
        <v>0.9684296712892505</v>
      </c>
      <c r="O122" s="19">
        <f>(G122-Settings!$D$19)/Settings!$E$19</f>
        <v>-0.70444323271529785</v>
      </c>
      <c r="P122" s="19">
        <f>(H122-Settings!$D$20)/Settings!$E$20</f>
        <v>0.23295014075550291</v>
      </c>
      <c r="Q122" s="19">
        <f>(I122-Settings!$D$21)/Settings!$E$21</f>
        <v>0.68223476669147443</v>
      </c>
      <c r="R122" s="19">
        <f>(J122-Settings!$D$22)/Settings!$E$22</f>
        <v>-1.2856637966946802</v>
      </c>
      <c r="S122" s="19">
        <f>(K122-Settings!$D$23)/Settings!$E$23</f>
        <v>0.98462217600831103</v>
      </c>
      <c r="T122" s="19">
        <f>(L122-Settings!$D$24)/Settings!$E$24</f>
        <v>-0.74958575389818938</v>
      </c>
      <c r="U122" s="19">
        <f>(M122-Settings!$D$25)/Settings!$E$25</f>
        <v>-2.3390537166685781</v>
      </c>
      <c r="V122" s="31">
        <f>Settings!$B$18*(N122-F$6)^2</f>
        <v>8.5946213567815954E-2</v>
      </c>
      <c r="W122" s="31">
        <f>Settings!$B$19*(O122-G$6)^2</f>
        <v>1.3118812717670366E-3</v>
      </c>
      <c r="X122" s="31">
        <f>Settings!$B$20*(P122-H$6)^2</f>
        <v>0.63692038564327902</v>
      </c>
      <c r="Y122" s="31">
        <f>Settings!$B$21*(Q122-I$6)^2</f>
        <v>8.3543371169219671E-2</v>
      </c>
      <c r="Z122" s="31">
        <f>Settings!$B$22*(R122-J$6)^2</f>
        <v>0.38865914796600554</v>
      </c>
      <c r="AA122" s="31">
        <f>Settings!$B$23*(S122-K$6)^2</f>
        <v>0.58443727111228305</v>
      </c>
      <c r="AB122" s="31">
        <f>Settings!$B$24*(T122-L$6)^2</f>
        <v>2.0922550959440027</v>
      </c>
      <c r="AC122" s="31">
        <f>Settings!$B$25*(U122-M$6)^2</f>
        <v>0.56997602247896539</v>
      </c>
      <c r="AD122" s="19">
        <f t="shared" si="4"/>
        <v>2.1078542143975088</v>
      </c>
      <c r="AE122" s="15">
        <f t="shared" si="5"/>
        <v>0.83432691259553049</v>
      </c>
      <c r="AF122" s="33">
        <f t="shared" si="6"/>
        <v>0.70606307893928699</v>
      </c>
      <c r="AG122" s="47">
        <f t="shared" si="7"/>
        <v>3.0453579863937382E-3</v>
      </c>
      <c r="AH122" s="18">
        <v>-1.107340762027724</v>
      </c>
      <c r="AI122" s="46">
        <v>1</v>
      </c>
      <c r="AJ122" s="18">
        <v>1.157991955593296</v>
      </c>
      <c r="AK122" s="46">
        <v>1</v>
      </c>
      <c r="AL122" s="18">
        <v>-0.33471465173517417</v>
      </c>
      <c r="AM122" s="46">
        <v>1</v>
      </c>
    </row>
    <row r="123" spans="1:39" ht="20" customHeight="1" x14ac:dyDescent="0.45">
      <c r="A123" s="26">
        <v>113</v>
      </c>
      <c r="B123" s="16" t="s">
        <v>272</v>
      </c>
      <c r="C123" s="16" t="s">
        <v>218</v>
      </c>
      <c r="D123" s="46">
        <v>28</v>
      </c>
      <c r="E123" s="46">
        <v>0</v>
      </c>
      <c r="F123" s="13">
        <v>0.43356301646670048</v>
      </c>
      <c r="G123" s="13">
        <v>-4.3222173867264041E-2</v>
      </c>
      <c r="H123" s="13">
        <v>5.7197275785311023E-2</v>
      </c>
      <c r="I123" s="13">
        <v>-2.4608683035620249E-2</v>
      </c>
      <c r="J123" s="13">
        <v>0.44140885084510417</v>
      </c>
      <c r="K123" s="13">
        <v>19.28835978835982</v>
      </c>
      <c r="L123" s="13">
        <v>2.7423447080745249</v>
      </c>
      <c r="M123" s="13">
        <v>-0.24895355212147191</v>
      </c>
      <c r="N123" s="19">
        <f>(F123-Settings!$D$18)/Settings!$E$18</f>
        <v>0.86338494046301206</v>
      </c>
      <c r="O123" s="19">
        <f>(G123-Settings!$D$19)/Settings!$E$19</f>
        <v>-0.15239809846720451</v>
      </c>
      <c r="P123" s="19">
        <f>(H123-Settings!$D$20)/Settings!$E$20</f>
        <v>3.6875706771443688E-2</v>
      </c>
      <c r="Q123" s="19">
        <f>(I123-Settings!$D$21)/Settings!$E$21</f>
        <v>-0.26641141915689481</v>
      </c>
      <c r="R123" s="19">
        <f>(J123-Settings!$D$22)/Settings!$E$22</f>
        <v>0.52074898809337977</v>
      </c>
      <c r="S123" s="19">
        <f>(K123-Settings!$D$23)/Settings!$E$23</f>
        <v>1.4006195967572688</v>
      </c>
      <c r="T123" s="19">
        <f>(L123-Settings!$D$24)/Settings!$E$24</f>
        <v>0.99145572666829018</v>
      </c>
      <c r="U123" s="19">
        <f>(M123-Settings!$D$25)/Settings!$E$25</f>
        <v>-0.13192679025672246</v>
      </c>
      <c r="V123" s="31">
        <f>Settings!$B$18*(N123-F$6)^2</f>
        <v>6.0608735563189513E-2</v>
      </c>
      <c r="W123" s="31">
        <f>Settings!$B$19*(O123-G$6)^2</f>
        <v>4.437855735493515E-2</v>
      </c>
      <c r="X123" s="31">
        <f>Settings!$B$20*(P123-H$6)^2</f>
        <v>0.78457090623248138</v>
      </c>
      <c r="Y123" s="31">
        <f>Settings!$B$21*(Q123-I$6)^2</f>
        <v>1.8281411424599291E-2</v>
      </c>
      <c r="Z123" s="31">
        <f>Settings!$B$22*(R123-J$6)^2</f>
        <v>3.4013326342707866E-2</v>
      </c>
      <c r="AA123" s="31">
        <f>Settings!$B$23*(S123-K$6)^2</f>
        <v>1.393538677580499</v>
      </c>
      <c r="AB123" s="31">
        <f>Settings!$B$24*(T123-L$6)^2</f>
        <v>8.6776504516005964E-2</v>
      </c>
      <c r="AC123" s="31">
        <f>Settings!$B$25*(U123-M$6)^2</f>
        <v>2.1087668142503539</v>
      </c>
      <c r="AD123" s="19">
        <f t="shared" si="4"/>
        <v>2.1285992890313508</v>
      </c>
      <c r="AE123" s="15">
        <f t="shared" si="5"/>
        <v>0.84253818923534518</v>
      </c>
      <c r="AF123" s="33">
        <f t="shared" si="6"/>
        <v>0.70121881048578116</v>
      </c>
      <c r="AG123" s="47">
        <f t="shared" si="7"/>
        <v>3.0244639160717469E-3</v>
      </c>
      <c r="AH123" s="18">
        <v>-0.78970541913688619</v>
      </c>
      <c r="AI123" s="46">
        <v>0</v>
      </c>
      <c r="AJ123" s="18">
        <v>-0.58398628665907371</v>
      </c>
      <c r="AK123" s="46">
        <v>0</v>
      </c>
      <c r="AL123" s="18">
        <v>0.1547231728191347</v>
      </c>
      <c r="AM123" s="46">
        <v>0</v>
      </c>
    </row>
    <row r="124" spans="1:39" ht="20" customHeight="1" x14ac:dyDescent="0.45">
      <c r="A124" s="26">
        <v>114</v>
      </c>
      <c r="B124" s="16" t="s">
        <v>454</v>
      </c>
      <c r="C124" s="16" t="s">
        <v>236</v>
      </c>
      <c r="D124" s="46">
        <v>28</v>
      </c>
      <c r="E124" s="46">
        <v>0</v>
      </c>
      <c r="F124" s="13">
        <v>0.45431592393147008</v>
      </c>
      <c r="G124" s="13">
        <v>0.27894448498341839</v>
      </c>
      <c r="H124" s="13">
        <v>0.16934468697047239</v>
      </c>
      <c r="I124" s="13">
        <v>-8.1230338079494745E-4</v>
      </c>
      <c r="J124" s="13">
        <v>9.6582600733844184E-2</v>
      </c>
      <c r="K124" s="13">
        <v>13.90555555555556</v>
      </c>
      <c r="L124" s="13">
        <v>1.107318520833777</v>
      </c>
      <c r="M124" s="13">
        <v>-7.8561912520661803E-2</v>
      </c>
      <c r="N124" s="19">
        <f>(F124-Settings!$D$18)/Settings!$E$18</f>
        <v>0.93765830257745653</v>
      </c>
      <c r="O124" s="19">
        <f>(G124-Settings!$D$19)/Settings!$E$19</f>
        <v>1.1897892644719887</v>
      </c>
      <c r="P124" s="19">
        <f>(H124-Settings!$D$20)/Settings!$E$20</f>
        <v>1.0529528178509666</v>
      </c>
      <c r="Q124" s="19">
        <f>(I124-Settings!$D$21)/Settings!$E$21</f>
        <v>2.6219979919071691E-2</v>
      </c>
      <c r="R124" s="19">
        <f>(J124-Settings!$D$22)/Settings!$E$22</f>
        <v>-0.40702227245249994</v>
      </c>
      <c r="S124" s="19">
        <f>(K124-Settings!$D$23)/Settings!$E$23</f>
        <v>-0.46870450217796178</v>
      </c>
      <c r="T124" s="19">
        <f>(L124-Settings!$D$24)/Settings!$E$24</f>
        <v>-0.13892730985913029</v>
      </c>
      <c r="U124" s="19">
        <f>(M124-Settings!$D$25)/Settings!$E$25</f>
        <v>-1.701277077258552E-2</v>
      </c>
      <c r="V124" s="31">
        <f>Settings!$B$18*(N124-F$6)^2</f>
        <v>7.8066859020204604E-2</v>
      </c>
      <c r="W124" s="31">
        <f>Settings!$B$19*(O124-G$6)^2</f>
        <v>0.65756955314227128</v>
      </c>
      <c r="X124" s="31">
        <f>Settings!$B$20*(P124-H$6)^2</f>
        <v>0.18606849433010372</v>
      </c>
      <c r="Y124" s="31">
        <f>Settings!$B$21*(Q124-I$6)^2</f>
        <v>1.8835857276209837E-5</v>
      </c>
      <c r="Z124" s="31">
        <f>Settings!$B$22*(R124-J$6)^2</f>
        <v>5.3123288899502998E-2</v>
      </c>
      <c r="AA124" s="31">
        <f>Settings!$B$23*(S124-K$6)^2</f>
        <v>0.47450289735438828</v>
      </c>
      <c r="AB124" s="31">
        <f>Settings!$B$24*(T124-L$6)^2</f>
        <v>0.69856918964727832</v>
      </c>
      <c r="AC124" s="31">
        <f>Settings!$B$25*(U124-M$6)^2</f>
        <v>2.455718984689331</v>
      </c>
      <c r="AD124" s="19">
        <f t="shared" si="4"/>
        <v>2.1456090284439888</v>
      </c>
      <c r="AE124" s="15">
        <f t="shared" si="5"/>
        <v>0.84927095247450368</v>
      </c>
      <c r="AF124" s="33">
        <f t="shared" si="6"/>
        <v>0.69723652724934182</v>
      </c>
      <c r="AG124" s="47">
        <f t="shared" si="7"/>
        <v>3.0072877197517361E-3</v>
      </c>
      <c r="AH124" s="18">
        <v>9.4176640699214831E-2</v>
      </c>
      <c r="AI124" s="46">
        <v>0</v>
      </c>
      <c r="AJ124" s="48"/>
      <c r="AK124" s="48"/>
      <c r="AL124" s="48"/>
      <c r="AM124" s="48"/>
    </row>
    <row r="125" spans="1:39" ht="20" customHeight="1" x14ac:dyDescent="0.45">
      <c r="A125" s="26">
        <v>115</v>
      </c>
      <c r="B125" s="16" t="s">
        <v>252</v>
      </c>
      <c r="C125" s="16" t="s">
        <v>224</v>
      </c>
      <c r="D125" s="46">
        <v>28</v>
      </c>
      <c r="E125" s="46">
        <v>0</v>
      </c>
      <c r="F125" s="13">
        <v>9.3102313805139211E-2</v>
      </c>
      <c r="G125" s="13">
        <v>-0.1660949521454809</v>
      </c>
      <c r="H125" s="13">
        <v>8.0199420896850504E-2</v>
      </c>
      <c r="I125" s="13">
        <v>-1.3412042619877309E-5</v>
      </c>
      <c r="J125" s="13">
        <v>0.66058990110990956</v>
      </c>
      <c r="K125" s="13">
        <v>20.155589430894331</v>
      </c>
      <c r="L125" s="13">
        <v>4.1089764074116202</v>
      </c>
      <c r="M125" s="13">
        <v>-2.5713212698268002</v>
      </c>
      <c r="N125" s="19">
        <f>(F125-Settings!$D$18)/Settings!$E$18</f>
        <v>-0.35510269060497923</v>
      </c>
      <c r="O125" s="19">
        <f>(G125-Settings!$D$19)/Settings!$E$19</f>
        <v>-0.66430175368277511</v>
      </c>
      <c r="P125" s="19">
        <f>(H125-Settings!$D$20)/Settings!$E$20</f>
        <v>0.24527956475240648</v>
      </c>
      <c r="Q125" s="19">
        <f>(I125-Settings!$D$21)/Settings!$E$21</f>
        <v>3.6044192399747807E-2</v>
      </c>
      <c r="R125" s="19">
        <f>(J125-Settings!$D$22)/Settings!$E$22</f>
        <v>1.1104659230028782</v>
      </c>
      <c r="S125" s="19">
        <f>(K125-Settings!$D$23)/Settings!$E$23</f>
        <v>1.7017885042611167</v>
      </c>
      <c r="T125" s="19">
        <f>(L125-Settings!$D$24)/Settings!$E$24</f>
        <v>1.9362829729635385</v>
      </c>
      <c r="U125" s="19">
        <f>(M125-Settings!$D$25)/Settings!$E$25</f>
        <v>-1.6981574444539835</v>
      </c>
      <c r="V125" s="31">
        <f>Settings!$B$18*(N125-F$6)^2</f>
        <v>8.9243090031465536E-2</v>
      </c>
      <c r="W125" s="31">
        <f>Settings!$B$19*(O125-G$6)^2</f>
        <v>3.3372298185614744E-4</v>
      </c>
      <c r="X125" s="31">
        <f>Settings!$B$20*(P125-H$6)^2</f>
        <v>0.62814982232370409</v>
      </c>
      <c r="Y125" s="31">
        <f>Settings!$B$21*(Q125-I$6)^2</f>
        <v>2.8613669354466512E-9</v>
      </c>
      <c r="Z125" s="31">
        <f>Settings!$B$22*(R125-J$6)^2</f>
        <v>0.20084420592997965</v>
      </c>
      <c r="AA125" s="31">
        <f>Settings!$B$23*(S125-K$6)^2</f>
        <v>2.1952905730182755</v>
      </c>
      <c r="AB125" s="31">
        <f>Settings!$B$24*(T125-L$6)^2</f>
        <v>1.5361266538230189</v>
      </c>
      <c r="AC125" s="31">
        <f>Settings!$B$25*(U125-M$6)^2</f>
        <v>1.301225957738858E-2</v>
      </c>
      <c r="AD125" s="19">
        <f t="shared" si="4"/>
        <v>2.1593981408130962</v>
      </c>
      <c r="AE125" s="15">
        <f t="shared" si="5"/>
        <v>0.85472893314117826</v>
      </c>
      <c r="AF125" s="33">
        <f t="shared" si="6"/>
        <v>0.69400176546954251</v>
      </c>
      <c r="AG125" s="47">
        <f t="shared" si="7"/>
        <v>2.9933356977383599E-3</v>
      </c>
      <c r="AH125" s="18">
        <v>-1.8174483718227199</v>
      </c>
      <c r="AI125" s="46">
        <v>0</v>
      </c>
      <c r="AJ125" s="18">
        <v>4.1911658736447421E-2</v>
      </c>
      <c r="AK125" s="46">
        <v>0</v>
      </c>
      <c r="AL125" s="18">
        <v>0.12947769014150709</v>
      </c>
      <c r="AM125" s="46">
        <v>1</v>
      </c>
    </row>
    <row r="126" spans="1:39" ht="20" customHeight="1" x14ac:dyDescent="0.45">
      <c r="A126" s="26">
        <v>116</v>
      </c>
      <c r="B126" s="16" t="s">
        <v>355</v>
      </c>
      <c r="C126" s="16" t="s">
        <v>227</v>
      </c>
      <c r="D126" s="46">
        <v>28</v>
      </c>
      <c r="E126" s="46">
        <v>0</v>
      </c>
      <c r="F126" s="13">
        <v>0.21327034012713539</v>
      </c>
      <c r="G126" s="13">
        <v>-9.6532387178006357E-2</v>
      </c>
      <c r="H126" s="13">
        <v>-0.12063111167120411</v>
      </c>
      <c r="I126" s="13">
        <v>-5.2745012786827743E-2</v>
      </c>
      <c r="J126" s="13">
        <v>0.51682114823682646</v>
      </c>
      <c r="K126" s="13">
        <v>17.90774193548387</v>
      </c>
      <c r="L126" s="13">
        <v>0.63253239225970503</v>
      </c>
      <c r="M126" s="13">
        <v>-2.803005354242305</v>
      </c>
      <c r="N126" s="19">
        <f>(F126-Settings!$D$18)/Settings!$E$18</f>
        <v>7.4971184525211065E-2</v>
      </c>
      <c r="O126" s="19">
        <f>(G126-Settings!$D$19)/Settings!$E$19</f>
        <v>-0.37449524184178978</v>
      </c>
      <c r="P126" s="19">
        <f>(H126-Settings!$D$20)/Settings!$E$20</f>
        <v>-1.5742836796580968</v>
      </c>
      <c r="Q126" s="19">
        <f>(I126-Settings!$D$21)/Settings!$E$21</f>
        <v>-0.61241251929857243</v>
      </c>
      <c r="R126" s="19">
        <f>(J126-Settings!$D$22)/Settings!$E$22</f>
        <v>0.72364932468087639</v>
      </c>
      <c r="S126" s="19">
        <f>(K126-Settings!$D$23)/Settings!$E$23</f>
        <v>0.92116277236209532</v>
      </c>
      <c r="T126" s="19">
        <f>(L126-Settings!$D$24)/Settings!$E$24</f>
        <v>-0.46717293057568293</v>
      </c>
      <c r="U126" s="19">
        <f>(M126-Settings!$D$25)/Settings!$E$25</f>
        <v>-1.8544077713659219</v>
      </c>
      <c r="V126" s="31">
        <f>Settings!$B$18*(N126-F$6)^2</f>
        <v>1.1321159133208194E-2</v>
      </c>
      <c r="W126" s="31">
        <f>Settings!$B$19*(O126-G$6)^2</f>
        <v>1.2396000100385962E-2</v>
      </c>
      <c r="X126" s="31">
        <f>Settings!$B$20*(P126-H$6)^2</f>
        <v>2.5801754501547212</v>
      </c>
      <c r="Y126" s="31">
        <f>Settings!$B$21*(Q126-I$6)^2</f>
        <v>8.4068199181379366E-2</v>
      </c>
      <c r="Z126" s="31">
        <f>Settings!$B$22*(R126-J$6)^2</f>
        <v>7.571677375450965E-2</v>
      </c>
      <c r="AA126" s="31">
        <f>Settings!$B$23*(S126-K$6)^2</f>
        <v>0.49143684629223006</v>
      </c>
      <c r="AB126" s="31">
        <f>Settings!$B$24*(T126-L$6)^2</f>
        <v>1.3550127217386698</v>
      </c>
      <c r="AC126" s="31">
        <f>Settings!$B$25*(U126-M$6)^2</f>
        <v>7.3073777458839889E-2</v>
      </c>
      <c r="AD126" s="19">
        <f t="shared" si="4"/>
        <v>2.1640704535236241</v>
      </c>
      <c r="AE126" s="15">
        <f t="shared" si="5"/>
        <v>0.85657831921912853</v>
      </c>
      <c r="AF126" s="33">
        <f t="shared" si="6"/>
        <v>0.69290442201229607</v>
      </c>
      <c r="AG126" s="47">
        <f t="shared" si="7"/>
        <v>2.9886026876702471E-3</v>
      </c>
      <c r="AH126" s="18">
        <v>-0.99599626098821958</v>
      </c>
      <c r="AI126" s="46">
        <v>0</v>
      </c>
      <c r="AJ126" s="18">
        <v>0.7653082685456436</v>
      </c>
      <c r="AK126" s="46">
        <v>0</v>
      </c>
      <c r="AL126" s="48"/>
      <c r="AM126" s="48"/>
    </row>
    <row r="127" spans="1:39" ht="20" customHeight="1" x14ac:dyDescent="0.45">
      <c r="A127" s="26">
        <v>117</v>
      </c>
      <c r="B127" s="16" t="s">
        <v>347</v>
      </c>
      <c r="C127" s="16" t="s">
        <v>246</v>
      </c>
      <c r="D127" s="46">
        <v>28</v>
      </c>
      <c r="E127" s="46">
        <v>1</v>
      </c>
      <c r="F127" s="13">
        <v>0.41118532030922111</v>
      </c>
      <c r="G127" s="13">
        <v>-9.1581151795154872E-2</v>
      </c>
      <c r="H127" s="13">
        <v>9.5854799679274488E-2</v>
      </c>
      <c r="I127" s="13">
        <v>5.67701833128557E-3</v>
      </c>
      <c r="J127" s="13">
        <v>0.39570170988506398</v>
      </c>
      <c r="K127" s="13">
        <v>16.255144032921791</v>
      </c>
      <c r="L127" s="13">
        <v>1.68742461441442</v>
      </c>
      <c r="M127" s="13">
        <v>0.53123226111879873</v>
      </c>
      <c r="N127" s="19">
        <f>(F127-Settings!$D$18)/Settings!$E$18</f>
        <v>0.78329656090400224</v>
      </c>
      <c r="O127" s="19">
        <f>(G127-Settings!$D$19)/Settings!$E$19</f>
        <v>-0.35386776417073534</v>
      </c>
      <c r="P127" s="19">
        <f>(H127-Settings!$D$20)/Settings!$E$20</f>
        <v>0.38712030702186107</v>
      </c>
      <c r="Q127" s="19">
        <f>(I127-Settings!$D$21)/Settings!$E$21</f>
        <v>0.10602116477178954</v>
      </c>
      <c r="R127" s="19">
        <f>(J127-Settings!$D$22)/Settings!$E$22</f>
        <v>0.39777177342146242</v>
      </c>
      <c r="S127" s="19">
        <f>(K127-Settings!$D$23)/Settings!$E$23</f>
        <v>0.3472535325865817</v>
      </c>
      <c r="T127" s="19">
        <f>(L127-Settings!$D$24)/Settings!$E$24</f>
        <v>0.2621317634982025</v>
      </c>
      <c r="U127" s="19">
        <f>(M127-Settings!$D$25)/Settings!$E$25</f>
        <v>0.3942392115141381</v>
      </c>
      <c r="V127" s="31">
        <f>Settings!$B$18*(N127-F$6)^2</f>
        <v>4.4256295321591942E-2</v>
      </c>
      <c r="W127" s="31">
        <f>Settings!$B$19*(O127-G$6)^2</f>
        <v>1.4535247488929544E-2</v>
      </c>
      <c r="X127" s="31">
        <f>Settings!$B$20*(P127-H$6)^2</f>
        <v>0.53162461542423667</v>
      </c>
      <c r="Y127" s="31">
        <f>Settings!$B$21*(Q127-I$6)^2</f>
        <v>9.8270620516839493E-4</v>
      </c>
      <c r="Z127" s="31">
        <f>Settings!$B$22*(R127-J$6)^2</f>
        <v>1.6752109209971527E-2</v>
      </c>
      <c r="AA127" s="31">
        <f>Settings!$B$23*(S127-K$6)^2</f>
        <v>1.6158560774799654E-2</v>
      </c>
      <c r="AB127" s="31">
        <f>Settings!$B$24*(T127-L$6)^2</f>
        <v>0.18900360025293994</v>
      </c>
      <c r="AC127" s="31">
        <f>Settings!$B$25*(U127-M$6)^2</f>
        <v>3.9137712471271611</v>
      </c>
      <c r="AD127" s="19">
        <f t="shared" si="4"/>
        <v>2.1741859124290173</v>
      </c>
      <c r="AE127" s="15">
        <f t="shared" si="5"/>
        <v>0.86058220124302642</v>
      </c>
      <c r="AF127" s="33">
        <f t="shared" si="6"/>
        <v>0.69052654580545125</v>
      </c>
      <c r="AG127" s="47">
        <f t="shared" si="7"/>
        <v>2.9783465441142786E-3</v>
      </c>
      <c r="AH127" s="18">
        <v>-0.13434234252506069</v>
      </c>
      <c r="AI127" s="46">
        <v>1</v>
      </c>
      <c r="AJ127" s="48"/>
      <c r="AK127" s="48"/>
      <c r="AL127" s="48"/>
      <c r="AM127" s="48"/>
    </row>
    <row r="128" spans="1:39" ht="20" customHeight="1" x14ac:dyDescent="0.45">
      <c r="A128" s="26">
        <v>118</v>
      </c>
      <c r="B128" s="16" t="s">
        <v>469</v>
      </c>
      <c r="C128" s="16" t="s">
        <v>232</v>
      </c>
      <c r="D128" s="46">
        <v>28</v>
      </c>
      <c r="E128" s="46">
        <v>0</v>
      </c>
      <c r="F128" s="13">
        <v>0.45500591983581029</v>
      </c>
      <c r="G128" s="13">
        <v>-0.18767606899505909</v>
      </c>
      <c r="H128" s="13">
        <v>-3.8968237795787499E-3</v>
      </c>
      <c r="I128" s="13">
        <v>0.1644184465959331</v>
      </c>
      <c r="J128" s="13">
        <v>-0.18900274079361859</v>
      </c>
      <c r="K128" s="13">
        <v>13.81315789473684</v>
      </c>
      <c r="L128" s="13">
        <v>0.58935991088454509</v>
      </c>
      <c r="M128" s="13">
        <v>-1.6037157058640059</v>
      </c>
      <c r="N128" s="19">
        <f>(F128-Settings!$D$18)/Settings!$E$18</f>
        <v>0.9401277549058854</v>
      </c>
      <c r="O128" s="19">
        <f>(G128-Settings!$D$19)/Settings!$E$19</f>
        <v>-0.75421143712721572</v>
      </c>
      <c r="P128" s="19">
        <f>(H128-Settings!$D$20)/Settings!$E$20</f>
        <v>-0.51664858357001253</v>
      </c>
      <c r="Q128" s="19">
        <f>(I128-Settings!$D$21)/Settings!$E$21</f>
        <v>2.0581133282947204</v>
      </c>
      <c r="R128" s="19">
        <f>(J128-Settings!$D$22)/Settings!$E$22</f>
        <v>-1.1754030793570487</v>
      </c>
      <c r="S128" s="19">
        <f>(K128-Settings!$D$23)/Settings!$E$23</f>
        <v>-0.50079208452046442</v>
      </c>
      <c r="T128" s="19">
        <f>(L128-Settings!$D$24)/Settings!$E$24</f>
        <v>-0.49702042841523353</v>
      </c>
      <c r="U128" s="19">
        <f>(M128-Settings!$D$25)/Settings!$E$25</f>
        <v>-1.0455934754078682</v>
      </c>
      <c r="V128" s="31">
        <f>Settings!$B$18*(N128-F$6)^2</f>
        <v>7.868521197631162E-2</v>
      </c>
      <c r="W128" s="31">
        <f>Settings!$B$19*(O128-G$6)^2</f>
        <v>3.4195500831706652E-3</v>
      </c>
      <c r="X128" s="31">
        <f>Settings!$B$20*(P128-H$6)^2</f>
        <v>1.2843771873368111</v>
      </c>
      <c r="Y128" s="31">
        <f>Settings!$B$21*(Q128-I$6)^2</f>
        <v>0.81784946576033135</v>
      </c>
      <c r="Z128" s="31">
        <f>Settings!$B$22*(R128-J$6)^2</f>
        <v>0.32960831209939118</v>
      </c>
      <c r="AA128" s="31">
        <f>Settings!$B$23*(S128-K$6)^2</f>
        <v>0.51973904028600926</v>
      </c>
      <c r="AB128" s="31">
        <f>Settings!$B$24*(T128-L$6)^2</f>
        <v>1.4253915627718325</v>
      </c>
      <c r="AC128" s="31">
        <f>Settings!$B$25*(U128-M$6)^2</f>
        <v>0.2899743636154245</v>
      </c>
      <c r="AD128" s="19">
        <f t="shared" si="4"/>
        <v>2.179230298506627</v>
      </c>
      <c r="AE128" s="15">
        <f t="shared" si="5"/>
        <v>0.86257886070520606</v>
      </c>
      <c r="AF128" s="33">
        <f t="shared" si="6"/>
        <v>0.6893396659604365</v>
      </c>
      <c r="AG128" s="47">
        <f t="shared" si="7"/>
        <v>2.9732273499194265E-3</v>
      </c>
      <c r="AH128" s="18">
        <v>0.81097931690100467</v>
      </c>
      <c r="AI128" s="46">
        <v>0</v>
      </c>
      <c r="AJ128" s="18">
        <v>0.74259976714912845</v>
      </c>
      <c r="AK128" s="46">
        <v>0</v>
      </c>
      <c r="AL128" s="18">
        <v>-1.108716625570924</v>
      </c>
      <c r="AM128" s="46">
        <v>0</v>
      </c>
    </row>
    <row r="129" spans="1:39" ht="20" customHeight="1" x14ac:dyDescent="0.45">
      <c r="A129" s="26">
        <v>119</v>
      </c>
      <c r="B129" s="16" t="s">
        <v>750</v>
      </c>
      <c r="C129" s="16" t="s">
        <v>216</v>
      </c>
      <c r="D129" s="46">
        <v>28</v>
      </c>
      <c r="E129" s="46">
        <v>1</v>
      </c>
      <c r="F129" s="13">
        <v>0.31715277641982909</v>
      </c>
      <c r="G129" s="13">
        <v>0.15101928831015299</v>
      </c>
      <c r="H129" s="13">
        <v>-1.5947305983111559E-2</v>
      </c>
      <c r="I129" s="13">
        <v>7.9089893538232786E-4</v>
      </c>
      <c r="J129" s="13">
        <v>0.51508973035152394</v>
      </c>
      <c r="K129" s="13">
        <v>12.20851063829787</v>
      </c>
      <c r="L129" s="13">
        <v>1.140688736675205</v>
      </c>
      <c r="M129" s="13">
        <v>-1.1927019834496919</v>
      </c>
      <c r="N129" s="19">
        <f>(F129-Settings!$D$18)/Settings!$E$18</f>
        <v>0.44675994815730519</v>
      </c>
      <c r="O129" s="19">
        <f>(G129-Settings!$D$19)/Settings!$E$19</f>
        <v>0.65683659026013952</v>
      </c>
      <c r="P129" s="19">
        <f>(H129-Settings!$D$20)/Settings!$E$20</f>
        <v>-0.62582826961969729</v>
      </c>
      <c r="Q129" s="19">
        <f>(I129-Settings!$D$21)/Settings!$E$21</f>
        <v>4.5935051858162011E-2</v>
      </c>
      <c r="R129" s="19">
        <f>(J129-Settings!$D$22)/Settings!$E$22</f>
        <v>0.71899086334430329</v>
      </c>
      <c r="S129" s="19">
        <f>(K129-Settings!$D$23)/Settings!$E$23</f>
        <v>-1.0580491678212578</v>
      </c>
      <c r="T129" s="19">
        <f>(L129-Settings!$D$24)/Settings!$E$24</f>
        <v>-0.1158566543511188</v>
      </c>
      <c r="U129" s="19">
        <f>(M129-Settings!$D$25)/Settings!$E$25</f>
        <v>-0.76840124334520099</v>
      </c>
      <c r="V129" s="31">
        <f>Settings!$B$18*(N129-F$6)^2</f>
        <v>3.5841838871311024E-3</v>
      </c>
      <c r="W129" s="31">
        <f>Settings!$B$19*(O129-G$6)^2</f>
        <v>0.32782832314305671</v>
      </c>
      <c r="X129" s="31">
        <f>Settings!$B$20*(P129-H$6)^2</f>
        <v>1.3974320477038917</v>
      </c>
      <c r="Y129" s="31">
        <f>Settings!$B$21*(Q129-I$6)^2</f>
        <v>2.0041904485469164E-5</v>
      </c>
      <c r="Z129" s="31">
        <f>Settings!$B$22*(R129-J$6)^2</f>
        <v>7.45745889799274E-2</v>
      </c>
      <c r="AA129" s="31">
        <f>Settings!$B$23*(S129-K$6)^2</f>
        <v>1.6337604033069861</v>
      </c>
      <c r="AB129" s="31">
        <f>Settings!$B$24*(T129-L$6)^2</f>
        <v>0.66053632865268963</v>
      </c>
      <c r="AC129" s="31">
        <f>Settings!$B$25*(U129-M$6)^2</f>
        <v>0.66534187152815527</v>
      </c>
      <c r="AD129" s="19">
        <f t="shared" si="4"/>
        <v>2.1824476601069551</v>
      </c>
      <c r="AE129" s="15">
        <f t="shared" si="5"/>
        <v>0.86385235075606925</v>
      </c>
      <c r="AF129" s="33">
        <f t="shared" si="6"/>
        <v>0.68858229365285728</v>
      </c>
      <c r="AG129" s="47">
        <f t="shared" si="7"/>
        <v>2.9699606873869158E-3</v>
      </c>
      <c r="AH129" s="18">
        <v>-0.8380572373798274</v>
      </c>
      <c r="AI129" s="46">
        <v>1</v>
      </c>
      <c r="AJ129" s="48"/>
      <c r="AK129" s="48"/>
      <c r="AL129" s="48"/>
      <c r="AM129" s="48"/>
    </row>
    <row r="130" spans="1:39" ht="20" customHeight="1" x14ac:dyDescent="0.45">
      <c r="A130" s="26">
        <v>120</v>
      </c>
      <c r="B130" s="16" t="s">
        <v>276</v>
      </c>
      <c r="C130" s="16" t="s">
        <v>229</v>
      </c>
      <c r="D130" s="46">
        <v>28</v>
      </c>
      <c r="E130" s="46">
        <v>1</v>
      </c>
      <c r="F130" s="13">
        <v>0.22823991934700061</v>
      </c>
      <c r="G130" s="13">
        <v>6.3256449944871507E-2</v>
      </c>
      <c r="H130" s="13">
        <v>9.4199727462980262E-2</v>
      </c>
      <c r="I130" s="13">
        <v>3.5661206018269139E-6</v>
      </c>
      <c r="J130" s="13">
        <v>0.6143003371245459</v>
      </c>
      <c r="K130" s="13">
        <v>17.10854341736691</v>
      </c>
      <c r="L130" s="13">
        <v>4.8818588698622323</v>
      </c>
      <c r="M130" s="13">
        <v>-3.523138664219021</v>
      </c>
      <c r="N130" s="19">
        <f>(F130-Settings!$D$18)/Settings!$E$18</f>
        <v>0.12854637537427102</v>
      </c>
      <c r="O130" s="19">
        <f>(G130-Settings!$D$19)/Settings!$E$19</f>
        <v>0.29120541970455771</v>
      </c>
      <c r="P130" s="19">
        <f>(H130-Settings!$D$20)/Settings!$E$20</f>
        <v>0.37212503447487666</v>
      </c>
      <c r="Q130" s="19">
        <f>(I130-Settings!$D$21)/Settings!$E$21</f>
        <v>3.625297809443645E-2</v>
      </c>
      <c r="R130" s="19">
        <f>(J130-Settings!$D$22)/Settings!$E$22</f>
        <v>0.98592167176051138</v>
      </c>
      <c r="S130" s="19">
        <f>(K130-Settings!$D$23)/Settings!$E$23</f>
        <v>0.64361950956892966</v>
      </c>
      <c r="T130" s="19">
        <f>(L130-Settings!$D$24)/Settings!$E$24</f>
        <v>2.4706188946762544</v>
      </c>
      <c r="U130" s="19">
        <f>(M130-Settings!$D$25)/Settings!$E$25</f>
        <v>-2.3400736961009225</v>
      </c>
      <c r="V130" s="31">
        <f>Settings!$B$18*(N130-F$6)^2</f>
        <v>6.7965814731656138E-3</v>
      </c>
      <c r="W130" s="31">
        <f>Settings!$B$19*(O130-G$6)^2</f>
        <v>0.16732003077865887</v>
      </c>
      <c r="X130" s="31">
        <f>Settings!$B$20*(P130-H$6)^2</f>
        <v>0.54144875485843347</v>
      </c>
      <c r="Y130" s="31">
        <f>Settings!$B$21*(Q130-I$6)^2</f>
        <v>2.1568901623721675E-8</v>
      </c>
      <c r="Z130" s="31">
        <f>Settings!$B$22*(R130-J$6)^2</f>
        <v>0.15402372925836094</v>
      </c>
      <c r="AA130" s="31">
        <f>Settings!$B$23*(S130-K$6)^2</f>
        <v>0.17933726240194633</v>
      </c>
      <c r="AB130" s="31">
        <f>Settings!$B$24*(T130-L$6)^2</f>
        <v>3.1461595762025389</v>
      </c>
      <c r="AC130" s="31">
        <f>Settings!$B$25*(U130-M$6)^2</f>
        <v>0.57151716561145427</v>
      </c>
      <c r="AD130" s="19">
        <f t="shared" si="4"/>
        <v>2.1832551665239359</v>
      </c>
      <c r="AE130" s="15">
        <f t="shared" si="5"/>
        <v>0.86417197643567212</v>
      </c>
      <c r="AF130" s="33">
        <f t="shared" si="6"/>
        <v>0.68839216069439557</v>
      </c>
      <c r="AG130" s="47">
        <f t="shared" si="7"/>
        <v>2.9691406148738514E-3</v>
      </c>
      <c r="AH130" s="18">
        <v>-0.49204348764882599</v>
      </c>
      <c r="AI130" s="46">
        <v>1</v>
      </c>
      <c r="AJ130" s="18">
        <v>-0.17475394325310131</v>
      </c>
      <c r="AK130" s="46">
        <v>1</v>
      </c>
      <c r="AL130" s="18">
        <v>-0.91180163483720467</v>
      </c>
      <c r="AM130" s="46">
        <v>1</v>
      </c>
    </row>
    <row r="131" spans="1:39" ht="20" customHeight="1" x14ac:dyDescent="0.45">
      <c r="A131" s="26">
        <v>121</v>
      </c>
      <c r="B131" s="16" t="s">
        <v>472</v>
      </c>
      <c r="C131" s="16" t="s">
        <v>246</v>
      </c>
      <c r="D131" s="46">
        <v>28</v>
      </c>
      <c r="E131" s="46">
        <v>1</v>
      </c>
      <c r="F131" s="13">
        <v>0.1287905076298578</v>
      </c>
      <c r="G131" s="13">
        <v>0.31648947251756743</v>
      </c>
      <c r="H131" s="13">
        <v>3.8496538173799548E-2</v>
      </c>
      <c r="I131" s="13">
        <v>7.6070617597205334E-2</v>
      </c>
      <c r="J131" s="13">
        <v>0.44015286408157001</v>
      </c>
      <c r="K131" s="13">
        <v>16.147747747747768</v>
      </c>
      <c r="L131" s="13">
        <v>2.216486994129319</v>
      </c>
      <c r="M131" s="13">
        <v>7.3129575336145614E-2</v>
      </c>
      <c r="N131" s="19">
        <f>(F131-Settings!$D$18)/Settings!$E$18</f>
        <v>-0.22737686964935475</v>
      </c>
      <c r="O131" s="19">
        <f>(G131-Settings!$D$19)/Settings!$E$19</f>
        <v>1.3462064678840906</v>
      </c>
      <c r="P131" s="19">
        <f>(H131-Settings!$D$20)/Settings!$E$20</f>
        <v>-0.13255657210647392</v>
      </c>
      <c r="Q131" s="19">
        <f>(I131-Settings!$D$21)/Settings!$E$21</f>
        <v>0.9716729041531621</v>
      </c>
      <c r="R131" s="19">
        <f>(J131-Settings!$D$22)/Settings!$E$22</f>
        <v>0.51736969657349974</v>
      </c>
      <c r="S131" s="19">
        <f>(K131-Settings!$D$23)/Settings!$E$23</f>
        <v>0.30995727299228981</v>
      </c>
      <c r="T131" s="19">
        <f>(L131-Settings!$D$24)/Settings!$E$24</f>
        <v>0.62790152545155786</v>
      </c>
      <c r="U131" s="19">
        <f>(M131-Settings!$D$25)/Settings!$E$25</f>
        <v>8.5289658102404978E-2</v>
      </c>
      <c r="V131" s="31">
        <f>Settings!$B$18*(N131-F$6)^2</f>
        <v>5.8377854698235233E-2</v>
      </c>
      <c r="W131" s="31">
        <f>Settings!$B$19*(O131-G$6)^2</f>
        <v>0.7759117395113222</v>
      </c>
      <c r="X131" s="31">
        <f>Settings!$B$20*(P131-H$6)^2</f>
        <v>0.92454473171424834</v>
      </c>
      <c r="Y131" s="31">
        <f>Settings!$B$21*(Q131-I$6)^2</f>
        <v>0.17512498477500299</v>
      </c>
      <c r="Z131" s="31">
        <f>Settings!$B$22*(R131-J$6)^2</f>
        <v>3.3458174018079004E-2</v>
      </c>
      <c r="AA131" s="31">
        <f>Settings!$B$23*(S131-K$6)^2</f>
        <v>8.0676446393654466E-3</v>
      </c>
      <c r="AB131" s="31">
        <f>Settings!$B$24*(T131-L$6)^2</f>
        <v>4.7576445827776179E-3</v>
      </c>
      <c r="AC131" s="31">
        <f>Settings!$B$25*(U131-M$6)^2</f>
        <v>2.7868155980585447</v>
      </c>
      <c r="AD131" s="19">
        <f t="shared" si="4"/>
        <v>2.1833594234567921</v>
      </c>
      <c r="AE131" s="15">
        <f t="shared" si="5"/>
        <v>0.86421324321983228</v>
      </c>
      <c r="AF131" s="33">
        <f t="shared" si="6"/>
        <v>0.6883676113811984</v>
      </c>
      <c r="AG131" s="47">
        <f t="shared" si="7"/>
        <v>2.9690347299334888E-3</v>
      </c>
      <c r="AH131" s="18">
        <v>-0.63694164500791683</v>
      </c>
      <c r="AI131" s="46">
        <v>1</v>
      </c>
      <c r="AJ131" s="48"/>
      <c r="AK131" s="48"/>
      <c r="AL131" s="48"/>
      <c r="AM131" s="48"/>
    </row>
    <row r="132" spans="1:39" ht="20" customHeight="1" x14ac:dyDescent="0.45">
      <c r="A132" s="26">
        <v>122</v>
      </c>
      <c r="B132" s="16" t="s">
        <v>298</v>
      </c>
      <c r="C132" s="16" t="s">
        <v>232</v>
      </c>
      <c r="D132" s="46">
        <v>28</v>
      </c>
      <c r="E132" s="46">
        <v>0</v>
      </c>
      <c r="F132" s="13">
        <v>0.38394064659535299</v>
      </c>
      <c r="G132" s="13">
        <v>-3.4033643371172213E-2</v>
      </c>
      <c r="H132" s="13">
        <v>0.15395010895160019</v>
      </c>
      <c r="I132" s="13">
        <v>-6.0500362277492968E-3</v>
      </c>
      <c r="J132" s="13">
        <v>0.42202556485412518</v>
      </c>
      <c r="K132" s="13">
        <v>19.873354564755861</v>
      </c>
      <c r="L132" s="13">
        <v>4.317215898452373</v>
      </c>
      <c r="M132" s="13">
        <v>-1.255652250042345</v>
      </c>
      <c r="N132" s="19">
        <f>(F132-Settings!$D$18)/Settings!$E$18</f>
        <v>0.68578957207001723</v>
      </c>
      <c r="O132" s="19">
        <f>(G132-Settings!$D$19)/Settings!$E$19</f>
        <v>-0.11411750928447405</v>
      </c>
      <c r="P132" s="19">
        <f>(H132-Settings!$D$20)/Settings!$E$20</f>
        <v>0.91347498065080079</v>
      </c>
      <c r="Q132" s="19">
        <f>(I132-Settings!$D$21)/Settings!$E$21</f>
        <v>-3.819003173913442E-2</v>
      </c>
      <c r="R132" s="19">
        <f>(J132-Settings!$D$22)/Settings!$E$22</f>
        <v>0.46859734455820962</v>
      </c>
      <c r="S132" s="19">
        <f>(K132-Settings!$D$23)/Settings!$E$23</f>
        <v>1.6037748270002692</v>
      </c>
      <c r="T132" s="19">
        <f>(L132-Settings!$D$24)/Settings!$E$24</f>
        <v>2.0802503234833565</v>
      </c>
      <c r="U132" s="19">
        <f>(M132-Settings!$D$25)/Settings!$E$25</f>
        <v>-0.81085560424405201</v>
      </c>
      <c r="V132" s="31">
        <f>Settings!$B$18*(N132-F$6)^2</f>
        <v>2.7810682467309063E-2</v>
      </c>
      <c r="W132" s="31">
        <f>Settings!$B$19*(O132-G$6)^2</f>
        <v>5.1884542804909055E-2</v>
      </c>
      <c r="X132" s="31">
        <f>Settings!$B$20*(P132-H$6)^2</f>
        <v>0.24377223532340875</v>
      </c>
      <c r="Y132" s="31">
        <f>Settings!$B$21*(Q132-I$6)^2</f>
        <v>1.0985951707722708E-3</v>
      </c>
      <c r="Z132" s="31">
        <f>Settings!$B$22*(R132-J$6)^2</f>
        <v>2.5954530298748564E-2</v>
      </c>
      <c r="AA132" s="31">
        <f>Settings!$B$23*(S132-K$6)^2</f>
        <v>1.914453069403153</v>
      </c>
      <c r="AB132" s="31">
        <f>Settings!$B$24*(T132-L$6)^2</f>
        <v>1.9137211806582497</v>
      </c>
      <c r="AC132" s="31">
        <f>Settings!$B$25*(U132-M$6)^2</f>
        <v>0.59788548123517771</v>
      </c>
      <c r="AD132" s="19">
        <f t="shared" si="4"/>
        <v>2.1855389077666239</v>
      </c>
      <c r="AE132" s="15">
        <f t="shared" si="5"/>
        <v>0.86507592262282507</v>
      </c>
      <c r="AF132" s="33">
        <f t="shared" si="6"/>
        <v>0.68785434180837968</v>
      </c>
      <c r="AG132" s="47">
        <f t="shared" si="7"/>
        <v>2.9668209198088968E-3</v>
      </c>
      <c r="AH132" s="18">
        <v>0.84541231309287124</v>
      </c>
      <c r="AI132" s="46">
        <v>0</v>
      </c>
      <c r="AJ132" s="18">
        <v>-0.26095606447420039</v>
      </c>
      <c r="AK132" s="46">
        <v>0</v>
      </c>
      <c r="AL132" s="18">
        <v>-0.43766738181808318</v>
      </c>
      <c r="AM132" s="46">
        <v>0</v>
      </c>
    </row>
    <row r="133" spans="1:39" ht="20" customHeight="1" x14ac:dyDescent="0.45">
      <c r="A133" s="26">
        <v>123</v>
      </c>
      <c r="B133" s="16" t="s">
        <v>366</v>
      </c>
      <c r="C133" s="16" t="s">
        <v>246</v>
      </c>
      <c r="D133" s="46">
        <v>28</v>
      </c>
      <c r="E133" s="46">
        <v>1</v>
      </c>
      <c r="F133" s="13">
        <v>0.13752081343377201</v>
      </c>
      <c r="G133" s="13">
        <v>-7.2904537514301662E-2</v>
      </c>
      <c r="H133" s="13">
        <v>7.8152351737848791E-2</v>
      </c>
      <c r="I133" s="13">
        <v>6.4993338521089503E-2</v>
      </c>
      <c r="J133" s="13">
        <v>0.64642895879298801</v>
      </c>
      <c r="K133" s="13">
        <v>18.279535864978861</v>
      </c>
      <c r="L133" s="13">
        <v>2.2336127515911341</v>
      </c>
      <c r="M133" s="13">
        <v>0.19957533004385741</v>
      </c>
      <c r="N133" s="19">
        <f>(F133-Settings!$D$18)/Settings!$E$18</f>
        <v>-0.19613164940998648</v>
      </c>
      <c r="O133" s="19">
        <f>(G133-Settings!$D$19)/Settings!$E$19</f>
        <v>-0.27605860862472609</v>
      </c>
      <c r="P133" s="19">
        <f>(H133-Settings!$D$20)/Settings!$E$20</f>
        <v>0.22673272452419746</v>
      </c>
      <c r="Q133" s="19">
        <f>(I133-Settings!$D$21)/Settings!$E$21</f>
        <v>0.83545219659097625</v>
      </c>
      <c r="R133" s="19">
        <f>(J133-Settings!$D$22)/Settings!$E$22</f>
        <v>1.0723652409937541</v>
      </c>
      <c r="S133" s="19">
        <f>(K133-Settings!$D$23)/Settings!$E$23</f>
        <v>1.0502782523580565</v>
      </c>
      <c r="T133" s="19">
        <f>(L133-Settings!$D$24)/Settings!$E$24</f>
        <v>0.63974149833614402</v>
      </c>
      <c r="U133" s="19">
        <f>(M133-Settings!$D$25)/Settings!$E$25</f>
        <v>0.17056608336722362</v>
      </c>
      <c r="V133" s="31">
        <f>Settings!$B$18*(N133-F$6)^2</f>
        <v>5.1820793153175629E-2</v>
      </c>
      <c r="W133" s="31">
        <f>Settings!$B$19*(O133-G$6)^2</f>
        <v>2.4136582442755929E-2</v>
      </c>
      <c r="X133" s="31">
        <f>Settings!$B$20*(P133-H$6)^2</f>
        <v>0.64136622126200926</v>
      </c>
      <c r="Y133" s="31">
        <f>Settings!$B$21*(Q133-I$6)^2</f>
        <v>0.12784888154863663</v>
      </c>
      <c r="Z133" s="31">
        <f>Settings!$B$22*(R133-J$6)^2</f>
        <v>0.18586213456927314</v>
      </c>
      <c r="AA133" s="31">
        <f>Settings!$B$23*(S133-K$6)^2</f>
        <v>0.68913415874187534</v>
      </c>
      <c r="AB133" s="31">
        <f>Settings!$B$24*(T133-L$6)^2</f>
        <v>3.2644891529196606E-3</v>
      </c>
      <c r="AC133" s="31">
        <f>Settings!$B$25*(U133-M$6)^2</f>
        <v>3.0788044699207799</v>
      </c>
      <c r="AD133" s="19">
        <f t="shared" si="4"/>
        <v>2.1914008603611128</v>
      </c>
      <c r="AE133" s="15">
        <f t="shared" si="5"/>
        <v>0.86739618973453292</v>
      </c>
      <c r="AF133" s="33">
        <f t="shared" si="6"/>
        <v>0.68647321246274717</v>
      </c>
      <c r="AG133" s="47">
        <f t="shared" si="7"/>
        <v>2.9608638978254171E-3</v>
      </c>
      <c r="AH133" s="18">
        <v>-0.45427704021768478</v>
      </c>
      <c r="AI133" s="46">
        <v>1</v>
      </c>
      <c r="AJ133" s="48"/>
      <c r="AK133" s="48"/>
      <c r="AL133" s="48"/>
      <c r="AM133" s="48"/>
    </row>
    <row r="134" spans="1:39" ht="20" customHeight="1" x14ac:dyDescent="0.45">
      <c r="A134" s="26">
        <v>124</v>
      </c>
      <c r="B134" s="16" t="s">
        <v>301</v>
      </c>
      <c r="C134" s="16" t="s">
        <v>258</v>
      </c>
      <c r="D134" s="46">
        <v>28</v>
      </c>
      <c r="E134" s="46">
        <v>0</v>
      </c>
      <c r="F134" s="13">
        <v>0.47518624053822278</v>
      </c>
      <c r="G134" s="13">
        <v>-0.29937904660572462</v>
      </c>
      <c r="H134" s="13">
        <v>0.17483714251743979</v>
      </c>
      <c r="I134" s="13">
        <v>-1.615605624242254E-3</v>
      </c>
      <c r="J134" s="13">
        <v>4.8981964714370517E-2</v>
      </c>
      <c r="K134" s="13">
        <v>20.716538461538459</v>
      </c>
      <c r="L134" s="13">
        <v>1.7146514868527909</v>
      </c>
      <c r="M134" s="13">
        <v>-0.6377501380523376</v>
      </c>
      <c r="N134" s="19">
        <f>(F134-Settings!$D$18)/Settings!$E$18</f>
        <v>1.0123518646919667</v>
      </c>
      <c r="O134" s="19">
        <f>(G134-Settings!$D$19)/Settings!$E$19</f>
        <v>-1.2195802791004091</v>
      </c>
      <c r="P134" s="19">
        <f>(H134-Settings!$D$20)/Settings!$E$20</f>
        <v>1.1027155212956428</v>
      </c>
      <c r="Q134" s="19">
        <f>(I134-Settings!$D$21)/Settings!$E$21</f>
        <v>1.6341525179710471E-2</v>
      </c>
      <c r="R134" s="19">
        <f>(J134-Settings!$D$22)/Settings!$E$22</f>
        <v>-0.53509402472867795</v>
      </c>
      <c r="S134" s="19">
        <f>(K134-Settings!$D$23)/Settings!$E$23</f>
        <v>1.896593200086204</v>
      </c>
      <c r="T134" s="19">
        <f>(L134-Settings!$D$24)/Settings!$E$24</f>
        <v>0.28095518968073291</v>
      </c>
      <c r="U134" s="19">
        <f>(M134-Settings!$D$25)/Settings!$E$25</f>
        <v>-0.39413553803153406</v>
      </c>
      <c r="V134" s="31">
        <f>Settings!$B$18*(N134-F$6)^2</f>
        <v>9.7849125488844779E-2</v>
      </c>
      <c r="W134" s="31">
        <f>Settings!$B$19*(O134-G$6)^2</f>
        <v>7.1073529741974978E-2</v>
      </c>
      <c r="X134" s="31">
        <f>Settings!$B$20*(P134-H$6)^2</f>
        <v>0.16736446025699941</v>
      </c>
      <c r="Y134" s="31">
        <f>Settings!$B$21*(Q134-I$6)^2</f>
        <v>7.6699216763748287E-5</v>
      </c>
      <c r="Z134" s="31">
        <f>Settings!$B$22*(R134-J$6)^2</f>
        <v>8.2806006555812717E-2</v>
      </c>
      <c r="AA134" s="31">
        <f>Settings!$B$23*(S134-K$6)^2</f>
        <v>2.8105047039313051</v>
      </c>
      <c r="AB134" s="31">
        <f>Settings!$B$24*(T134-L$6)^2</f>
        <v>0.17299112411529419</v>
      </c>
      <c r="AC134" s="31">
        <f>Settings!$B$25*(U134-M$6)^2</f>
        <v>1.4159824656110038</v>
      </c>
      <c r="AD134" s="19">
        <f t="shared" si="4"/>
        <v>2.1951419350278925</v>
      </c>
      <c r="AE134" s="15">
        <f t="shared" si="5"/>
        <v>0.86887697491180182</v>
      </c>
      <c r="AF134" s="33">
        <f t="shared" si="6"/>
        <v>0.68559130180178518</v>
      </c>
      <c r="AG134" s="47">
        <f t="shared" si="7"/>
        <v>2.957060082338165E-3</v>
      </c>
      <c r="AH134" s="18">
        <v>-0.95293336719345056</v>
      </c>
      <c r="AI134" s="46">
        <v>0</v>
      </c>
      <c r="AJ134" s="18">
        <v>0.24634697794787749</v>
      </c>
      <c r="AK134" s="46">
        <v>0</v>
      </c>
      <c r="AL134" s="18">
        <v>0.34559441454827883</v>
      </c>
      <c r="AM134" s="46">
        <v>0</v>
      </c>
    </row>
    <row r="135" spans="1:39" ht="20" customHeight="1" x14ac:dyDescent="0.45">
      <c r="A135" s="26">
        <v>125</v>
      </c>
      <c r="B135" s="16" t="s">
        <v>359</v>
      </c>
      <c r="C135" s="16" t="s">
        <v>258</v>
      </c>
      <c r="D135" s="46">
        <v>28</v>
      </c>
      <c r="E135" s="46">
        <v>0</v>
      </c>
      <c r="F135" s="13">
        <v>0.56681817780505039</v>
      </c>
      <c r="G135" s="13">
        <v>0.34050804099918569</v>
      </c>
      <c r="H135" s="13">
        <v>5.9706381186917831E-2</v>
      </c>
      <c r="I135" s="13">
        <v>1.660478208346277E-2</v>
      </c>
      <c r="J135" s="13">
        <v>-1.636261792538338E-2</v>
      </c>
      <c r="K135" s="13">
        <v>19.39153846153846</v>
      </c>
      <c r="L135" s="13">
        <v>0.58779062169987806</v>
      </c>
      <c r="M135" s="13">
        <v>-2.2974337607289441</v>
      </c>
      <c r="N135" s="19">
        <f>(F135-Settings!$D$18)/Settings!$E$18</f>
        <v>1.3402968559863564</v>
      </c>
      <c r="O135" s="19">
        <f>(G135-Settings!$D$19)/Settings!$E$19</f>
        <v>1.4462708854961532</v>
      </c>
      <c r="P135" s="19">
        <f>(H135-Settings!$D$20)/Settings!$E$20</f>
        <v>5.9608684206378874E-2</v>
      </c>
      <c r="Q135" s="19">
        <f>(I135-Settings!$D$21)/Settings!$E$21</f>
        <v>0.24040323641279282</v>
      </c>
      <c r="R135" s="19">
        <f>(J135-Settings!$D$22)/Settings!$E$22</f>
        <v>-0.71090670078210483</v>
      </c>
      <c r="S135" s="19">
        <f>(K135-Settings!$D$23)/Settings!$E$23</f>
        <v>1.4364511767158274</v>
      </c>
      <c r="T135" s="19">
        <f>(L135-Settings!$D$24)/Settings!$E$24</f>
        <v>-0.49810536386617399</v>
      </c>
      <c r="U135" s="19">
        <f>(M135-Settings!$D$25)/Settings!$E$25</f>
        <v>-1.5134446578955101</v>
      </c>
      <c r="V135" s="31">
        <f>Settings!$B$18*(N135-F$6)^2</f>
        <v>0.21111259565940804</v>
      </c>
      <c r="W135" s="31">
        <f>Settings!$B$19*(O135-G$6)^2</f>
        <v>0.85675145089086713</v>
      </c>
      <c r="X135" s="31">
        <f>Settings!$B$20*(P135-H$6)^2</f>
        <v>0.76666411039597104</v>
      </c>
      <c r="Y135" s="31">
        <f>Settings!$B$21*(Q135-I$6)^2</f>
        <v>8.3623040860125262E-3</v>
      </c>
      <c r="Z135" s="31">
        <f>Settings!$B$22*(R135-J$6)^2</f>
        <v>0.1342388089436127</v>
      </c>
      <c r="AA135" s="31">
        <f>Settings!$B$23*(S135-K$6)^2</f>
        <v>1.4794196781327311</v>
      </c>
      <c r="AB135" s="31">
        <f>Settings!$B$24*(T135-L$6)^2</f>
        <v>1.4279833435946976</v>
      </c>
      <c r="AC135" s="31">
        <f>Settings!$B$25*(U135-M$6)^2</f>
        <v>4.9902208037156141E-3</v>
      </c>
      <c r="AD135" s="19">
        <f t="shared" si="4"/>
        <v>2.211226472459801</v>
      </c>
      <c r="AE135" s="15">
        <f t="shared" si="5"/>
        <v>0.87524352643345305</v>
      </c>
      <c r="AF135" s="33">
        <f t="shared" si="6"/>
        <v>0.68179543468009907</v>
      </c>
      <c r="AG135" s="47">
        <f t="shared" si="7"/>
        <v>2.9406879272161571E-3</v>
      </c>
      <c r="AH135" s="18">
        <v>0.67816264295502759</v>
      </c>
      <c r="AI135" s="46">
        <v>0</v>
      </c>
      <c r="AJ135" s="18">
        <v>1.5623659619185319</v>
      </c>
      <c r="AK135" s="46">
        <v>0</v>
      </c>
      <c r="AL135" s="18">
        <v>-1.224158953213659</v>
      </c>
      <c r="AM135" s="46">
        <v>0</v>
      </c>
    </row>
    <row r="136" spans="1:39" ht="20" customHeight="1" x14ac:dyDescent="0.45">
      <c r="A136" s="26">
        <v>126</v>
      </c>
      <c r="B136" s="16" t="s">
        <v>461</v>
      </c>
      <c r="C136" s="16" t="s">
        <v>260</v>
      </c>
      <c r="D136" s="46">
        <v>28</v>
      </c>
      <c r="E136" s="46">
        <v>1</v>
      </c>
      <c r="F136" s="13">
        <v>0.11358215932574151</v>
      </c>
      <c r="G136" s="13">
        <v>-0.28613568863458488</v>
      </c>
      <c r="H136" s="13">
        <v>8.6015687140032049E-2</v>
      </c>
      <c r="I136" s="13">
        <v>-9.9888832533530841E-2</v>
      </c>
      <c r="J136" s="13">
        <v>0.41437763236611069</v>
      </c>
      <c r="K136" s="13">
        <v>16.185138888888861</v>
      </c>
      <c r="L136" s="13">
        <v>0.23280680151494229</v>
      </c>
      <c r="M136" s="13">
        <v>-0.42265179481036641</v>
      </c>
      <c r="N136" s="19">
        <f>(F136-Settings!$D$18)/Settings!$E$18</f>
        <v>-0.28180660016647907</v>
      </c>
      <c r="O136" s="19">
        <f>(G136-Settings!$D$19)/Settings!$E$19</f>
        <v>-1.1644067618433607</v>
      </c>
      <c r="P136" s="19">
        <f>(H136-Settings!$D$20)/Settings!$E$20</f>
        <v>0.2979760553729871</v>
      </c>
      <c r="Q136" s="19">
        <f>(I136-Settings!$D$21)/Settings!$E$21</f>
        <v>-1.1921545695757656</v>
      </c>
      <c r="R136" s="19">
        <f>(J136-Settings!$D$22)/Settings!$E$22</f>
        <v>0.44802022213007203</v>
      </c>
      <c r="S136" s="19">
        <f>(K136-Settings!$D$23)/Settings!$E$23</f>
        <v>0.3229423562683576</v>
      </c>
      <c r="T136" s="19">
        <f>(L136-Settings!$D$24)/Settings!$E$24</f>
        <v>-0.74352509580082049</v>
      </c>
      <c r="U136" s="19">
        <f>(M136-Settings!$D$25)/Settings!$E$25</f>
        <v>-0.24907081969076442</v>
      </c>
      <c r="V136" s="31">
        <f>Settings!$B$18*(N136-F$6)^2</f>
        <v>7.0733025667671812E-2</v>
      </c>
      <c r="W136" s="31">
        <f>Settings!$B$19*(O136-G$6)^2</f>
        <v>5.8526179213125799E-2</v>
      </c>
      <c r="X136" s="31">
        <f>Settings!$B$20*(P136-H$6)^2</f>
        <v>0.5913493834307304</v>
      </c>
      <c r="Y136" s="31">
        <f>Settings!$B$21*(Q136-I$6)^2</f>
        <v>0.30163568012311753</v>
      </c>
      <c r="Z136" s="31">
        <f>Settings!$B$22*(R136-J$6)^2</f>
        <v>2.3074135213411423E-2</v>
      </c>
      <c r="AA136" s="31">
        <f>Settings!$B$23*(S136-K$6)^2</f>
        <v>1.0568899156182619E-2</v>
      </c>
      <c r="AB136" s="31">
        <f>Settings!$B$24*(T136-L$6)^2</f>
        <v>2.074758792613026</v>
      </c>
      <c r="AC136" s="31">
        <f>Settings!$B$25*(U136-M$6)^2</f>
        <v>1.7822659396627396</v>
      </c>
      <c r="AD136" s="19">
        <f t="shared" si="4"/>
        <v>2.2165089747348206</v>
      </c>
      <c r="AE136" s="15">
        <f t="shared" si="5"/>
        <v>0.87733443660351706</v>
      </c>
      <c r="AF136" s="33">
        <f t="shared" si="6"/>
        <v>0.68054736449277897</v>
      </c>
      <c r="AG136" s="47">
        <f t="shared" si="7"/>
        <v>2.9353048097215491E-3</v>
      </c>
      <c r="AH136" s="18">
        <v>0.33148150905550172</v>
      </c>
      <c r="AI136" s="46">
        <v>1</v>
      </c>
      <c r="AJ136" s="48"/>
      <c r="AK136" s="48"/>
      <c r="AL136" s="48"/>
      <c r="AM136" s="48"/>
    </row>
    <row r="137" spans="1:39" ht="20" customHeight="1" x14ac:dyDescent="0.45">
      <c r="A137" s="26">
        <v>127</v>
      </c>
      <c r="B137" s="16" t="s">
        <v>456</v>
      </c>
      <c r="C137" s="16" t="s">
        <v>260</v>
      </c>
      <c r="D137" s="46">
        <v>28</v>
      </c>
      <c r="E137" s="46">
        <v>1</v>
      </c>
      <c r="F137" s="13">
        <v>0.37755995214916538</v>
      </c>
      <c r="G137" s="13">
        <v>-8.8765573962833744E-2</v>
      </c>
      <c r="H137" s="13">
        <v>-9.2467639570969193E-2</v>
      </c>
      <c r="I137" s="13">
        <v>0.1706040824278573</v>
      </c>
      <c r="J137" s="13">
        <v>0.27060275188917432</v>
      </c>
      <c r="K137" s="13">
        <v>16.29724517906336</v>
      </c>
      <c r="L137" s="13">
        <v>0.42129793017023781</v>
      </c>
      <c r="M137" s="13">
        <v>-2.6807558424267901</v>
      </c>
      <c r="N137" s="19">
        <f>(F137-Settings!$D$18)/Settings!$E$18</f>
        <v>0.66295346440906211</v>
      </c>
      <c r="O137" s="19">
        <f>(G137-Settings!$D$19)/Settings!$E$19</f>
        <v>-0.3421377080581795</v>
      </c>
      <c r="P137" s="19">
        <f>(H137-Settings!$D$20)/Settings!$E$20</f>
        <v>-1.3191172066458177</v>
      </c>
      <c r="Q137" s="19">
        <f>(I137-Settings!$D$21)/Settings!$E$21</f>
        <v>2.1341799944820439</v>
      </c>
      <c r="R137" s="19">
        <f>(J137-Settings!$D$22)/Settings!$E$22</f>
        <v>6.1187137201411855E-2</v>
      </c>
      <c r="S137" s="19">
        <f>(K137-Settings!$D$23)/Settings!$E$23</f>
        <v>0.36187429226340689</v>
      </c>
      <c r="T137" s="19">
        <f>(L137-Settings!$D$24)/Settings!$E$24</f>
        <v>-0.6132108684015497</v>
      </c>
      <c r="U137" s="19">
        <f>(M137-Settings!$D$25)/Settings!$E$25</f>
        <v>-1.7719613390432674</v>
      </c>
      <c r="V137" s="31">
        <f>Settings!$B$18*(N137-F$6)^2</f>
        <v>2.4508758430471171E-2</v>
      </c>
      <c r="W137" s="31">
        <f>Settings!$B$19*(O137-G$6)^2</f>
        <v>1.5827666640842782E-2</v>
      </c>
      <c r="X137" s="31">
        <f>Settings!$B$20*(P137-H$6)^2</f>
        <v>2.2265967919333147</v>
      </c>
      <c r="Y137" s="31">
        <f>Settings!$B$21*(Q137-I$6)^2</f>
        <v>0.88053515585794517</v>
      </c>
      <c r="Z137" s="31">
        <f>Settings!$B$22*(R137-J$6)^2</f>
        <v>4.4501108998951631E-4</v>
      </c>
      <c r="AA137" s="31">
        <f>Settings!$B$23*(S137-K$6)^2</f>
        <v>2.0089401945721348E-2</v>
      </c>
      <c r="AB137" s="31">
        <f>Settings!$B$24*(T137-L$6)^2</f>
        <v>1.7163307641261476</v>
      </c>
      <c r="AC137" s="31">
        <f>Settings!$B$25*(U137-M$6)^2</f>
        <v>3.5297085602286733E-2</v>
      </c>
      <c r="AD137" s="19">
        <f t="shared" si="4"/>
        <v>2.2180240385592578</v>
      </c>
      <c r="AE137" s="15">
        <f t="shared" si="5"/>
        <v>0.87793412633271839</v>
      </c>
      <c r="AF137" s="33">
        <f t="shared" si="6"/>
        <v>0.68018928102980925</v>
      </c>
      <c r="AG137" s="47">
        <f t="shared" si="7"/>
        <v>2.9337603410100727E-3</v>
      </c>
      <c r="AH137" s="18">
        <v>-0.54572014279876035</v>
      </c>
      <c r="AI137" s="46">
        <v>1</v>
      </c>
      <c r="AJ137" s="18">
        <v>0.85904310234318704</v>
      </c>
      <c r="AK137" s="46">
        <v>1</v>
      </c>
      <c r="AL137" s="18">
        <v>0.16468422658251011</v>
      </c>
      <c r="AM137" s="46">
        <v>1</v>
      </c>
    </row>
    <row r="138" spans="1:39" ht="20" customHeight="1" x14ac:dyDescent="0.45">
      <c r="A138" s="26">
        <v>128</v>
      </c>
      <c r="B138" s="16" t="s">
        <v>380</v>
      </c>
      <c r="C138" s="16" t="s">
        <v>216</v>
      </c>
      <c r="D138" s="46">
        <v>28</v>
      </c>
      <c r="E138" s="46">
        <v>1</v>
      </c>
      <c r="F138" s="13">
        <v>0.16135182378122709</v>
      </c>
      <c r="G138" s="13">
        <v>-0.3294346447298418</v>
      </c>
      <c r="H138" s="13">
        <v>-0.1041735827853547</v>
      </c>
      <c r="I138" s="13">
        <v>-4.7253128871915829E-6</v>
      </c>
      <c r="J138" s="13">
        <v>0.40503522339068909</v>
      </c>
      <c r="K138" s="13">
        <v>15.279591836734699</v>
      </c>
      <c r="L138" s="13">
        <v>0.41842346865088492</v>
      </c>
      <c r="M138" s="13">
        <v>-1.203527265490117</v>
      </c>
      <c r="N138" s="19">
        <f>(F138-Settings!$D$18)/Settings!$E$18</f>
        <v>-0.11084194896225914</v>
      </c>
      <c r="O138" s="19">
        <f>(G138-Settings!$D$19)/Settings!$E$19</f>
        <v>-1.3447957316605261</v>
      </c>
      <c r="P138" s="19">
        <f>(H138-Settings!$D$20)/Settings!$E$20</f>
        <v>-1.4251753031996108</v>
      </c>
      <c r="Q138" s="19">
        <f>(I138-Settings!$D$21)/Settings!$E$21</f>
        <v>3.6151015786832032E-2</v>
      </c>
      <c r="R138" s="19">
        <f>(J138-Settings!$D$22)/Settings!$E$22</f>
        <v>0.42288403093562155</v>
      </c>
      <c r="S138" s="19">
        <f>(K138-Settings!$D$23)/Settings!$E$23</f>
        <v>8.4666937511528682E-3</v>
      </c>
      <c r="T138" s="19">
        <f>(L138-Settings!$D$24)/Settings!$E$24</f>
        <v>-0.61519814087827418</v>
      </c>
      <c r="U138" s="19">
        <f>(M138-Settings!$D$25)/Settings!$E$25</f>
        <v>-0.77570193411987187</v>
      </c>
      <c r="V138" s="31">
        <f>Settings!$B$18*(N138-F$6)^2</f>
        <v>3.5909907115836324E-2</v>
      </c>
      <c r="W138" s="31">
        <f>Settings!$B$19*(O138-G$6)^2</f>
        <v>0.10406704693205926</v>
      </c>
      <c r="X138" s="31">
        <f>Settings!$B$20*(P138-H$6)^2</f>
        <v>2.3703963704360356</v>
      </c>
      <c r="Y138" s="31">
        <f>Settings!$B$21*(Q138-I$6)^2</f>
        <v>1.0254522746286095E-8</v>
      </c>
      <c r="Z138" s="31">
        <f>Settings!$B$22*(R138-J$6)^2</f>
        <v>1.9785371298307694E-2</v>
      </c>
      <c r="AA138" s="31">
        <f>Settings!$B$23*(S138-K$6)^2</f>
        <v>4.480440527290086E-2</v>
      </c>
      <c r="AB138" s="31">
        <f>Settings!$B$24*(T138-L$6)^2</f>
        <v>1.7215417173249106</v>
      </c>
      <c r="AC138" s="31">
        <f>Settings!$B$25*(U138-M$6)^2</f>
        <v>0.65348504502681071</v>
      </c>
      <c r="AD138" s="19">
        <f t="shared" si="4"/>
        <v>2.2248572704021674</v>
      </c>
      <c r="AE138" s="15">
        <f t="shared" si="5"/>
        <v>0.88063884337984766</v>
      </c>
      <c r="AF138" s="33">
        <f t="shared" si="6"/>
        <v>0.67857356252861412</v>
      </c>
      <c r="AG138" s="47">
        <f t="shared" si="7"/>
        <v>2.9267915001399752E-3</v>
      </c>
      <c r="AH138" s="18">
        <v>-9.0563041494248153E-2</v>
      </c>
      <c r="AI138" s="46">
        <v>1</v>
      </c>
      <c r="AJ138" s="18">
        <v>0.1776808151748891</v>
      </c>
      <c r="AK138" s="46">
        <v>1</v>
      </c>
      <c r="AL138" s="48"/>
      <c r="AM138" s="48"/>
    </row>
    <row r="139" spans="1:39" ht="20" customHeight="1" x14ac:dyDescent="0.45">
      <c r="A139" s="26">
        <v>129</v>
      </c>
      <c r="B139" s="16" t="s">
        <v>535</v>
      </c>
      <c r="C139" s="16" t="s">
        <v>214</v>
      </c>
      <c r="D139" s="46">
        <v>28</v>
      </c>
      <c r="E139" s="46">
        <v>1</v>
      </c>
      <c r="F139" s="13">
        <v>0.73348709634611886</v>
      </c>
      <c r="G139" s="13">
        <v>-4.9844488106772313E-2</v>
      </c>
      <c r="H139" s="13">
        <v>9.9818585898364245E-2</v>
      </c>
      <c r="I139" s="13">
        <v>1.9265430535889871E-2</v>
      </c>
      <c r="J139" s="13">
        <v>9.7584399112854631E-2</v>
      </c>
      <c r="K139" s="13">
        <v>19.602887139107558</v>
      </c>
      <c r="L139" s="13">
        <v>3.0319554574649068</v>
      </c>
      <c r="M139" s="13">
        <v>-0.33273145835001122</v>
      </c>
      <c r="N139" s="19">
        <f>(F139-Settings!$D$18)/Settings!$E$18</f>
        <v>1.9367945255798087</v>
      </c>
      <c r="O139" s="19">
        <f>(G139-Settings!$D$19)/Settings!$E$19</f>
        <v>-0.17998750364460325</v>
      </c>
      <c r="P139" s="19">
        <f>(H139-Settings!$D$20)/Settings!$E$20</f>
        <v>0.42303297239565113</v>
      </c>
      <c r="Q139" s="19">
        <f>(I139-Settings!$D$21)/Settings!$E$21</f>
        <v>0.2731220487017525</v>
      </c>
      <c r="R139" s="19">
        <f>(J139-Settings!$D$22)/Settings!$E$22</f>
        <v>-0.40432688674851869</v>
      </c>
      <c r="S139" s="19">
        <f>(K139-Settings!$D$23)/Settings!$E$23</f>
        <v>1.5098477111560527</v>
      </c>
      <c r="T139" s="19">
        <f>(L139-Settings!$D$24)/Settings!$E$24</f>
        <v>1.191679478961426</v>
      </c>
      <c r="U139" s="19">
        <f>(M139-Settings!$D$25)/Settings!$E$25</f>
        <v>-0.18842754329390843</v>
      </c>
      <c r="V139" s="31">
        <f>Settings!$B$18*(N139-F$6)^2</f>
        <v>0.52741259068054658</v>
      </c>
      <c r="W139" s="31">
        <f>Settings!$B$19*(O139-G$6)^2</f>
        <v>3.9332341815700979E-2</v>
      </c>
      <c r="X139" s="31">
        <f>Settings!$B$20*(P139-H$6)^2</f>
        <v>0.50846211268460817</v>
      </c>
      <c r="Y139" s="31">
        <f>Settings!$B$21*(Q139-I$6)^2</f>
        <v>1.1252527716092829E-2</v>
      </c>
      <c r="Z139" s="31">
        <f>Settings!$B$22*(R139-J$6)^2</f>
        <v>5.2569082871170514E-2</v>
      </c>
      <c r="AA139" s="31">
        <f>Settings!$B$23*(S139-K$6)^2</f>
        <v>1.6633531900515153</v>
      </c>
      <c r="AB139" s="31">
        <f>Settings!$B$24*(T139-L$6)^2</f>
        <v>0.24482928878506319</v>
      </c>
      <c r="AC139" s="31">
        <f>Settings!$B$25*(U139-M$6)^2</f>
        <v>1.9478629543156336</v>
      </c>
      <c r="AD139" s="19">
        <f t="shared" ref="AD139:AD202" si="8">SQRT(SUM(V139:AC139))</f>
        <v>2.2349662388770732</v>
      </c>
      <c r="AE139" s="15">
        <f t="shared" ref="AE139:AE202" si="9">AD139/Yardstick</f>
        <v>0.88464015637368987</v>
      </c>
      <c r="AF139" s="33">
        <f t="shared" ref="AF139:AF202" si="10">EXP(-(AD139^2)/(2*Yardstick^2))</f>
        <v>0.67618125976477217</v>
      </c>
      <c r="AG139" s="47">
        <f t="shared" ref="AG139:AG202" si="11">AF139/$E$7</f>
        <v>2.9164731326384728E-3</v>
      </c>
      <c r="AH139" s="48"/>
      <c r="AI139" s="48"/>
      <c r="AJ139" s="48"/>
      <c r="AK139" s="48"/>
      <c r="AL139" s="48"/>
      <c r="AM139" s="48"/>
    </row>
    <row r="140" spans="1:39" ht="20" customHeight="1" x14ac:dyDescent="0.45">
      <c r="A140" s="26">
        <v>130</v>
      </c>
      <c r="B140" s="16" t="s">
        <v>496</v>
      </c>
      <c r="C140" s="16" t="s">
        <v>220</v>
      </c>
      <c r="D140" s="46">
        <v>28</v>
      </c>
      <c r="E140" s="46">
        <v>1</v>
      </c>
      <c r="F140" s="13">
        <v>0.62673343360731693</v>
      </c>
      <c r="G140" s="13">
        <v>0.20024792275754799</v>
      </c>
      <c r="H140" s="13">
        <v>3.8634332074399078E-2</v>
      </c>
      <c r="I140" s="13">
        <v>1.6320891025863711E-2</v>
      </c>
      <c r="J140" s="13">
        <v>-0.1180634205348723</v>
      </c>
      <c r="K140" s="13">
        <v>15.04173789173786</v>
      </c>
      <c r="L140" s="13">
        <v>1.36524634149364</v>
      </c>
      <c r="M140" s="13">
        <v>-2.404343895478012E-2</v>
      </c>
      <c r="N140" s="19">
        <f>(F140-Settings!$D$18)/Settings!$E$18</f>
        <v>1.5547298214846064</v>
      </c>
      <c r="O140" s="19">
        <f>(G140-Settings!$D$19)/Settings!$E$19</f>
        <v>0.86192935586711872</v>
      </c>
      <c r="P140" s="19">
        <f>(H140-Settings!$D$20)/Settings!$E$20</f>
        <v>-0.13130813286952725</v>
      </c>
      <c r="Q140" s="19">
        <f>(I140-Settings!$D$21)/Settings!$E$21</f>
        <v>0.23691214076818612</v>
      </c>
      <c r="R140" s="19">
        <f>(J140-Settings!$D$22)/Settings!$E$22</f>
        <v>-0.98453749833620352</v>
      </c>
      <c r="S140" s="19">
        <f>(K140-Settings!$D$23)/Settings!$E$23</f>
        <v>-7.4134510412976903E-2</v>
      </c>
      <c r="T140" s="19">
        <f>(L140-Settings!$D$24)/Settings!$E$24</f>
        <v>3.9392300797641278E-2</v>
      </c>
      <c r="U140" s="19">
        <f>(M140-Settings!$D$25)/Settings!$E$25</f>
        <v>1.9755094999893065E-2</v>
      </c>
      <c r="V140" s="31">
        <f>Settings!$B$18*(N140-F$6)^2</f>
        <v>0.30843277652397766</v>
      </c>
      <c r="W140" s="31">
        <f>Settings!$B$19*(O140-G$6)^2</f>
        <v>0.44127219057376915</v>
      </c>
      <c r="X140" s="31">
        <f>Settings!$B$20*(P140-H$6)^2</f>
        <v>0.92347135971655581</v>
      </c>
      <c r="Y140" s="31">
        <f>Settings!$B$21*(Q140-I$6)^2</f>
        <v>8.0791998187469665E-3</v>
      </c>
      <c r="Z140" s="31">
        <f>Settings!$B$22*(R140-J$6)^2</f>
        <v>0.23888395258199424</v>
      </c>
      <c r="AA140" s="31">
        <f>Settings!$B$23*(S140-K$6)^2</f>
        <v>8.6595842409450119E-2</v>
      </c>
      <c r="AB140" s="31">
        <f>Settings!$B$24*(T140-L$6)^2</f>
        <v>0.43228640129012563</v>
      </c>
      <c r="AC140" s="31">
        <f>Settings!$B$25*(U140-M$6)^2</f>
        <v>2.5723067481755253</v>
      </c>
      <c r="AD140" s="19">
        <f t="shared" si="8"/>
        <v>2.2385996674461794</v>
      </c>
      <c r="AE140" s="15">
        <f t="shared" si="9"/>
        <v>0.88607833327391972</v>
      </c>
      <c r="AF140" s="33">
        <f t="shared" si="10"/>
        <v>0.67532082390738069</v>
      </c>
      <c r="AG140" s="47">
        <f t="shared" si="11"/>
        <v>2.9127619412616015E-3</v>
      </c>
      <c r="AH140" s="18">
        <v>0.66388809200859278</v>
      </c>
      <c r="AI140" s="46">
        <v>1</v>
      </c>
      <c r="AJ140" s="18">
        <v>-4.0546555802059903E-2</v>
      </c>
      <c r="AK140" s="46">
        <v>1</v>
      </c>
      <c r="AL140" s="18">
        <v>-1.1280860055815061</v>
      </c>
      <c r="AM140" s="46">
        <v>1</v>
      </c>
    </row>
    <row r="141" spans="1:39" ht="20" customHeight="1" x14ac:dyDescent="0.45">
      <c r="A141" s="26">
        <v>131</v>
      </c>
      <c r="B141" s="16" t="s">
        <v>463</v>
      </c>
      <c r="C141" s="16" t="s">
        <v>260</v>
      </c>
      <c r="D141" s="46">
        <v>28</v>
      </c>
      <c r="E141" s="46">
        <v>1</v>
      </c>
      <c r="F141" s="13">
        <v>0.16005316827669139</v>
      </c>
      <c r="G141" s="13">
        <v>0.37075825515972682</v>
      </c>
      <c r="H141" s="13">
        <v>-7.8317074455159369E-2</v>
      </c>
      <c r="I141" s="13">
        <v>7.1794893597253544E-3</v>
      </c>
      <c r="J141" s="13">
        <v>0.38369201274869691</v>
      </c>
      <c r="K141" s="13">
        <v>17.385135135135162</v>
      </c>
      <c r="L141" s="13">
        <v>1.718974799022253</v>
      </c>
      <c r="M141" s="13">
        <v>-0.57365848331234326</v>
      </c>
      <c r="N141" s="19">
        <f>(F141-Settings!$D$18)/Settings!$E$18</f>
        <v>-0.11548975605695375</v>
      </c>
      <c r="O141" s="19">
        <f>(G141-Settings!$D$19)/Settings!$E$19</f>
        <v>1.5722971332690505</v>
      </c>
      <c r="P141" s="19">
        <f>(H141-Settings!$D$20)/Settings!$E$20</f>
        <v>-1.1909103655688018</v>
      </c>
      <c r="Q141" s="19">
        <f>(I141-Settings!$D$21)/Settings!$E$21</f>
        <v>0.12449751308615535</v>
      </c>
      <c r="R141" s="19">
        <f>(J141-Settings!$D$22)/Settings!$E$22</f>
        <v>0.36545911785250146</v>
      </c>
      <c r="S141" s="19">
        <f>(K141-Settings!$D$23)/Settings!$E$23</f>
        <v>0.73967345120015349</v>
      </c>
      <c r="T141" s="19">
        <f>(L141-Settings!$D$24)/Settings!$E$24</f>
        <v>0.28394413186166506</v>
      </c>
      <c r="U141" s="19">
        <f>(M141-Settings!$D$25)/Settings!$E$25</f>
        <v>-0.35091141225390249</v>
      </c>
      <c r="V141" s="31">
        <f>Settings!$B$18*(N141-F$6)^2</f>
        <v>3.6701998972844062E-2</v>
      </c>
      <c r="W141" s="31">
        <f>Settings!$B$19*(O141-G$6)^2</f>
        <v>0.96426379156159536</v>
      </c>
      <c r="X141" s="31">
        <f>Settings!$B$20*(P141-H$6)^2</f>
        <v>2.0587735637780562</v>
      </c>
      <c r="Y141" s="31">
        <f>Settings!$B$21*(Q141-I$6)^2</f>
        <v>1.5690328519261283E-3</v>
      </c>
      <c r="Z141" s="31">
        <f>Settings!$B$22*(R141-J$6)^2</f>
        <v>1.3220234946784745E-2</v>
      </c>
      <c r="AA141" s="31">
        <f>Settings!$B$23*(S141-K$6)^2</f>
        <v>0.26991791126165782</v>
      </c>
      <c r="AB141" s="31">
        <f>Settings!$B$24*(T141-L$6)^2</f>
        <v>0.17051372417026667</v>
      </c>
      <c r="AC141" s="31">
        <f>Settings!$B$25*(U141-M$6)^2</f>
        <v>1.5207199407449299</v>
      </c>
      <c r="AD141" s="19">
        <f t="shared" si="8"/>
        <v>2.2440321295133141</v>
      </c>
      <c r="AE141" s="15">
        <f t="shared" si="9"/>
        <v>0.88822860024841277</v>
      </c>
      <c r="AF141" s="33">
        <f t="shared" si="10"/>
        <v>0.67403379852362166</v>
      </c>
      <c r="AG141" s="47">
        <f t="shared" si="11"/>
        <v>2.907210804050164E-3</v>
      </c>
      <c r="AH141" s="18">
        <v>-1.13354743365994</v>
      </c>
      <c r="AI141" s="46">
        <v>1</v>
      </c>
      <c r="AJ141" s="18">
        <v>-0.64904116377627852</v>
      </c>
      <c r="AK141" s="46">
        <v>1</v>
      </c>
      <c r="AL141" s="18">
        <v>0.36590442178933158</v>
      </c>
      <c r="AM141" s="46">
        <v>1</v>
      </c>
    </row>
    <row r="142" spans="1:39" ht="20" customHeight="1" x14ac:dyDescent="0.45">
      <c r="A142" s="26">
        <v>132</v>
      </c>
      <c r="B142" s="16" t="s">
        <v>544</v>
      </c>
      <c r="C142" s="16" t="s">
        <v>220</v>
      </c>
      <c r="D142" s="46">
        <v>28</v>
      </c>
      <c r="E142" s="46">
        <v>1</v>
      </c>
      <c r="F142" s="13">
        <v>0.24302595659486539</v>
      </c>
      <c r="G142" s="13">
        <v>0.30862556981395489</v>
      </c>
      <c r="H142" s="13">
        <v>2.2443058014977861E-2</v>
      </c>
      <c r="I142" s="13">
        <v>-6.0845890325516822E-2</v>
      </c>
      <c r="J142" s="13">
        <v>0.36505952525068491</v>
      </c>
      <c r="K142" s="13">
        <v>15.217307692307671</v>
      </c>
      <c r="L142" s="13">
        <v>1.042879860925517</v>
      </c>
      <c r="M142" s="13">
        <v>-0.15964608451597981</v>
      </c>
      <c r="N142" s="19">
        <f>(F142-Settings!$D$18)/Settings!$E$18</f>
        <v>0.18146468094724474</v>
      </c>
      <c r="O142" s="19">
        <f>(G142-Settings!$D$19)/Settings!$E$19</f>
        <v>1.3134444469169735</v>
      </c>
      <c r="P142" s="19">
        <f>(H142-Settings!$D$20)/Settings!$E$20</f>
        <v>-0.27800418940025795</v>
      </c>
      <c r="Q142" s="19">
        <f>(I142-Settings!$D$21)/Settings!$E$21</f>
        <v>-0.71203150177723551</v>
      </c>
      <c r="R142" s="19">
        <f>(J142-Settings!$D$22)/Settings!$E$22</f>
        <v>0.31532753301069116</v>
      </c>
      <c r="S142" s="19">
        <f>(K142-Settings!$D$23)/Settings!$E$23</f>
        <v>-1.3163156996428792E-2</v>
      </c>
      <c r="T142" s="19">
        <f>(L142-Settings!$D$24)/Settings!$E$24</f>
        <v>-0.18347728014418199</v>
      </c>
      <c r="U142" s="19">
        <f>(M142-Settings!$D$25)/Settings!$E$25</f>
        <v>-7.1696839441414639E-2</v>
      </c>
      <c r="V142" s="31">
        <f>Settings!$B$18*(N142-F$6)^2</f>
        <v>3.454570725120237E-3</v>
      </c>
      <c r="W142" s="31">
        <f>Settings!$B$19*(O142-G$6)^2</f>
        <v>0.75031439867568206</v>
      </c>
      <c r="X142" s="31">
        <f>Settings!$B$20*(P142-H$6)^2</f>
        <v>1.053863710528496</v>
      </c>
      <c r="Y142" s="31">
        <f>Settings!$B$21*(Q142-I$6)^2</f>
        <v>0.11188766041806758</v>
      </c>
      <c r="Z142" s="31">
        <f>Settings!$B$22*(R142-J$6)^2</f>
        <v>8.5673080986007344E-3</v>
      </c>
      <c r="AA142" s="31">
        <f>Settings!$B$23*(S142-K$6)^2</f>
        <v>5.4429058842142525E-2</v>
      </c>
      <c r="AB142" s="31">
        <f>Settings!$B$24*(T142-L$6)^2</f>
        <v>0.77502402223981504</v>
      </c>
      <c r="AC142" s="31">
        <f>Settings!$B$25*(U142-M$6)^2</f>
        <v>2.2873214351906817</v>
      </c>
      <c r="AD142" s="19">
        <f t="shared" si="8"/>
        <v>2.246077061171011</v>
      </c>
      <c r="AE142" s="15">
        <f t="shared" si="9"/>
        <v>0.88903802127230591</v>
      </c>
      <c r="AF142" s="33">
        <f t="shared" si="10"/>
        <v>0.67354915483246325</v>
      </c>
      <c r="AG142" s="47">
        <f t="shared" si="11"/>
        <v>2.9051204617288494E-3</v>
      </c>
      <c r="AH142" s="18">
        <v>-0.23479902601629579</v>
      </c>
      <c r="AI142" s="46">
        <v>1</v>
      </c>
      <c r="AJ142" s="18">
        <v>0.29592138152437658</v>
      </c>
      <c r="AK142" s="46">
        <v>1</v>
      </c>
      <c r="AL142" s="18">
        <v>0.53188532787706766</v>
      </c>
      <c r="AM142" s="46">
        <v>1</v>
      </c>
    </row>
    <row r="143" spans="1:39" ht="20" customHeight="1" x14ac:dyDescent="0.45">
      <c r="A143" s="26">
        <v>133</v>
      </c>
      <c r="B143" s="16" t="s">
        <v>376</v>
      </c>
      <c r="C143" s="16" t="s">
        <v>260</v>
      </c>
      <c r="D143" s="46">
        <v>28</v>
      </c>
      <c r="E143" s="46">
        <v>1</v>
      </c>
      <c r="F143" s="13">
        <v>0.37475387228978441</v>
      </c>
      <c r="G143" s="13">
        <v>-7.9767352178693515E-3</v>
      </c>
      <c r="H143" s="13">
        <v>3.8957260987360499E-2</v>
      </c>
      <c r="I143" s="13">
        <v>-2.8554915940155121E-3</v>
      </c>
      <c r="J143" s="13">
        <v>0.57545663991097018</v>
      </c>
      <c r="K143" s="13">
        <v>16.574999999999971</v>
      </c>
      <c r="L143" s="13">
        <v>3.4566147074454072</v>
      </c>
      <c r="M143" s="13">
        <v>0.29781100578372399</v>
      </c>
      <c r="N143" s="19">
        <f>(F143-Settings!$D$18)/Settings!$E$18</f>
        <v>0.65291067951872017</v>
      </c>
      <c r="O143" s="19">
        <f>(G143-Settings!$D$19)/Settings!$E$19</f>
        <v>-5.5611088009599749E-3</v>
      </c>
      <c r="P143" s="19">
        <f>(H143-Settings!$D$20)/Settings!$E$20</f>
        <v>-0.12838233481945771</v>
      </c>
      <c r="Q143" s="19">
        <f>(I143-Settings!$D$21)/Settings!$E$21</f>
        <v>1.0942660885218921E-3</v>
      </c>
      <c r="R143" s="19">
        <f>(J143-Settings!$D$22)/Settings!$E$22</f>
        <v>0.88141087562340237</v>
      </c>
      <c r="S143" s="19">
        <f>(K143-Settings!$D$23)/Settings!$E$23</f>
        <v>0.45833215287219853</v>
      </c>
      <c r="T143" s="19">
        <f>(L143-Settings!$D$24)/Settings!$E$24</f>
        <v>1.4852696466470607</v>
      </c>
      <c r="U143" s="19">
        <f>(M143-Settings!$D$25)/Settings!$E$25</f>
        <v>0.23681731718629603</v>
      </c>
      <c r="V143" s="31">
        <f>Settings!$B$18*(N143-F$6)^2</f>
        <v>2.3122688762426746E-2</v>
      </c>
      <c r="W143" s="31">
        <f>Settings!$B$19*(O143-G$6)^2</f>
        <v>7.6358095292130057E-2</v>
      </c>
      <c r="X143" s="31">
        <f>Settings!$B$20*(P143-H$6)^2</f>
        <v>0.92095828565297178</v>
      </c>
      <c r="Y143" s="31">
        <f>Settings!$B$21*(Q143-I$6)^2</f>
        <v>2.4263017041084814E-4</v>
      </c>
      <c r="Z143" s="31">
        <f>Settings!$B$22*(R143-J$6)^2</f>
        <v>0.11952226392010945</v>
      </c>
      <c r="AA143" s="31">
        <f>Settings!$B$23*(S143-K$6)^2</f>
        <v>5.67368332587362E-2</v>
      </c>
      <c r="AB143" s="31">
        <f>Settings!$B$24*(T143-L$6)^2</f>
        <v>0.62156263960467062</v>
      </c>
      <c r="AC143" s="31">
        <f>Settings!$B$25*(U143-M$6)^2</f>
        <v>3.3156894470435643</v>
      </c>
      <c r="AD143" s="19">
        <f t="shared" si="8"/>
        <v>2.2658757432182859</v>
      </c>
      <c r="AE143" s="15">
        <f t="shared" si="9"/>
        <v>0.89687469856864577</v>
      </c>
      <c r="AF143" s="33">
        <f t="shared" si="10"/>
        <v>0.66885223849369768</v>
      </c>
      <c r="AG143" s="47">
        <f t="shared" si="11"/>
        <v>2.884861943601586E-3</v>
      </c>
      <c r="AH143" s="18">
        <v>-1.484918723125648</v>
      </c>
      <c r="AI143" s="46">
        <v>1</v>
      </c>
      <c r="AJ143" s="18">
        <v>0.5387100462032155</v>
      </c>
      <c r="AK143" s="46">
        <v>1</v>
      </c>
      <c r="AL143" s="18">
        <v>1.155968981624528</v>
      </c>
      <c r="AM143" s="46">
        <v>1</v>
      </c>
    </row>
    <row r="144" spans="1:39" ht="20" customHeight="1" x14ac:dyDescent="0.45">
      <c r="A144" s="26">
        <v>134</v>
      </c>
      <c r="B144" s="16" t="s">
        <v>550</v>
      </c>
      <c r="C144" s="16" t="s">
        <v>246</v>
      </c>
      <c r="D144" s="46">
        <v>28</v>
      </c>
      <c r="E144" s="46">
        <v>1</v>
      </c>
      <c r="F144" s="13">
        <v>0.23981307962479639</v>
      </c>
      <c r="G144" s="13">
        <v>0.41281716973287058</v>
      </c>
      <c r="H144" s="13">
        <v>1.676425847524028E-3</v>
      </c>
      <c r="I144" s="13">
        <v>0.1192730403374192</v>
      </c>
      <c r="J144" s="13">
        <v>0.22642028445738979</v>
      </c>
      <c r="K144" s="13">
        <v>14.255109489051071</v>
      </c>
      <c r="L144" s="13">
        <v>1.897728201412981</v>
      </c>
      <c r="M144" s="13">
        <v>-0.33841037638297999</v>
      </c>
      <c r="N144" s="19">
        <f>(F144-Settings!$D$18)/Settings!$E$18</f>
        <v>0.16996599455681019</v>
      </c>
      <c r="O144" s="19">
        <f>(G144-Settings!$D$19)/Settings!$E$19</f>
        <v>1.747519932054</v>
      </c>
      <c r="P144" s="19">
        <f>(H144-Settings!$D$20)/Settings!$E$20</f>
        <v>-0.46615387022275623</v>
      </c>
      <c r="Q144" s="19">
        <f>(I144-Settings!$D$21)/Settings!$E$21</f>
        <v>1.5029463832841181</v>
      </c>
      <c r="R144" s="19">
        <f>(J144-Settings!$D$22)/Settings!$E$22</f>
        <v>-5.7687871560212226E-2</v>
      </c>
      <c r="S144" s="19">
        <f>(K144-Settings!$D$23)/Settings!$E$23</f>
        <v>-0.34731246124535931</v>
      </c>
      <c r="T144" s="19">
        <f>(L144-Settings!$D$24)/Settings!$E$24</f>
        <v>0.40752613645636387</v>
      </c>
      <c r="U144" s="19">
        <f>(M144-Settings!$D$25)/Settings!$E$25</f>
        <v>-0.19225746886430758</v>
      </c>
      <c r="V144" s="31">
        <f>Settings!$B$18*(N144-F$6)^2</f>
        <v>4.0855062783985109E-3</v>
      </c>
      <c r="W144" s="31">
        <f>Settings!$B$19*(O144-G$6)^2</f>
        <v>1.1243025958664963</v>
      </c>
      <c r="X144" s="31">
        <f>Settings!$B$20*(P144-H$6)^2</f>
        <v>1.2337027801137963</v>
      </c>
      <c r="Y144" s="31">
        <f>Settings!$B$21*(Q144-I$6)^2</f>
        <v>0.43043059354716529</v>
      </c>
      <c r="Z144" s="31">
        <f>Settings!$B$22*(R144-J$6)^2</f>
        <v>5.5142217592743237E-3</v>
      </c>
      <c r="AA144" s="31">
        <f>Settings!$B$23*(S144-K$6)^2</f>
        <v>0.32199912356260191</v>
      </c>
      <c r="AB144" s="31">
        <f>Settings!$B$24*(T144-L$6)^2</f>
        <v>8.3724041763424656E-2</v>
      </c>
      <c r="AC144" s="31">
        <f>Settings!$B$25*(U144-M$6)^2</f>
        <v>1.937187085453244</v>
      </c>
      <c r="AD144" s="19">
        <f t="shared" si="8"/>
        <v>2.2673654201174545</v>
      </c>
      <c r="AE144" s="15">
        <f t="shared" si="9"/>
        <v>0.89746433969257122</v>
      </c>
      <c r="AF144" s="33">
        <f t="shared" si="10"/>
        <v>0.66849850385203147</v>
      </c>
      <c r="AG144" s="47">
        <f t="shared" si="11"/>
        <v>2.8833362320211408E-3</v>
      </c>
      <c r="AH144" s="48"/>
      <c r="AI144" s="48"/>
      <c r="AJ144" s="48"/>
      <c r="AK144" s="48"/>
      <c r="AL144" s="48"/>
      <c r="AM144" s="48"/>
    </row>
    <row r="145" spans="1:39" ht="20" customHeight="1" x14ac:dyDescent="0.45">
      <c r="A145" s="26">
        <v>135</v>
      </c>
      <c r="B145" s="16" t="s">
        <v>289</v>
      </c>
      <c r="C145" s="16" t="s">
        <v>246</v>
      </c>
      <c r="D145" s="46">
        <v>28</v>
      </c>
      <c r="E145" s="46">
        <v>1</v>
      </c>
      <c r="F145" s="13">
        <v>0.2308632344345104</v>
      </c>
      <c r="G145" s="13">
        <v>0.13282024333679249</v>
      </c>
      <c r="H145" s="13">
        <v>0.35247417731817238</v>
      </c>
      <c r="I145" s="13">
        <v>-0.13718495957661239</v>
      </c>
      <c r="J145" s="13">
        <v>0.1466573853339124</v>
      </c>
      <c r="K145" s="13">
        <v>19.345528455284551</v>
      </c>
      <c r="L145" s="13">
        <v>2.467021858293927</v>
      </c>
      <c r="M145" s="13">
        <v>6.0383247169076608E-2</v>
      </c>
      <c r="N145" s="19">
        <f>(F145-Settings!$D$18)/Settings!$E$18</f>
        <v>0.13793505653933993</v>
      </c>
      <c r="O145" s="19">
        <f>(G145-Settings!$D$19)/Settings!$E$19</f>
        <v>0.58101704931835729</v>
      </c>
      <c r="P145" s="19">
        <f>(H145-Settings!$D$20)/Settings!$E$20</f>
        <v>2.7121412158670277</v>
      </c>
      <c r="Q145" s="19">
        <f>(I145-Settings!$D$21)/Settings!$E$21</f>
        <v>-1.6507965140666307</v>
      </c>
      <c r="R145" s="19">
        <f>(J145-Settings!$D$22)/Settings!$E$22</f>
        <v>-0.27229370693587002</v>
      </c>
      <c r="S145" s="19">
        <f>(K145-Settings!$D$23)/Settings!$E$23</f>
        <v>1.4204729598305768</v>
      </c>
      <c r="T145" s="19">
        <f>(L145-Settings!$D$24)/Settings!$E$24</f>
        <v>0.80110998090039698</v>
      </c>
      <c r="U145" s="19">
        <f>(M145-Settings!$D$25)/Settings!$E$25</f>
        <v>7.6693392424268925E-2</v>
      </c>
      <c r="V145" s="31">
        <f>Settings!$B$18*(N145-F$6)^2</f>
        <v>6.1219101167403556E-3</v>
      </c>
      <c r="W145" s="31">
        <f>Settings!$B$19*(O145-G$6)^2</f>
        <v>0.29014965395709341</v>
      </c>
      <c r="X145" s="31">
        <f>Settings!$B$20*(P145-H$6)^2</f>
        <v>9.6506550539911432E-2</v>
      </c>
      <c r="Y145" s="31">
        <f>Settings!$B$21*(Q145-I$6)^2</f>
        <v>0.56900561065598054</v>
      </c>
      <c r="Z145" s="31">
        <f>Settings!$B$22*(R145-J$6)^2</f>
        <v>2.8979088157574093E-2</v>
      </c>
      <c r="AA145" s="31">
        <f>Settings!$B$23*(S145-K$6)^2</f>
        <v>1.4408059246618035</v>
      </c>
      <c r="AB145" s="31">
        <f>Settings!$B$24*(T145-L$6)^2</f>
        <v>1.0864471249107742E-2</v>
      </c>
      <c r="AC145" s="31">
        <f>Settings!$B$25*(U145-M$6)^2</f>
        <v>2.7581886978676451</v>
      </c>
      <c r="AD145" s="19">
        <f t="shared" si="8"/>
        <v>2.2804872082969148</v>
      </c>
      <c r="AE145" s="15">
        <f t="shared" si="9"/>
        <v>0.9026581813466682</v>
      </c>
      <c r="AF145" s="33">
        <f t="shared" si="10"/>
        <v>0.66538071646956198</v>
      </c>
      <c r="AG145" s="47">
        <f t="shared" si="11"/>
        <v>2.8698887384638445E-3</v>
      </c>
      <c r="AH145" s="18">
        <v>-0.68269047615248191</v>
      </c>
      <c r="AI145" s="46">
        <v>1</v>
      </c>
      <c r="AJ145" s="48"/>
      <c r="AK145" s="48"/>
      <c r="AL145" s="48"/>
      <c r="AM145" s="48"/>
    </row>
    <row r="146" spans="1:39" ht="20" customHeight="1" x14ac:dyDescent="0.45">
      <c r="A146" s="26">
        <v>136</v>
      </c>
      <c r="B146" s="16" t="s">
        <v>434</v>
      </c>
      <c r="C146" s="16" t="s">
        <v>227</v>
      </c>
      <c r="D146" s="46">
        <v>28</v>
      </c>
      <c r="E146" s="46">
        <v>0</v>
      </c>
      <c r="F146" s="13">
        <v>0.45649100169055068</v>
      </c>
      <c r="G146" s="13">
        <v>3.5571262901842642E-2</v>
      </c>
      <c r="H146" s="13">
        <v>6.3869287188146412E-2</v>
      </c>
      <c r="I146" s="13">
        <v>-4.1597417155605637E-2</v>
      </c>
      <c r="J146" s="13">
        <v>0.40247103106385462</v>
      </c>
      <c r="K146" s="13">
        <v>18.04634146341466</v>
      </c>
      <c r="L146" s="13">
        <v>1.9020890321510291</v>
      </c>
      <c r="M146" s="13">
        <v>0.40253092025947729</v>
      </c>
      <c r="N146" s="19">
        <f>(F146-Settings!$D$18)/Settings!$E$18</f>
        <v>0.94544277028645196</v>
      </c>
      <c r="O146" s="19">
        <f>(G146-Settings!$D$19)/Settings!$E$19</f>
        <v>0.17586540183205795</v>
      </c>
      <c r="P146" s="19">
        <f>(H146-Settings!$D$20)/Settings!$E$20</f>
        <v>9.7325413096716468E-2</v>
      </c>
      <c r="Q146" s="19">
        <f>(I146-Settings!$D$21)/Settings!$E$21</f>
        <v>-0.47532710743273099</v>
      </c>
      <c r="R146" s="19">
        <f>(J146-Settings!$D$22)/Settings!$E$22</f>
        <v>0.41598495075659891</v>
      </c>
      <c r="S146" s="19">
        <f>(K146-Settings!$D$23)/Settings!$E$23</f>
        <v>0.96929520045285211</v>
      </c>
      <c r="T146" s="19">
        <f>(L146-Settings!$D$24)/Settings!$E$24</f>
        <v>0.41054101727596448</v>
      </c>
      <c r="U146" s="19">
        <f>(M146-Settings!$D$25)/Settings!$E$25</f>
        <v>0.30744159382707698</v>
      </c>
      <c r="V146" s="31">
        <f>Settings!$B$18*(N146-F$6)^2</f>
        <v>8.002437124564836E-2</v>
      </c>
      <c r="W146" s="31">
        <f>Settings!$B$19*(O146-G$6)^2</f>
        <v>0.12778200407546142</v>
      </c>
      <c r="X146" s="31">
        <f>Settings!$B$20*(P146-H$6)^2</f>
        <v>0.73741058712374752</v>
      </c>
      <c r="Y146" s="31">
        <f>Settings!$B$21*(Q146-I$6)^2</f>
        <v>5.2275657829748995E-2</v>
      </c>
      <c r="Z146" s="31">
        <f>Settings!$B$22*(R146-J$6)^2</f>
        <v>1.8926913618109664E-2</v>
      </c>
      <c r="AA146" s="31">
        <f>Settings!$B$23*(S146-K$6)^2</f>
        <v>0.56123770236133597</v>
      </c>
      <c r="AB146" s="31">
        <f>Settings!$B$24*(T146-L$6)^2</f>
        <v>8.198841328707808E-2</v>
      </c>
      <c r="AC146" s="31">
        <f>Settings!$B$25*(U146-M$6)^2</f>
        <v>3.5778772162969124</v>
      </c>
      <c r="AD146" s="19">
        <f t="shared" si="8"/>
        <v>2.2885634939494341</v>
      </c>
      <c r="AE146" s="15">
        <f t="shared" si="9"/>
        <v>0.90585492162769943</v>
      </c>
      <c r="AF146" s="33">
        <f t="shared" si="10"/>
        <v>0.66346009545121332</v>
      </c>
      <c r="AG146" s="47">
        <f t="shared" si="11"/>
        <v>2.8616048064306742E-3</v>
      </c>
      <c r="AH146" s="18">
        <v>-0.39915436604351551</v>
      </c>
      <c r="AI146" s="46">
        <v>0</v>
      </c>
      <c r="AJ146" s="18">
        <v>-0.62008284391914703</v>
      </c>
      <c r="AK146" s="46">
        <v>0</v>
      </c>
      <c r="AL146" s="18">
        <v>-0.53100377843789526</v>
      </c>
      <c r="AM146" s="46">
        <v>0</v>
      </c>
    </row>
    <row r="147" spans="1:39" ht="20" customHeight="1" x14ac:dyDescent="0.45">
      <c r="A147" s="26">
        <v>137</v>
      </c>
      <c r="B147" s="16" t="s">
        <v>215</v>
      </c>
      <c r="C147" s="16" t="s">
        <v>214</v>
      </c>
      <c r="D147" s="46">
        <v>28</v>
      </c>
      <c r="E147" s="46">
        <v>1</v>
      </c>
      <c r="F147" s="13">
        <v>0.22959932669470109</v>
      </c>
      <c r="G147" s="13">
        <v>6.566558165171528E-2</v>
      </c>
      <c r="H147" s="13">
        <v>0.21113893991545349</v>
      </c>
      <c r="I147" s="13">
        <v>-1.090726662014542E-2</v>
      </c>
      <c r="J147" s="13">
        <v>0.48268888511798469</v>
      </c>
      <c r="K147" s="13">
        <v>19.706687242798331</v>
      </c>
      <c r="L147" s="13">
        <v>3.7780633853531538</v>
      </c>
      <c r="M147" s="13">
        <v>-0.2236090424957613</v>
      </c>
      <c r="N147" s="19">
        <f>(F147-Settings!$D$18)/Settings!$E$18</f>
        <v>0.13341160952848286</v>
      </c>
      <c r="O147" s="19">
        <f>(G147-Settings!$D$19)/Settings!$E$19</f>
        <v>0.30124216945425947</v>
      </c>
      <c r="P147" s="19">
        <f>(H147-Settings!$D$20)/Settings!$E$20</f>
        <v>1.4316167864908607</v>
      </c>
      <c r="Q147" s="19">
        <f>(I147-Settings!$D$21)/Settings!$E$21</f>
        <v>-9.792088769196268E-2</v>
      </c>
      <c r="R147" s="19">
        <f>(J147-Settings!$D$22)/Settings!$E$22</f>
        <v>0.631814863792722</v>
      </c>
      <c r="S147" s="19">
        <f>(K147-Settings!$D$23)/Settings!$E$23</f>
        <v>1.5458950996378091</v>
      </c>
      <c r="T147" s="19">
        <f>(L147-Settings!$D$24)/Settings!$E$24</f>
        <v>1.7075047004074444</v>
      </c>
      <c r="U147" s="19">
        <f>(M147-Settings!$D$25)/Settings!$E$25</f>
        <v>-0.11483417069059818</v>
      </c>
      <c r="V147" s="31">
        <f>Settings!$B$18*(N147-F$6)^2</f>
        <v>6.4425638438644905E-3</v>
      </c>
      <c r="W147" s="31">
        <f>Settings!$B$19*(O147-G$6)^2</f>
        <v>0.17101225739723275</v>
      </c>
      <c r="X147" s="31">
        <f>Settings!$B$20*(P147-H$6)^2</f>
        <v>6.8650759535076586E-2</v>
      </c>
      <c r="Y147" s="31">
        <f>Settings!$B$21*(Q147-I$6)^2</f>
        <v>3.5829219095728326E-3</v>
      </c>
      <c r="Z147" s="31">
        <f>Settings!$B$22*(R147-J$6)^2</f>
        <v>5.4801494990848812E-2</v>
      </c>
      <c r="AA147" s="31">
        <f>Settings!$B$23*(S147-K$6)^2</f>
        <v>1.7576339955668139</v>
      </c>
      <c r="AB147" s="31">
        <f>Settings!$B$24*(T147-L$6)^2</f>
        <v>1.0213679313437489</v>
      </c>
      <c r="AC147" s="31">
        <f>Settings!$B$25*(U147-M$6)^2</f>
        <v>2.1587013869609946</v>
      </c>
      <c r="AD147" s="19">
        <f t="shared" si="8"/>
        <v>2.289583654629844</v>
      </c>
      <c r="AE147" s="15">
        <f t="shared" si="9"/>
        <v>0.90625871972010263</v>
      </c>
      <c r="AF147" s="33">
        <f t="shared" si="10"/>
        <v>0.66321740367517157</v>
      </c>
      <c r="AG147" s="47">
        <f t="shared" si="11"/>
        <v>2.8605580397033856E-3</v>
      </c>
      <c r="AH147" s="48"/>
      <c r="AI147" s="48"/>
      <c r="AJ147" s="48"/>
      <c r="AK147" s="48"/>
      <c r="AL147" s="48"/>
      <c r="AM147" s="48"/>
    </row>
    <row r="148" spans="1:39" ht="20" customHeight="1" x14ac:dyDescent="0.45">
      <c r="A148" s="26">
        <v>138</v>
      </c>
      <c r="B148" s="16" t="s">
        <v>340</v>
      </c>
      <c r="C148" s="16" t="s">
        <v>236</v>
      </c>
      <c r="D148" s="46">
        <v>28</v>
      </c>
      <c r="E148" s="46">
        <v>0</v>
      </c>
      <c r="F148" s="13">
        <v>0.48768149500655777</v>
      </c>
      <c r="G148" s="13">
        <v>-7.3695381006218377E-2</v>
      </c>
      <c r="H148" s="13">
        <v>-7.7226351578668584E-2</v>
      </c>
      <c r="I148" s="13">
        <v>-7.8707012279616642E-3</v>
      </c>
      <c r="J148" s="13">
        <v>0.35352607118059359</v>
      </c>
      <c r="K148" s="13">
        <v>17.755930470347671</v>
      </c>
      <c r="L148" s="13">
        <v>7.8719019013600455E-2</v>
      </c>
      <c r="M148" s="13">
        <v>-3.170900949517121</v>
      </c>
      <c r="N148" s="19">
        <f>(F148-Settings!$D$18)/Settings!$E$18</f>
        <v>1.0570716015006172</v>
      </c>
      <c r="O148" s="19">
        <f>(G148-Settings!$D$19)/Settings!$E$19</f>
        <v>-0.27935336341002892</v>
      </c>
      <c r="P148" s="19">
        <f>(H148-Settings!$D$20)/Settings!$E$20</f>
        <v>-1.1810282065637823</v>
      </c>
      <c r="Q148" s="19">
        <f>(I148-Settings!$D$21)/Settings!$E$21</f>
        <v>-6.0579309183392827E-2</v>
      </c>
      <c r="R148" s="19">
        <f>(J148-Settings!$D$22)/Settings!$E$22</f>
        <v>0.28429623183334723</v>
      </c>
      <c r="S148" s="19">
        <f>(K148-Settings!$D$23)/Settings!$E$23</f>
        <v>0.86844214237070538</v>
      </c>
      <c r="T148" s="19">
        <f>(L148-Settings!$D$24)/Settings!$E$24</f>
        <v>-0.85005440819647382</v>
      </c>
      <c r="U148" s="19">
        <f>(M148-Settings!$D$25)/Settings!$E$25</f>
        <v>-2.1025206582574532</v>
      </c>
      <c r="V148" s="31">
        <f>Settings!$B$18*(N148-F$6)^2</f>
        <v>0.11076098038550064</v>
      </c>
      <c r="W148" s="31">
        <f>Settings!$B$19*(O148-G$6)^2</f>
        <v>2.3680921698177589E-2</v>
      </c>
      <c r="X148" s="31">
        <f>Settings!$B$20*(P148-H$6)^2</f>
        <v>2.0461107046585716</v>
      </c>
      <c r="Y148" s="31">
        <f>Settings!$B$21*(Q148-I$6)^2</f>
        <v>1.8626001725404737E-3</v>
      </c>
      <c r="Z148" s="31">
        <f>Settings!$B$22*(R148-J$6)^2</f>
        <v>6.1908782789383563E-3</v>
      </c>
      <c r="AA148" s="31">
        <f>Settings!$B$23*(S148-K$6)^2</f>
        <v>0.42029929200131011</v>
      </c>
      <c r="AB148" s="31">
        <f>Settings!$B$24*(T148-L$6)^2</f>
        <v>2.3929974206972808</v>
      </c>
      <c r="AC148" s="31">
        <f>Settings!$B$25*(U148-M$6)^2</f>
        <v>0.26877433643882637</v>
      </c>
      <c r="AD148" s="19">
        <f t="shared" si="8"/>
        <v>2.2957955340864191</v>
      </c>
      <c r="AE148" s="15">
        <f t="shared" si="9"/>
        <v>0.90871749422785542</v>
      </c>
      <c r="AF148" s="33">
        <f t="shared" si="10"/>
        <v>0.66173921072871378</v>
      </c>
      <c r="AG148" s="47">
        <f t="shared" si="11"/>
        <v>2.8541823675726618E-3</v>
      </c>
      <c r="AH148" s="18">
        <v>-0.97882937291175443</v>
      </c>
      <c r="AI148" s="46">
        <v>0</v>
      </c>
      <c r="AJ148" s="18">
        <v>0.67266186183461008</v>
      </c>
      <c r="AK148" s="46">
        <v>1</v>
      </c>
      <c r="AL148" s="18">
        <v>-8.4201340969423111E-3</v>
      </c>
      <c r="AM148" s="46">
        <v>1</v>
      </c>
    </row>
    <row r="149" spans="1:39" ht="20" customHeight="1" x14ac:dyDescent="0.45">
      <c r="A149" s="26">
        <v>139</v>
      </c>
      <c r="B149" s="16" t="s">
        <v>209</v>
      </c>
      <c r="C149" s="16" t="s">
        <v>258</v>
      </c>
      <c r="D149" s="46">
        <v>28</v>
      </c>
      <c r="E149" s="46">
        <v>0</v>
      </c>
      <c r="F149" s="13">
        <v>0.28691449945060588</v>
      </c>
      <c r="G149" s="13">
        <v>0.107307094296335</v>
      </c>
      <c r="H149" s="13">
        <v>0.16215871187015671</v>
      </c>
      <c r="I149" s="13">
        <v>-2.9966886942855219E-2</v>
      </c>
      <c r="J149" s="13">
        <v>0.41365280744004718</v>
      </c>
      <c r="K149" s="13">
        <v>19.506282051282081</v>
      </c>
      <c r="L149" s="13">
        <v>3.610607655370039</v>
      </c>
      <c r="M149" s="13">
        <v>-9.5749170799181993E-2</v>
      </c>
      <c r="N149" s="19">
        <f>(F149-Settings!$D$18)/Settings!$E$18</f>
        <v>0.33853903988868556</v>
      </c>
      <c r="O149" s="19">
        <f>(G149-Settings!$D$19)/Settings!$E$19</f>
        <v>0.4747260186044765</v>
      </c>
      <c r="P149" s="19">
        <f>(H149-Settings!$D$20)/Settings!$E$20</f>
        <v>0.98784650159224385</v>
      </c>
      <c r="Q149" s="19">
        <f>(I149-Settings!$D$21)/Settings!$E$21</f>
        <v>-0.33230290049365913</v>
      </c>
      <c r="R149" s="19">
        <f>(J149-Settings!$D$22)/Settings!$E$22</f>
        <v>0.44607004654131671</v>
      </c>
      <c r="S149" s="19">
        <f>(K149-Settings!$D$23)/Settings!$E$23</f>
        <v>1.4762989861900995</v>
      </c>
      <c r="T149" s="19">
        <f>(L149-Settings!$D$24)/Settings!$E$24</f>
        <v>1.5917333947125363</v>
      </c>
      <c r="U149" s="19">
        <f>(M149-Settings!$D$25)/Settings!$E$25</f>
        <v>-2.8604049178755472E-2</v>
      </c>
      <c r="V149" s="31">
        <f>Settings!$B$18*(N149-F$6)^2</f>
        <v>1.3156531559874431E-4</v>
      </c>
      <c r="W149" s="31">
        <f>Settings!$B$19*(O149-G$6)^2</f>
        <v>0.2411994623948952</v>
      </c>
      <c r="X149" s="31">
        <f>Settings!$B$20*(P149-H$6)^2</f>
        <v>0.21203538763758401</v>
      </c>
      <c r="Y149" s="31">
        <f>Settings!$B$21*(Q149-I$6)^2</f>
        <v>2.7118295657617086E-2</v>
      </c>
      <c r="Z149" s="31">
        <f>Settings!$B$22*(R149-J$6)^2</f>
        <v>2.2809935172631208E-2</v>
      </c>
      <c r="AA149" s="31">
        <f>Settings!$B$23*(S149-K$6)^2</f>
        <v>1.5779424208754751</v>
      </c>
      <c r="AB149" s="31">
        <f>Settings!$B$24*(T149-L$6)^2</f>
        <v>0.80076759749559157</v>
      </c>
      <c r="AC149" s="31">
        <f>Settings!$B$25*(U149-M$6)^2</f>
        <v>2.4195245747162391</v>
      </c>
      <c r="AD149" s="19">
        <f t="shared" si="8"/>
        <v>2.3025049922346819</v>
      </c>
      <c r="AE149" s="15">
        <f t="shared" si="9"/>
        <v>0.9113732194026769</v>
      </c>
      <c r="AF149" s="33">
        <f t="shared" si="10"/>
        <v>0.66014183038715157</v>
      </c>
      <c r="AG149" s="47">
        <f t="shared" si="11"/>
        <v>2.847292621988184E-3</v>
      </c>
      <c r="AH149" s="18">
        <v>1.3086286777969049</v>
      </c>
      <c r="AI149" s="46">
        <v>0</v>
      </c>
      <c r="AJ149" s="18">
        <v>0.8529700881519604</v>
      </c>
      <c r="AK149" s="46">
        <v>0</v>
      </c>
      <c r="AL149" s="18">
        <v>-0.99598650553672474</v>
      </c>
      <c r="AM149" s="46">
        <v>0</v>
      </c>
    </row>
    <row r="150" spans="1:39" ht="20" customHeight="1" x14ac:dyDescent="0.45">
      <c r="A150" s="26">
        <v>140</v>
      </c>
      <c r="B150" s="16" t="s">
        <v>402</v>
      </c>
      <c r="C150" s="16" t="s">
        <v>258</v>
      </c>
      <c r="D150" s="46">
        <v>28</v>
      </c>
      <c r="E150" s="46">
        <v>0</v>
      </c>
      <c r="F150" s="13">
        <v>-1.7849364839920619E-2</v>
      </c>
      <c r="G150" s="13">
        <v>0.19478654961931269</v>
      </c>
      <c r="H150" s="13">
        <v>3.016234949136672E-2</v>
      </c>
      <c r="I150" s="13">
        <v>-0.24040754422368049</v>
      </c>
      <c r="J150" s="13">
        <v>0.51679419182571951</v>
      </c>
      <c r="K150" s="13">
        <v>17.43576923076926</v>
      </c>
      <c r="L150" s="13">
        <v>0.50163347718834861</v>
      </c>
      <c r="M150" s="13">
        <v>-2.4722374956021032</v>
      </c>
      <c r="N150" s="19">
        <f>(F150-Settings!$D$18)/Settings!$E$18</f>
        <v>-0.75219183193130235</v>
      </c>
      <c r="O150" s="19">
        <f>(G150-Settings!$D$19)/Settings!$E$19</f>
        <v>0.8391765792868694</v>
      </c>
      <c r="P150" s="19">
        <f>(H150-Settings!$D$20)/Settings!$E$20</f>
        <v>-0.20806592421854889</v>
      </c>
      <c r="Q150" s="19">
        <f>(I150-Settings!$D$21)/Settings!$E$21</f>
        <v>-2.9201563830744308</v>
      </c>
      <c r="R150" s="19">
        <f>(J150-Settings!$D$22)/Settings!$E$22</f>
        <v>0.72357679718766954</v>
      </c>
      <c r="S150" s="19">
        <f>(K150-Settings!$D$23)/Settings!$E$23</f>
        <v>0.75725750796740121</v>
      </c>
      <c r="T150" s="19">
        <f>(L150-Settings!$D$24)/Settings!$E$24</f>
        <v>-0.55767051052344541</v>
      </c>
      <c r="U150" s="19">
        <f>(M150-Settings!$D$25)/Settings!$E$25</f>
        <v>-1.6313342435710423</v>
      </c>
      <c r="V150" s="31">
        <f>Settings!$B$18*(N150-F$6)^2</f>
        <v>0.22688024933890369</v>
      </c>
      <c r="W150" s="31">
        <f>Settings!$B$19*(O150-G$6)^2</f>
        <v>0.42785709854790205</v>
      </c>
      <c r="X150" s="31">
        <f>Settings!$B$20*(P150-H$6)^2</f>
        <v>0.99062467796884279</v>
      </c>
      <c r="Y150" s="31">
        <f>Settings!$B$21*(Q150-I$6)^2</f>
        <v>1.7476829334910158</v>
      </c>
      <c r="Z150" s="31">
        <f>Settings!$B$22*(R150-J$6)^2</f>
        <v>7.5698924580892793E-2</v>
      </c>
      <c r="AA150" s="31">
        <f>Settings!$B$23*(S150-K$6)^2</f>
        <v>0.28849822001064263</v>
      </c>
      <c r="AB150" s="31">
        <f>Settings!$B$24*(T150-L$6)^2</f>
        <v>1.5738899744102586</v>
      </c>
      <c r="AC150" s="31">
        <f>Settings!$B$25*(U150-M$6)^2</f>
        <v>2.2323820805893002E-3</v>
      </c>
      <c r="AD150" s="19">
        <f t="shared" si="8"/>
        <v>2.3094078159625786</v>
      </c>
      <c r="AE150" s="15">
        <f t="shared" si="9"/>
        <v>0.91410548217955656</v>
      </c>
      <c r="AF150" s="33">
        <f t="shared" si="10"/>
        <v>0.65849759089759308</v>
      </c>
      <c r="AG150" s="47">
        <f t="shared" si="11"/>
        <v>2.8402007657356331E-3</v>
      </c>
      <c r="AH150" s="18">
        <v>0.52831327418147089</v>
      </c>
      <c r="AI150" s="46">
        <v>0</v>
      </c>
      <c r="AJ150" s="18">
        <v>0.97862854330712246</v>
      </c>
      <c r="AK150" s="46">
        <v>0</v>
      </c>
      <c r="AL150" s="18">
        <v>-0.363322528834503</v>
      </c>
      <c r="AM150" s="46">
        <v>0</v>
      </c>
    </row>
    <row r="151" spans="1:39" ht="20" customHeight="1" x14ac:dyDescent="0.45">
      <c r="A151" s="26">
        <v>141</v>
      </c>
      <c r="B151" s="16" t="s">
        <v>241</v>
      </c>
      <c r="C151" s="16" t="s">
        <v>212</v>
      </c>
      <c r="D151" s="46">
        <v>28</v>
      </c>
      <c r="E151" s="46">
        <v>0</v>
      </c>
      <c r="F151" s="13">
        <v>0.26557507780080752</v>
      </c>
      <c r="G151" s="13">
        <v>-0.18602027305209171</v>
      </c>
      <c r="H151" s="13">
        <v>0.1217808804277143</v>
      </c>
      <c r="I151" s="13">
        <v>-1.6942442759141939E-2</v>
      </c>
      <c r="J151" s="13">
        <v>0.40968132596024459</v>
      </c>
      <c r="K151" s="13">
        <v>19.583920187793449</v>
      </c>
      <c r="L151" s="13">
        <v>2.7375175934517109</v>
      </c>
      <c r="M151" s="13">
        <v>0.2468482169604562</v>
      </c>
      <c r="N151" s="19">
        <f>(F151-Settings!$D$18)/Settings!$E$18</f>
        <v>0.26216658006834853</v>
      </c>
      <c r="O151" s="19">
        <f>(G151-Settings!$D$19)/Settings!$E$19</f>
        <v>-0.74731318018720494</v>
      </c>
      <c r="P151" s="19">
        <f>(H151-Settings!$D$20)/Settings!$E$20</f>
        <v>0.62201558414061353</v>
      </c>
      <c r="Q151" s="19">
        <f>(I151-Settings!$D$21)/Settings!$E$21</f>
        <v>-0.17213730476220909</v>
      </c>
      <c r="R151" s="19">
        <f>(J151-Settings!$D$22)/Settings!$E$22</f>
        <v>0.43538458864023694</v>
      </c>
      <c r="S151" s="19">
        <f>(K151-Settings!$D$23)/Settings!$E$23</f>
        <v>1.5032609252278704</v>
      </c>
      <c r="T151" s="19">
        <f>(L151-Settings!$D$24)/Settings!$E$24</f>
        <v>0.98811847829417654</v>
      </c>
      <c r="U151" s="19">
        <f>(M151-Settings!$D$25)/Settings!$E$25</f>
        <v>0.20244744480568475</v>
      </c>
      <c r="V151" s="31">
        <f>Settings!$B$18*(N151-F$6)^2</f>
        <v>5.1459152497025261E-4</v>
      </c>
      <c r="W151" s="31">
        <f>Settings!$B$19*(O151-G$6)^2</f>
        <v>3.0682653491990925E-3</v>
      </c>
      <c r="X151" s="31">
        <f>Settings!$B$20*(P151-H$6)^2</f>
        <v>0.38947280611619811</v>
      </c>
      <c r="Y151" s="31">
        <f>Settings!$B$21*(Q151-I$6)^2</f>
        <v>8.6579496795707069E-3</v>
      </c>
      <c r="Z151" s="31">
        <f>Settings!$B$22*(R151-J$6)^2</f>
        <v>2.1389326253569624E-2</v>
      </c>
      <c r="AA151" s="31">
        <f>Settings!$B$23*(S151-K$6)^2</f>
        <v>1.6464064817717741</v>
      </c>
      <c r="AB151" s="31">
        <f>Settings!$B$24*(T151-L$6)^2</f>
        <v>8.4821478368078879E-2</v>
      </c>
      <c r="AC151" s="31">
        <f>Settings!$B$25*(U151-M$6)^2</f>
        <v>3.1917022954086729</v>
      </c>
      <c r="AD151" s="19">
        <f t="shared" si="8"/>
        <v>2.3121490424434219</v>
      </c>
      <c r="AE151" s="15">
        <f t="shared" si="9"/>
        <v>0.91519050931799217</v>
      </c>
      <c r="AF151" s="33">
        <f t="shared" si="10"/>
        <v>0.65784441027060525</v>
      </c>
      <c r="AG151" s="47">
        <f t="shared" si="11"/>
        <v>2.837383497847977E-3</v>
      </c>
      <c r="AH151" s="48"/>
      <c r="AI151" s="48"/>
      <c r="AJ151" s="48"/>
      <c r="AK151" s="48"/>
      <c r="AL151" s="18">
        <v>0.40661429904196977</v>
      </c>
      <c r="AM151" s="46">
        <v>0</v>
      </c>
    </row>
    <row r="152" spans="1:39" ht="20" customHeight="1" x14ac:dyDescent="0.45">
      <c r="A152" s="26">
        <v>142</v>
      </c>
      <c r="B152" s="16" t="s">
        <v>428</v>
      </c>
      <c r="C152" s="16" t="s">
        <v>212</v>
      </c>
      <c r="D152" s="46">
        <v>28</v>
      </c>
      <c r="E152" s="46">
        <v>0</v>
      </c>
      <c r="F152" s="13">
        <v>0.49970621488077321</v>
      </c>
      <c r="G152" s="13">
        <v>-0.1789535265866517</v>
      </c>
      <c r="H152" s="13">
        <v>-3.9739489177565229E-2</v>
      </c>
      <c r="I152" s="13">
        <v>4.1079575471553303E-2</v>
      </c>
      <c r="J152" s="13">
        <v>0.24052119388345661</v>
      </c>
      <c r="K152" s="13">
        <v>15.48764568764572</v>
      </c>
      <c r="L152" s="13">
        <v>1.581370175283578</v>
      </c>
      <c r="M152" s="13">
        <v>0.27362429570101637</v>
      </c>
      <c r="N152" s="19">
        <f>(F152-Settings!$D$18)/Settings!$E$18</f>
        <v>1.1001073243292629</v>
      </c>
      <c r="O152" s="19">
        <f>(G152-Settings!$D$19)/Settings!$E$19</f>
        <v>-0.71787221371089172</v>
      </c>
      <c r="P152" s="19">
        <f>(H152-Settings!$D$20)/Settings!$E$20</f>
        <v>-0.84139002455474032</v>
      </c>
      <c r="Q152" s="19">
        <f>(I152-Settings!$D$21)/Settings!$E$21</f>
        <v>0.54137729780955901</v>
      </c>
      <c r="R152" s="19">
        <f>(J152-Settings!$D$22)/Settings!$E$22</f>
        <v>-1.9748710870316443E-2</v>
      </c>
      <c r="S152" s="19">
        <f>(K152-Settings!$D$23)/Settings!$E$23</f>
        <v>8.0719010678093256E-2</v>
      </c>
      <c r="T152" s="19">
        <f>(L152-Settings!$D$24)/Settings!$E$24</f>
        <v>0.18881052872076723</v>
      </c>
      <c r="U152" s="19">
        <f>(M152-Settings!$D$25)/Settings!$E$25</f>
        <v>0.22050553052696847</v>
      </c>
      <c r="V152" s="31">
        <f>Settings!$B$18*(N152-F$6)^2</f>
        <v>0.12394193666667851</v>
      </c>
      <c r="W152" s="31">
        <f>Settings!$B$19*(O152-G$6)^2</f>
        <v>1.782994917012807E-3</v>
      </c>
      <c r="X152" s="31">
        <f>Settings!$B$20*(P152-H$6)^2</f>
        <v>1.6346452209011995</v>
      </c>
      <c r="Y152" s="31">
        <f>Settings!$B$21*(Q152-I$6)^2</f>
        <v>5.1096489741854371E-2</v>
      </c>
      <c r="Z152" s="31">
        <f>Settings!$B$22*(R152-J$6)^2</f>
        <v>3.2822469463296327E-3</v>
      </c>
      <c r="AA152" s="31">
        <f>Settings!$B$23*(S152-K$6)^2</f>
        <v>1.9437432868825481E-2</v>
      </c>
      <c r="AB152" s="31">
        <f>Settings!$B$24*(T152-L$6)^2</f>
        <v>0.25813174911883968</v>
      </c>
      <c r="AC152" s="31">
        <f>Settings!$B$25*(U152-M$6)^2</f>
        <v>3.2565511435679757</v>
      </c>
      <c r="AD152" s="19">
        <f t="shared" si="8"/>
        <v>2.3127622477740153</v>
      </c>
      <c r="AE152" s="15">
        <f t="shared" si="9"/>
        <v>0.91543322710500352</v>
      </c>
      <c r="AF152" s="33">
        <f t="shared" si="10"/>
        <v>0.65769827816397108</v>
      </c>
      <c r="AG152" s="47">
        <f t="shared" si="11"/>
        <v>2.836753207734698E-3</v>
      </c>
      <c r="AH152" s="18">
        <v>-4.6472566071246828E-2</v>
      </c>
      <c r="AI152" s="46">
        <v>0</v>
      </c>
      <c r="AJ152" s="18">
        <v>-1.304634470099272</v>
      </c>
      <c r="AK152" s="46">
        <v>0</v>
      </c>
      <c r="AL152" s="18">
        <v>0.17709396683148029</v>
      </c>
      <c r="AM152" s="46">
        <v>0</v>
      </c>
    </row>
    <row r="153" spans="1:39" ht="20" customHeight="1" x14ac:dyDescent="0.45">
      <c r="A153" s="26">
        <v>143</v>
      </c>
      <c r="B153" s="16" t="s">
        <v>335</v>
      </c>
      <c r="C153" s="16" t="s">
        <v>236</v>
      </c>
      <c r="D153" s="46">
        <v>28</v>
      </c>
      <c r="E153" s="46">
        <v>0</v>
      </c>
      <c r="F153" s="13">
        <v>0.2460052913607336</v>
      </c>
      <c r="G153" s="13">
        <v>0.1172310144208933</v>
      </c>
      <c r="H153" s="13">
        <v>9.7817118248176849E-2</v>
      </c>
      <c r="I153" s="13">
        <v>0.11620066815520989</v>
      </c>
      <c r="J153" s="13">
        <v>0.42274590781498622</v>
      </c>
      <c r="K153" s="13">
        <v>16.825255623721841</v>
      </c>
      <c r="L153" s="13">
        <v>1.1058025334541499</v>
      </c>
      <c r="M153" s="13">
        <v>0.30297850646394009</v>
      </c>
      <c r="N153" s="19">
        <f>(F153-Settings!$D$18)/Settings!$E$18</f>
        <v>0.19212753434747984</v>
      </c>
      <c r="O153" s="19">
        <f>(G153-Settings!$D$19)/Settings!$E$19</f>
        <v>0.51607033470943231</v>
      </c>
      <c r="P153" s="19">
        <f>(H153-Settings!$D$20)/Settings!$E$20</f>
        <v>0.40489929060638652</v>
      </c>
      <c r="Q153" s="19">
        <f>(I153-Settings!$D$21)/Settings!$E$21</f>
        <v>1.4651644776664001</v>
      </c>
      <c r="R153" s="19">
        <f>(J153-Settings!$D$22)/Settings!$E$22</f>
        <v>0.47053546120857415</v>
      </c>
      <c r="S153" s="19">
        <f>(K153-Settings!$D$23)/Settings!$E$23</f>
        <v>0.54524017480366782</v>
      </c>
      <c r="T153" s="19">
        <f>(L153-Settings!$D$24)/Settings!$E$24</f>
        <v>-0.13997539485672417</v>
      </c>
      <c r="U153" s="19">
        <f>(M153-Settings!$D$25)/Settings!$E$25</f>
        <v>0.24030233719808669</v>
      </c>
      <c r="V153" s="31">
        <f>Settings!$B$18*(N153-F$6)^2</f>
        <v>2.9167585692449361E-3</v>
      </c>
      <c r="W153" s="31">
        <f>Settings!$B$19*(O153-G$6)^2</f>
        <v>0.25970271825136548</v>
      </c>
      <c r="X153" s="31">
        <f>Settings!$B$20*(P153-H$6)^2</f>
        <v>0.52009326877906392</v>
      </c>
      <c r="Y153" s="31">
        <f>Settings!$B$21*(Q153-I$6)^2</f>
        <v>0.40854533631967549</v>
      </c>
      <c r="Z153" s="31">
        <f>Settings!$B$22*(R153-J$6)^2</f>
        <v>2.6234556193056244E-2</v>
      </c>
      <c r="AA153" s="31">
        <f>Settings!$B$23*(S153-K$6)^2</f>
        <v>0.10569194106646944</v>
      </c>
      <c r="AB153" s="31">
        <f>Settings!$B$24*(T153-L$6)^2</f>
        <v>0.70032227647857648</v>
      </c>
      <c r="AC153" s="31">
        <f>Settings!$B$25*(U153-M$6)^2</f>
        <v>3.3283933624729971</v>
      </c>
      <c r="AD153" s="19">
        <f t="shared" si="8"/>
        <v>2.3134174327454287</v>
      </c>
      <c r="AE153" s="15">
        <f t="shared" si="9"/>
        <v>0.91569256119492515</v>
      </c>
      <c r="AF153" s="33">
        <f t="shared" si="10"/>
        <v>0.6575421350127798</v>
      </c>
      <c r="AG153" s="47">
        <f t="shared" si="11"/>
        <v>2.8360797384559822E-3</v>
      </c>
      <c r="AH153" s="18">
        <v>0.22685340369106519</v>
      </c>
      <c r="AI153" s="46">
        <v>0</v>
      </c>
      <c r="AJ153" s="18">
        <v>1.100298913045398</v>
      </c>
      <c r="AK153" s="46">
        <v>1</v>
      </c>
      <c r="AL153" s="18">
        <v>9.6626033035558834E-2</v>
      </c>
      <c r="AM153" s="46">
        <v>1</v>
      </c>
    </row>
    <row r="154" spans="1:39" ht="20" customHeight="1" x14ac:dyDescent="0.45">
      <c r="A154" s="26">
        <v>144</v>
      </c>
      <c r="B154" s="16" t="s">
        <v>751</v>
      </c>
      <c r="C154" s="16" t="s">
        <v>242</v>
      </c>
      <c r="D154" s="46">
        <v>28</v>
      </c>
      <c r="E154" s="46">
        <v>0</v>
      </c>
      <c r="F154" s="13">
        <v>0.2224236394783933</v>
      </c>
      <c r="G154" s="13">
        <v>8.3009147962981811E-2</v>
      </c>
      <c r="H154" s="13">
        <v>-2.9805547344808409E-2</v>
      </c>
      <c r="I154" s="13">
        <v>8.2498138241593008E-2</v>
      </c>
      <c r="J154" s="13">
        <v>0.5822635269722235</v>
      </c>
      <c r="K154" s="13">
        <v>16.79648033126292</v>
      </c>
      <c r="L154" s="13">
        <v>3.5296553743461079</v>
      </c>
      <c r="M154" s="13">
        <v>-5.0155104713901277E-2</v>
      </c>
      <c r="N154" s="19">
        <f>(F154-Settings!$D$18)/Settings!$E$18</f>
        <v>0.10773027230180356</v>
      </c>
      <c r="O154" s="19">
        <f>(G154-Settings!$D$19)/Settings!$E$19</f>
        <v>0.37349767725362137</v>
      </c>
      <c r="P154" s="19">
        <f>(H154-Settings!$D$20)/Settings!$E$20</f>
        <v>-0.75138660127112644</v>
      </c>
      <c r="Q154" s="19">
        <f>(I154-Settings!$D$21)/Settings!$E$21</f>
        <v>1.0507141022698439</v>
      </c>
      <c r="R154" s="19">
        <f>(J154-Settings!$D$22)/Settings!$E$22</f>
        <v>0.89972512573392849</v>
      </c>
      <c r="S154" s="19">
        <f>(K154-Settings!$D$23)/Settings!$E$23</f>
        <v>0.53524717759980212</v>
      </c>
      <c r="T154" s="19">
        <f>(L154-Settings!$D$24)/Settings!$E$24</f>
        <v>1.5357666548818558</v>
      </c>
      <c r="U154" s="19">
        <f>(M154-Settings!$D$25)/Settings!$E$25</f>
        <v>2.1450967931931752E-3</v>
      </c>
      <c r="V154" s="31">
        <f>Settings!$B$18*(N154-F$6)^2</f>
        <v>8.4181774342173207E-3</v>
      </c>
      <c r="W154" s="31">
        <f>Settings!$B$19*(O154-G$6)^2</f>
        <v>0.19878215873072272</v>
      </c>
      <c r="X154" s="31">
        <f>Settings!$B$20*(P154-H$6)^2</f>
        <v>1.5333415526755936</v>
      </c>
      <c r="Y154" s="31">
        <f>Settings!$B$21*(Q154-I$6)^2</f>
        <v>0.20595955440711938</v>
      </c>
      <c r="Z154" s="31">
        <f>Settings!$B$22*(R154-J$6)^2</f>
        <v>0.12525250246258393</v>
      </c>
      <c r="AA154" s="31">
        <f>Settings!$B$23*(S154-K$6)^2</f>
        <v>9.9294294920346401E-2</v>
      </c>
      <c r="AB154" s="31">
        <f>Settings!$B$24*(T154-L$6)^2</f>
        <v>0.70373550652515693</v>
      </c>
      <c r="AC154" s="31">
        <f>Settings!$B$25*(U154-M$6)^2</f>
        <v>2.5161295772168475</v>
      </c>
      <c r="AD154" s="19">
        <f t="shared" si="8"/>
        <v>2.3218340432452504</v>
      </c>
      <c r="AE154" s="15">
        <f t="shared" si="9"/>
        <v>0.91902400822046937</v>
      </c>
      <c r="AF154" s="33">
        <f t="shared" si="10"/>
        <v>0.65553566799414209</v>
      </c>
      <c r="AG154" s="47">
        <f t="shared" si="11"/>
        <v>2.8274255395013739E-3</v>
      </c>
      <c r="AH154" s="18">
        <v>-0.30296246162338131</v>
      </c>
      <c r="AI154" s="46">
        <v>0</v>
      </c>
      <c r="AJ154" s="18">
        <v>-0.70417572313724541</v>
      </c>
      <c r="AK154" s="46">
        <v>0</v>
      </c>
      <c r="AL154" s="18">
        <v>-0.72787924584325592</v>
      </c>
      <c r="AM154" s="46">
        <v>0</v>
      </c>
    </row>
    <row r="155" spans="1:39" ht="20" customHeight="1" x14ac:dyDescent="0.45">
      <c r="A155" s="26">
        <v>145</v>
      </c>
      <c r="B155" s="16" t="s">
        <v>435</v>
      </c>
      <c r="C155" s="16" t="s">
        <v>224</v>
      </c>
      <c r="D155" s="46">
        <v>28</v>
      </c>
      <c r="E155" s="46">
        <v>0</v>
      </c>
      <c r="F155" s="13">
        <v>0.46307302625679542</v>
      </c>
      <c r="G155" s="13">
        <v>0.15762980431838919</v>
      </c>
      <c r="H155" s="13">
        <v>4.170746654376516E-3</v>
      </c>
      <c r="I155" s="13">
        <v>0.28182712682509042</v>
      </c>
      <c r="J155" s="13">
        <v>-9.329929594534847E-2</v>
      </c>
      <c r="K155" s="13">
        <v>15.38687943262409</v>
      </c>
      <c r="L155" s="13">
        <v>1.6880184902477811</v>
      </c>
      <c r="M155" s="13">
        <v>-0.96670919593979998</v>
      </c>
      <c r="N155" s="19">
        <f>(F155-Settings!$D$18)/Settings!$E$18</f>
        <v>0.96899942589650434</v>
      </c>
      <c r="O155" s="19">
        <f>(G155-Settings!$D$19)/Settings!$E$19</f>
        <v>0.68437684250230002</v>
      </c>
      <c r="P155" s="19">
        <f>(H155-Settings!$D$20)/Settings!$E$20</f>
        <v>-0.44355484405934564</v>
      </c>
      <c r="Q155" s="19">
        <f>(I155-Settings!$D$21)/Settings!$E$21</f>
        <v>3.5019239775400255</v>
      </c>
      <c r="R155" s="19">
        <f>(J155-Settings!$D$22)/Settings!$E$22</f>
        <v>-0.91790845521862019</v>
      </c>
      <c r="S155" s="19">
        <f>(K155-Settings!$D$23)/Settings!$E$23</f>
        <v>4.5725208056879296E-2</v>
      </c>
      <c r="T155" s="19">
        <f>(L155-Settings!$D$24)/Settings!$E$24</f>
        <v>0.2625423423458525</v>
      </c>
      <c r="U155" s="19">
        <f>(M155-Settings!$D$25)/Settings!$E$25</f>
        <v>-0.61598919045324274</v>
      </c>
      <c r="V155" s="31">
        <f>Settings!$B$18*(N155-F$6)^2</f>
        <v>8.6095676983719449E-2</v>
      </c>
      <c r="W155" s="31">
        <f>Settings!$B$19*(O155-G$6)^2</f>
        <v>0.34208381632305901</v>
      </c>
      <c r="X155" s="31">
        <f>Settings!$B$20*(P155-H$6)^2</f>
        <v>1.2113537010055135</v>
      </c>
      <c r="Y155" s="31">
        <f>Settings!$B$21*(Q155-I$6)^2</f>
        <v>2.402630363060223</v>
      </c>
      <c r="Z155" s="31">
        <f>Settings!$B$22*(R155-J$6)^2</f>
        <v>0.21064441579109136</v>
      </c>
      <c r="AA155" s="31">
        <f>Settings!$B$23*(S155-K$6)^2</f>
        <v>3.04195446287037E-2</v>
      </c>
      <c r="AB155" s="31">
        <f>Settings!$B$24*(T155-L$6)^2</f>
        <v>0.18864677426187279</v>
      </c>
      <c r="AC155" s="31">
        <f>Settings!$B$25*(U155-M$6)^2</f>
        <v>0.93721172852385592</v>
      </c>
      <c r="AD155" s="19">
        <f t="shared" si="8"/>
        <v>2.3257441864009976</v>
      </c>
      <c r="AE155" s="15">
        <f t="shared" si="9"/>
        <v>0.92057171377081437</v>
      </c>
      <c r="AF155" s="33">
        <f t="shared" si="10"/>
        <v>0.65460312691226263</v>
      </c>
      <c r="AG155" s="47">
        <f t="shared" si="11"/>
        <v>2.8234033472694727E-3</v>
      </c>
      <c r="AH155" s="18">
        <v>-0.3901911487900156</v>
      </c>
      <c r="AI155" s="46">
        <v>0</v>
      </c>
      <c r="AJ155" s="18">
        <v>-0.29712984464124959</v>
      </c>
      <c r="AK155" s="46">
        <v>0</v>
      </c>
      <c r="AL155" s="18">
        <v>-0.69459827413594966</v>
      </c>
      <c r="AM155" s="46">
        <v>1</v>
      </c>
    </row>
    <row r="156" spans="1:39" ht="20" customHeight="1" x14ac:dyDescent="0.45">
      <c r="A156" s="26">
        <v>146</v>
      </c>
      <c r="B156" s="16" t="s">
        <v>265</v>
      </c>
      <c r="C156" s="16" t="s">
        <v>258</v>
      </c>
      <c r="D156" s="46">
        <v>28</v>
      </c>
      <c r="E156" s="46">
        <v>0</v>
      </c>
      <c r="F156" s="13">
        <v>0.27161901208240152</v>
      </c>
      <c r="G156" s="13">
        <v>0.1138966182072238</v>
      </c>
      <c r="H156" s="13">
        <v>0.36426093946142829</v>
      </c>
      <c r="I156" s="13">
        <v>4.0564985105624132E-2</v>
      </c>
      <c r="J156" s="13">
        <v>0.20965844514332219</v>
      </c>
      <c r="K156" s="13">
        <v>19.520833333333339</v>
      </c>
      <c r="L156" s="13">
        <v>3.4294872888959311</v>
      </c>
      <c r="M156" s="13">
        <v>7.2557227908242261E-2</v>
      </c>
      <c r="N156" s="19">
        <f>(F156-Settings!$D$18)/Settings!$E$18</f>
        <v>0.28379744409329538</v>
      </c>
      <c r="O156" s="19">
        <f>(G156-Settings!$D$19)/Settings!$E$19</f>
        <v>0.50217881509351292</v>
      </c>
      <c r="P156" s="19">
        <f>(H156-Settings!$D$20)/Settings!$E$20</f>
        <v>2.8189315474577188</v>
      </c>
      <c r="Q156" s="19">
        <f>(I156-Settings!$D$21)/Settings!$E$21</f>
        <v>0.53504922181996906</v>
      </c>
      <c r="R156" s="19">
        <f>(J156-Settings!$D$22)/Settings!$E$22</f>
        <v>-0.10278638939190957</v>
      </c>
      <c r="S156" s="19">
        <f>(K156-Settings!$D$23)/Settings!$E$23</f>
        <v>1.4813523117491174</v>
      </c>
      <c r="T156" s="19">
        <f>(L156-Settings!$D$24)/Settings!$E$24</f>
        <v>1.4665149783778901</v>
      </c>
      <c r="U156" s="19">
        <f>(M156-Settings!$D$25)/Settings!$E$25</f>
        <v>8.4903660622505914E-2</v>
      </c>
      <c r="V156" s="31">
        <f>Settings!$B$18*(N156-F$6)^2</f>
        <v>1.6928594915046474E-4</v>
      </c>
      <c r="W156" s="31">
        <f>Settings!$B$19*(O156-G$6)^2</f>
        <v>0.2534094284197298</v>
      </c>
      <c r="X156" s="31">
        <f>Settings!$B$20*(P156-H$6)^2</f>
        <v>0.12845996658349734</v>
      </c>
      <c r="Y156" s="31">
        <f>Settings!$B$21*(Q156-I$6)^2</f>
        <v>4.9825081371107249E-2</v>
      </c>
      <c r="Z156" s="31">
        <f>Settings!$B$22*(R156-J$6)^2</f>
        <v>8.9163594378901638E-3</v>
      </c>
      <c r="AA156" s="31">
        <f>Settings!$B$23*(S156-K$6)^2</f>
        <v>1.5906635458463985</v>
      </c>
      <c r="AB156" s="31">
        <f>Settings!$B$24*(T156-L$6)^2</f>
        <v>0.59234229982661379</v>
      </c>
      <c r="AC156" s="31">
        <f>Settings!$B$25*(U156-M$6)^2</f>
        <v>2.7855269973405665</v>
      </c>
      <c r="AD156" s="19">
        <f t="shared" si="8"/>
        <v>2.3257929754763111</v>
      </c>
      <c r="AE156" s="15">
        <f t="shared" si="9"/>
        <v>0.92059102537134951</v>
      </c>
      <c r="AF156" s="33">
        <f t="shared" si="10"/>
        <v>0.65459148954699342</v>
      </c>
      <c r="AG156" s="47">
        <f t="shared" si="11"/>
        <v>2.8233531535342099E-3</v>
      </c>
      <c r="AH156" s="18">
        <v>-1.2431779443085409</v>
      </c>
      <c r="AI156" s="46">
        <v>0</v>
      </c>
      <c r="AJ156" s="18">
        <v>-1.2895048841767269</v>
      </c>
      <c r="AK156" s="46">
        <v>0</v>
      </c>
      <c r="AL156" s="18">
        <v>-0.33012989672646192</v>
      </c>
      <c r="AM156" s="46">
        <v>0</v>
      </c>
    </row>
    <row r="157" spans="1:39" ht="20" customHeight="1" x14ac:dyDescent="0.45">
      <c r="A157" s="26">
        <v>147</v>
      </c>
      <c r="B157" s="16" t="s">
        <v>302</v>
      </c>
      <c r="C157" s="16" t="s">
        <v>234</v>
      </c>
      <c r="D157" s="46">
        <v>28</v>
      </c>
      <c r="E157" s="46">
        <v>1</v>
      </c>
      <c r="F157" s="13">
        <v>0.41300561008883119</v>
      </c>
      <c r="G157" s="13">
        <v>-4.3287878600353602E-2</v>
      </c>
      <c r="H157" s="13">
        <v>9.4770447755632495E-2</v>
      </c>
      <c r="I157" s="13">
        <v>4.0287785964421164E-3</v>
      </c>
      <c r="J157" s="13">
        <v>0.44490728495874049</v>
      </c>
      <c r="K157" s="13">
        <v>16.346690307328629</v>
      </c>
      <c r="L157" s="13">
        <v>2.352117931842713</v>
      </c>
      <c r="M157" s="13">
        <v>0.82137222054288528</v>
      </c>
      <c r="N157" s="19">
        <f>(F157-Settings!$D$18)/Settings!$E$18</f>
        <v>0.78981126455136907</v>
      </c>
      <c r="O157" s="19">
        <f>(G157-Settings!$D$19)/Settings!$E$19</f>
        <v>-0.15267183275973717</v>
      </c>
      <c r="P157" s="19">
        <f>(H157-Settings!$D$20)/Settings!$E$20</f>
        <v>0.37729587007477383</v>
      </c>
      <c r="Q157" s="19">
        <f>(I157-Settings!$D$21)/Settings!$E$21</f>
        <v>8.575225384432264E-2</v>
      </c>
      <c r="R157" s="19">
        <f>(J157-Settings!$D$22)/Settings!$E$22</f>
        <v>0.53016168978444256</v>
      </c>
      <c r="S157" s="19">
        <f>(K157-Settings!$D$23)/Settings!$E$23</f>
        <v>0.37904544801117196</v>
      </c>
      <c r="T157" s="19">
        <f>(L157-Settings!$D$24)/Settings!$E$24</f>
        <v>0.72167061148574563</v>
      </c>
      <c r="U157" s="19">
        <f>(M157-Settings!$D$25)/Settings!$E$25</f>
        <v>0.58991283158433117</v>
      </c>
      <c r="V157" s="31">
        <f>Settings!$B$18*(N157-F$6)^2</f>
        <v>4.5490604958758368E-2</v>
      </c>
      <c r="W157" s="31">
        <f>Settings!$B$19*(O157-G$6)^2</f>
        <v>4.4326994781211007E-2</v>
      </c>
      <c r="X157" s="31">
        <f>Settings!$B$20*(P157-H$6)^2</f>
        <v>0.53805092641759955</v>
      </c>
      <c r="Y157" s="31">
        <f>Settings!$B$21*(Q157-I$6)^2</f>
        <v>4.9655939186104246E-4</v>
      </c>
      <c r="Z157" s="31">
        <f>Settings!$B$22*(R157-J$6)^2</f>
        <v>3.5583732864456867E-2</v>
      </c>
      <c r="AA157" s="31">
        <f>Settings!$B$23*(S157-K$6)^2</f>
        <v>2.5251829741526913E-2</v>
      </c>
      <c r="AB157" s="31">
        <f>Settings!$B$24*(T157-L$6)^2</f>
        <v>6.147129283856301E-4</v>
      </c>
      <c r="AC157" s="31">
        <f>Settings!$B$25*(U157-M$6)^2</f>
        <v>4.7262715841464047</v>
      </c>
      <c r="AD157" s="19">
        <f t="shared" si="8"/>
        <v>2.3272487931525938</v>
      </c>
      <c r="AE157" s="15">
        <f t="shared" si="9"/>
        <v>0.92116726440100272</v>
      </c>
      <c r="AF157" s="33">
        <f t="shared" si="10"/>
        <v>0.65424422500644919</v>
      </c>
      <c r="AG157" s="47">
        <f t="shared" si="11"/>
        <v>2.8218553484889064E-3</v>
      </c>
      <c r="AH157" s="18">
        <v>-0.7334800378245967</v>
      </c>
      <c r="AI157" s="46">
        <v>1</v>
      </c>
      <c r="AJ157" s="18">
        <v>-1.1651434794749831</v>
      </c>
      <c r="AK157" s="46">
        <v>1</v>
      </c>
      <c r="AL157" s="18">
        <v>1.1638156725334039</v>
      </c>
      <c r="AM157" s="46">
        <v>1</v>
      </c>
    </row>
    <row r="158" spans="1:39" ht="20" customHeight="1" x14ac:dyDescent="0.45">
      <c r="A158" s="26">
        <v>148</v>
      </c>
      <c r="B158" s="16" t="s">
        <v>752</v>
      </c>
      <c r="C158" s="16" t="s">
        <v>246</v>
      </c>
      <c r="D158" s="46">
        <v>28</v>
      </c>
      <c r="E158" s="46">
        <v>1</v>
      </c>
      <c r="F158" s="13">
        <v>4.1162216096394123E-2</v>
      </c>
      <c r="G158" s="13">
        <v>-0.29588288316133438</v>
      </c>
      <c r="H158" s="13">
        <v>1.7365190797320539E-2</v>
      </c>
      <c r="I158" s="13">
        <v>4.2411926680252922E-4</v>
      </c>
      <c r="J158" s="13">
        <v>0.64516559067814838</v>
      </c>
      <c r="K158" s="13">
        <v>11.24475065616798</v>
      </c>
      <c r="L158" s="13">
        <v>0.7670121104626727</v>
      </c>
      <c r="M158" s="13">
        <v>-1.7745774534350021</v>
      </c>
      <c r="N158" s="19">
        <f>(F158-Settings!$D$18)/Settings!$E$18</f>
        <v>-0.5409930624446958</v>
      </c>
      <c r="O158" s="19">
        <f>(G158-Settings!$D$19)/Settings!$E$19</f>
        <v>-1.2050148165830559</v>
      </c>
      <c r="P158" s="19">
        <f>(H158-Settings!$D$20)/Settings!$E$20</f>
        <v>-0.32401064285680764</v>
      </c>
      <c r="Q158" s="19">
        <f>(I158-Settings!$D$21)/Settings!$E$21</f>
        <v>4.142464947233683E-2</v>
      </c>
      <c r="R158" s="19">
        <f>(J158-Settings!$D$22)/Settings!$E$22</f>
        <v>1.0689660896006683</v>
      </c>
      <c r="S158" s="19">
        <f>(K158-Settings!$D$23)/Settings!$E$23</f>
        <v>-1.3927408419500471</v>
      </c>
      <c r="T158" s="19">
        <f>(L158-Settings!$D$24)/Settings!$E$24</f>
        <v>-0.37419974555889807</v>
      </c>
      <c r="U158" s="19">
        <f>(M158-Settings!$D$25)/Settings!$E$25</f>
        <v>-1.1608245409429274</v>
      </c>
      <c r="V158" s="31">
        <f>Settings!$B$18*(N158-F$6)^2</f>
        <v>0.14582356760496665</v>
      </c>
      <c r="W158" s="31">
        <f>Settings!$B$19*(O158-G$6)^2</f>
        <v>6.7642812877271571E-2</v>
      </c>
      <c r="X158" s="31">
        <f>Settings!$B$20*(P158-H$6)^2</f>
        <v>1.0965301480405356</v>
      </c>
      <c r="Y158" s="31">
        <f>Settings!$B$21*(Q158-I$6)^2</f>
        <v>6.0501501593519374E-6</v>
      </c>
      <c r="Z158" s="31">
        <f>Settings!$B$22*(R158-J$6)^2</f>
        <v>0.18455372229062145</v>
      </c>
      <c r="AA158" s="31">
        <f>Settings!$B$23*(S158-K$6)^2</f>
        <v>2.6013755938804235</v>
      </c>
      <c r="AB158" s="31">
        <f>Settings!$B$24*(T158-L$6)^2</f>
        <v>1.1472058373355267</v>
      </c>
      <c r="AC158" s="31">
        <f>Settings!$B$25*(U158-M$6)^2</f>
        <v>0.17915039208008296</v>
      </c>
      <c r="AD158" s="19">
        <f t="shared" si="8"/>
        <v>2.3285807102738758</v>
      </c>
      <c r="AE158" s="15">
        <f t="shared" si="9"/>
        <v>0.92169446134472022</v>
      </c>
      <c r="AF158" s="33">
        <f t="shared" si="10"/>
        <v>0.65392648634926853</v>
      </c>
      <c r="AG158" s="47">
        <f t="shared" si="11"/>
        <v>2.8204848930917983E-3</v>
      </c>
      <c r="AH158" s="18">
        <v>0.16565594652820681</v>
      </c>
      <c r="AI158" s="46">
        <v>1</v>
      </c>
      <c r="AJ158" s="48"/>
      <c r="AK158" s="48"/>
      <c r="AL158" s="48"/>
      <c r="AM158" s="48"/>
    </row>
    <row r="159" spans="1:39" ht="20" customHeight="1" x14ac:dyDescent="0.45">
      <c r="A159" s="26">
        <v>149</v>
      </c>
      <c r="B159" s="16" t="s">
        <v>262</v>
      </c>
      <c r="C159" s="16" t="s">
        <v>232</v>
      </c>
      <c r="D159" s="46">
        <v>28</v>
      </c>
      <c r="E159" s="46">
        <v>0</v>
      </c>
      <c r="F159" s="13">
        <v>0.21273630106625699</v>
      </c>
      <c r="G159" s="13">
        <v>0.10512296167959991</v>
      </c>
      <c r="H159" s="13">
        <v>7.7197078631551494E-2</v>
      </c>
      <c r="I159" s="13">
        <v>-4.0939533886833982E-5</v>
      </c>
      <c r="J159" s="13">
        <v>0.60490271908870485</v>
      </c>
      <c r="K159" s="13">
        <v>18.01655480984342</v>
      </c>
      <c r="L159" s="13">
        <v>2.657726596426476</v>
      </c>
      <c r="M159" s="13">
        <v>0.48299790438320839</v>
      </c>
      <c r="N159" s="19">
        <f>(F159-Settings!$D$18)/Settings!$E$18</f>
        <v>7.3059892017440065E-2</v>
      </c>
      <c r="O159" s="19">
        <f>(G159-Settings!$D$19)/Settings!$E$19</f>
        <v>0.46562664374171686</v>
      </c>
      <c r="P159" s="19">
        <f>(H159-Settings!$D$20)/Settings!$E$20</f>
        <v>0.21807776648387359</v>
      </c>
      <c r="Q159" s="19">
        <f>(I159-Settings!$D$21)/Settings!$E$21</f>
        <v>3.5705678373692269E-2</v>
      </c>
      <c r="R159" s="19">
        <f>(J159-Settings!$D$22)/Settings!$E$22</f>
        <v>0.96063693798972749</v>
      </c>
      <c r="S159" s="19">
        <f>(K159-Settings!$D$23)/Settings!$E$23</f>
        <v>0.95895098079722751</v>
      </c>
      <c r="T159" s="19">
        <f>(L159-Settings!$D$24)/Settings!$E$24</f>
        <v>0.93295459761215127</v>
      </c>
      <c r="U159" s="19">
        <f>(M159-Settings!$D$25)/Settings!$E$25</f>
        <v>0.3617094241213763</v>
      </c>
      <c r="V159" s="31">
        <f>Settings!$B$18*(N159-F$6)^2</f>
        <v>1.150378341635158E-2</v>
      </c>
      <c r="W159" s="31">
        <f>Settings!$B$19*(O159-G$6)^2</f>
        <v>0.23721892483981347</v>
      </c>
      <c r="X159" s="31">
        <f>Settings!$B$20*(P159-H$6)^2</f>
        <v>0.64758079338985897</v>
      </c>
      <c r="Y159" s="31">
        <f>Settings!$B$21*(Q159-I$6)^2</f>
        <v>9.5836910938116145E-9</v>
      </c>
      <c r="Z159" s="31">
        <f>Settings!$B$22*(R159-J$6)^2</f>
        <v>0.14527600355197615</v>
      </c>
      <c r="AA159" s="31">
        <f>Settings!$B$23*(S159-K$6)^2</f>
        <v>0.54584579551525114</v>
      </c>
      <c r="AB159" s="31">
        <f>Settings!$B$24*(T159-L$6)^2</f>
        <v>5.5732534571452455E-2</v>
      </c>
      <c r="AC159" s="31">
        <f>Settings!$B$25*(U159-M$6)^2</f>
        <v>3.7861204272046529</v>
      </c>
      <c r="AD159" s="19">
        <f t="shared" si="8"/>
        <v>2.3300811728506474</v>
      </c>
      <c r="AE159" s="15">
        <f t="shared" si="9"/>
        <v>0.9222883716353808</v>
      </c>
      <c r="AF159" s="33">
        <f t="shared" si="10"/>
        <v>0.65356850717962234</v>
      </c>
      <c r="AG159" s="47">
        <f t="shared" si="11"/>
        <v>2.8189408742133682E-3</v>
      </c>
      <c r="AH159" s="18">
        <v>-0.25398291936985368</v>
      </c>
      <c r="AI159" s="46">
        <v>0</v>
      </c>
      <c r="AJ159" s="18">
        <v>-0.1364523942390079</v>
      </c>
      <c r="AK159" s="46">
        <v>0</v>
      </c>
      <c r="AL159" s="18">
        <v>-1.6321074739042261</v>
      </c>
      <c r="AM159" s="46">
        <v>0</v>
      </c>
    </row>
    <row r="160" spans="1:39" ht="20" customHeight="1" x14ac:dyDescent="0.45">
      <c r="A160" s="26">
        <v>150</v>
      </c>
      <c r="B160" s="16" t="s">
        <v>506</v>
      </c>
      <c r="C160" s="16" t="s">
        <v>224</v>
      </c>
      <c r="D160" s="46">
        <v>28</v>
      </c>
      <c r="E160" s="46">
        <v>0</v>
      </c>
      <c r="F160" s="13">
        <v>0.81154820928304583</v>
      </c>
      <c r="G160" s="13">
        <v>0.11334278697530149</v>
      </c>
      <c r="H160" s="13">
        <v>7.3989283869860274E-3</v>
      </c>
      <c r="I160" s="13">
        <v>5.180914698244101E-4</v>
      </c>
      <c r="J160" s="13">
        <v>6.7191983884842196E-2</v>
      </c>
      <c r="K160" s="13">
        <v>13.69900497512438</v>
      </c>
      <c r="L160" s="13">
        <v>0.99663839933673382</v>
      </c>
      <c r="M160" s="13">
        <v>-0.39603012411863248</v>
      </c>
      <c r="N160" s="19">
        <f>(F160-Settings!$D$18)/Settings!$E$18</f>
        <v>2.2161703825802528</v>
      </c>
      <c r="O160" s="19">
        <f>(G160-Settings!$D$19)/Settings!$E$19</f>
        <v>0.49987148359205019</v>
      </c>
      <c r="P160" s="19">
        <f>(H160-Settings!$D$20)/Settings!$E$20</f>
        <v>-0.41430689678846333</v>
      </c>
      <c r="Q160" s="19">
        <f>(I160-Settings!$D$21)/Settings!$E$21</f>
        <v>4.2580254553589922E-2</v>
      </c>
      <c r="R160" s="19">
        <f>(J160-Settings!$D$22)/Settings!$E$22</f>
        <v>-0.48609911081217072</v>
      </c>
      <c r="S160" s="19">
        <f>(K160-Settings!$D$23)/Settings!$E$23</f>
        <v>-0.54043476784432343</v>
      </c>
      <c r="T160" s="19">
        <f>(L160-Settings!$D$24)/Settings!$E$24</f>
        <v>-0.21544653187366411</v>
      </c>
      <c r="U160" s="19">
        <f>(M160-Settings!$D$25)/Settings!$E$25</f>
        <v>-0.23111686847732912</v>
      </c>
      <c r="V160" s="31">
        <f>Settings!$B$18*(N160-F$6)^2</f>
        <v>0.72449455031539889</v>
      </c>
      <c r="W160" s="31">
        <f>Settings!$B$19*(O160-G$6)^2</f>
        <v>0.25237161081189313</v>
      </c>
      <c r="X160" s="31">
        <f>Settings!$B$20*(P160-H$6)^2</f>
        <v>1.1827325219034017</v>
      </c>
      <c r="Y160" s="31">
        <f>Settings!$B$21*(Q160-I$6)^2</f>
        <v>8.8595975086602212E-6</v>
      </c>
      <c r="Z160" s="31">
        <f>Settings!$B$22*(R160-J$6)^2</f>
        <v>7.0675763488329393E-2</v>
      </c>
      <c r="AA160" s="31">
        <f>Settings!$B$23*(S160-K$6)^2</f>
        <v>0.57846972566270027</v>
      </c>
      <c r="AB160" s="31">
        <f>Settings!$B$24*(T160-L$6)^2</f>
        <v>0.83233460368846846</v>
      </c>
      <c r="AC160" s="31">
        <f>Settings!$B$25*(U160-M$6)^2</f>
        <v>1.8305258843469265</v>
      </c>
      <c r="AD160" s="19">
        <f t="shared" si="8"/>
        <v>2.3391480328988643</v>
      </c>
      <c r="AE160" s="15">
        <f t="shared" si="9"/>
        <v>0.92587719922093881</v>
      </c>
      <c r="AF160" s="33">
        <f t="shared" si="10"/>
        <v>0.65140461982426134</v>
      </c>
      <c r="AG160" s="47">
        <f t="shared" si="11"/>
        <v>2.8096076972836171E-3</v>
      </c>
      <c r="AH160" s="18">
        <v>-8.2843347029357917E-2</v>
      </c>
      <c r="AI160" s="46">
        <v>0</v>
      </c>
      <c r="AJ160" s="18">
        <v>-0.70991159528651471</v>
      </c>
      <c r="AK160" s="46">
        <v>0</v>
      </c>
      <c r="AL160" s="18">
        <v>-0.16120138454420241</v>
      </c>
      <c r="AM160" s="46">
        <v>1</v>
      </c>
    </row>
    <row r="161" spans="1:39" ht="20" customHeight="1" x14ac:dyDescent="0.45">
      <c r="A161" s="26">
        <v>151</v>
      </c>
      <c r="B161" s="16" t="s">
        <v>286</v>
      </c>
      <c r="C161" s="16" t="s">
        <v>212</v>
      </c>
      <c r="D161" s="46">
        <v>28</v>
      </c>
      <c r="E161" s="46">
        <v>0</v>
      </c>
      <c r="F161" s="13">
        <v>0.31659775423584707</v>
      </c>
      <c r="G161" s="13">
        <v>5.7025420452002713E-2</v>
      </c>
      <c r="H161" s="13">
        <v>0.48568680866637037</v>
      </c>
      <c r="I161" s="13">
        <v>-0.10758256755031149</v>
      </c>
      <c r="J161" s="13">
        <v>-3.3107449095468228E-2</v>
      </c>
      <c r="K161" s="13">
        <v>19.821957671957701</v>
      </c>
      <c r="L161" s="13">
        <v>0.87627291649951422</v>
      </c>
      <c r="M161" s="13">
        <v>-0.73847842695785781</v>
      </c>
      <c r="N161" s="19">
        <f>(F161-Settings!$D$18)/Settings!$E$18</f>
        <v>0.44477355835999954</v>
      </c>
      <c r="O161" s="19">
        <f>(G161-Settings!$D$19)/Settings!$E$19</f>
        <v>0.26524615665336132</v>
      </c>
      <c r="P161" s="19">
        <f>(H161-Settings!$D$20)/Settings!$E$20</f>
        <v>3.9190732724269544</v>
      </c>
      <c r="Q161" s="19">
        <f>(I161-Settings!$D$21)/Settings!$E$21</f>
        <v>-1.2867667952478226</v>
      </c>
      <c r="R161" s="19">
        <f>(J161-Settings!$D$22)/Settings!$E$22</f>
        <v>-0.75595945740166315</v>
      </c>
      <c r="S161" s="19">
        <f>(K161-Settings!$D$23)/Settings!$E$23</f>
        <v>1.585925868323216</v>
      </c>
      <c r="T161" s="19">
        <f>(L161-Settings!$D$24)/Settings!$E$24</f>
        <v>-0.2986617739562617</v>
      </c>
      <c r="U161" s="19">
        <f>(M161-Settings!$D$25)/Settings!$E$25</f>
        <v>-0.46206781793100921</v>
      </c>
      <c r="V161" s="31">
        <f>Settings!$B$18*(N161-F$6)^2</f>
        <v>3.4786065992145655E-3</v>
      </c>
      <c r="W161" s="31">
        <f>Settings!$B$19*(O161-G$6)^2</f>
        <v>0.15795726330552043</v>
      </c>
      <c r="X161" s="31">
        <f>Settings!$B$20*(P161-H$6)^2</f>
        <v>0.72319964988190877</v>
      </c>
      <c r="Y161" s="31">
        <f>Settings!$B$21*(Q161-I$6)^2</f>
        <v>0.34990249547567998</v>
      </c>
      <c r="Z161" s="31">
        <f>Settings!$B$22*(R161-J$6)^2</f>
        <v>0.14940880573142817</v>
      </c>
      <c r="AA161" s="31">
        <f>Settings!$B$23*(S161-K$6)^2</f>
        <v>1.8653786732457973</v>
      </c>
      <c r="AB161" s="31">
        <f>Settings!$B$24*(T161-L$6)^2</f>
        <v>0.99109786170432401</v>
      </c>
      <c r="AC161" s="31">
        <f>Settings!$B$25*(U161-M$6)^2</f>
        <v>1.258925143804015</v>
      </c>
      <c r="AD161" s="19">
        <f t="shared" si="8"/>
        <v>2.3450689754776701</v>
      </c>
      <c r="AE161" s="15">
        <f t="shared" si="9"/>
        <v>0.9282208156379036</v>
      </c>
      <c r="AF161" s="33">
        <f t="shared" si="10"/>
        <v>0.64999088368438851</v>
      </c>
      <c r="AG161" s="47">
        <f t="shared" si="11"/>
        <v>2.8035100372123911E-3</v>
      </c>
      <c r="AH161" s="18">
        <v>0.5770410697435242</v>
      </c>
      <c r="AI161" s="46">
        <v>0</v>
      </c>
      <c r="AJ161" s="18">
        <v>0.76918756323727999</v>
      </c>
      <c r="AK161" s="46">
        <v>0</v>
      </c>
      <c r="AL161" s="18">
        <v>-0.68753342687467445</v>
      </c>
      <c r="AM161" s="46">
        <v>0</v>
      </c>
    </row>
    <row r="162" spans="1:39" ht="20" customHeight="1" x14ac:dyDescent="0.45">
      <c r="A162" s="26">
        <v>152</v>
      </c>
      <c r="B162" s="16" t="s">
        <v>411</v>
      </c>
      <c r="C162" s="16" t="s">
        <v>260</v>
      </c>
      <c r="D162" s="46">
        <v>28</v>
      </c>
      <c r="E162" s="46">
        <v>1</v>
      </c>
      <c r="F162" s="13">
        <v>8.6257157637966847E-2</v>
      </c>
      <c r="G162" s="13">
        <v>-0.20187237307708661</v>
      </c>
      <c r="H162" s="13">
        <v>5.7133661948481802E-2</v>
      </c>
      <c r="I162" s="13">
        <v>1.145174272303715E-5</v>
      </c>
      <c r="J162" s="13">
        <v>0.65472535559374168</v>
      </c>
      <c r="K162" s="13">
        <v>16.74983974358971</v>
      </c>
      <c r="L162" s="13">
        <v>1.3691794951867591</v>
      </c>
      <c r="M162" s="13">
        <v>0.52874902867077367</v>
      </c>
      <c r="N162" s="19">
        <f>(F162-Settings!$D$18)/Settings!$E$18</f>
        <v>-0.37960107781156238</v>
      </c>
      <c r="O162" s="19">
        <f>(G162-Settings!$D$19)/Settings!$E$19</f>
        <v>-0.81335504934119907</v>
      </c>
      <c r="P162" s="19">
        <f>(H162-Settings!$D$20)/Settings!$E$20</f>
        <v>3.6299353176946519E-2</v>
      </c>
      <c r="Q162" s="19">
        <f>(I162-Settings!$D$21)/Settings!$E$21</f>
        <v>3.6349950014845624E-2</v>
      </c>
      <c r="R162" s="19">
        <f>(J162-Settings!$D$22)/Settings!$E$22</f>
        <v>1.0946870871853955</v>
      </c>
      <c r="S162" s="19">
        <f>(K162-Settings!$D$23)/Settings!$E$23</f>
        <v>0.51904997429177635</v>
      </c>
      <c r="T162" s="19">
        <f>(L162-Settings!$D$24)/Settings!$E$24</f>
        <v>4.2111505082839888E-2</v>
      </c>
      <c r="U162" s="19">
        <f>(M162-Settings!$D$25)/Settings!$E$25</f>
        <v>0.39256449189418186</v>
      </c>
      <c r="V162" s="31">
        <f>Settings!$B$18*(N162-F$6)^2</f>
        <v>9.5909030576125556E-2</v>
      </c>
      <c r="W162" s="31">
        <f>Settings!$B$19*(O162-G$6)^2</f>
        <v>7.2125523056705112E-3</v>
      </c>
      <c r="X162" s="31">
        <f>Settings!$B$20*(P162-H$6)^2</f>
        <v>0.78502758759041003</v>
      </c>
      <c r="Y162" s="31">
        <f>Settings!$B$21*(Q162-I$6)^2</f>
        <v>3.6187722579295742E-8</v>
      </c>
      <c r="Z162" s="31">
        <f>Settings!$B$22*(R162-J$6)^2</f>
        <v>0.19456915937523145</v>
      </c>
      <c r="AA162" s="31">
        <f>Settings!$B$23*(S162-K$6)^2</f>
        <v>8.9348843729628105E-2</v>
      </c>
      <c r="AB162" s="31">
        <f>Settings!$B$24*(T162-L$6)^2</f>
        <v>0.42871812381572827</v>
      </c>
      <c r="AC162" s="31">
        <f>Settings!$B$25*(U162-M$6)^2</f>
        <v>3.9071477712083866</v>
      </c>
      <c r="AD162" s="19">
        <f t="shared" si="8"/>
        <v>2.3468986140838943</v>
      </c>
      <c r="AE162" s="15">
        <f t="shared" si="9"/>
        <v>0.92894501976884869</v>
      </c>
      <c r="AF162" s="33">
        <f t="shared" si="10"/>
        <v>0.64955392242586363</v>
      </c>
      <c r="AG162" s="47">
        <f t="shared" si="11"/>
        <v>2.8016253565116347E-3</v>
      </c>
      <c r="AH162" s="18">
        <v>0.38832762789466629</v>
      </c>
      <c r="AI162" s="46">
        <v>1</v>
      </c>
      <c r="AJ162" s="18">
        <v>-2.4071076351135261</v>
      </c>
      <c r="AK162" s="46">
        <v>1</v>
      </c>
      <c r="AL162" s="18">
        <v>-2.0188788264519042</v>
      </c>
      <c r="AM162" s="46">
        <v>1</v>
      </c>
    </row>
    <row r="163" spans="1:39" ht="20" customHeight="1" x14ac:dyDescent="0.45">
      <c r="A163" s="26">
        <v>153</v>
      </c>
      <c r="B163" s="16" t="s">
        <v>363</v>
      </c>
      <c r="C163" s="16" t="s">
        <v>216</v>
      </c>
      <c r="D163" s="46">
        <v>28</v>
      </c>
      <c r="E163" s="46">
        <v>1</v>
      </c>
      <c r="F163" s="13">
        <v>0.26215020204331801</v>
      </c>
      <c r="G163" s="13">
        <v>-8.205617955782972E-2</v>
      </c>
      <c r="H163" s="13">
        <v>-2.836042274094705E-2</v>
      </c>
      <c r="I163" s="13">
        <v>-8.193493014198469E-6</v>
      </c>
      <c r="J163" s="13">
        <v>0.62742500216489094</v>
      </c>
      <c r="K163" s="13">
        <v>12.92824858757062</v>
      </c>
      <c r="L163" s="13">
        <v>-9.2809164682747358E-2</v>
      </c>
      <c r="M163" s="13">
        <v>-2.241053999296672</v>
      </c>
      <c r="N163" s="19">
        <f>(F163-Settings!$D$18)/Settings!$E$18</f>
        <v>0.24990916323339016</v>
      </c>
      <c r="O163" s="19">
        <f>(G163-Settings!$D$19)/Settings!$E$19</f>
        <v>-0.31418551581241055</v>
      </c>
      <c r="P163" s="19">
        <f>(H163-Settings!$D$20)/Settings!$E$20</f>
        <v>-0.73829349446532555</v>
      </c>
      <c r="Q163" s="19">
        <f>(I163-Settings!$D$21)/Settings!$E$21</f>
        <v>3.6108366509188333E-2</v>
      </c>
      <c r="R163" s="19">
        <f>(J163-Settings!$D$22)/Settings!$E$22</f>
        <v>1.0212342009684661</v>
      </c>
      <c r="S163" s="19">
        <f>(K163-Settings!$D$23)/Settings!$E$23</f>
        <v>-0.80810073289687401</v>
      </c>
      <c r="T163" s="19">
        <f>(L163-Settings!$D$24)/Settings!$E$24</f>
        <v>-0.96864122389997132</v>
      </c>
      <c r="U163" s="19">
        <f>(M163-Settings!$D$25)/Settings!$E$25</f>
        <v>-1.4754215188558393</v>
      </c>
      <c r="V163" s="31">
        <f>Settings!$B$18*(N163-F$6)^2</f>
        <v>7.9334007965075519E-4</v>
      </c>
      <c r="W163" s="31">
        <f>Settings!$B$19*(O163-G$6)^2</f>
        <v>1.9129284089337811E-2</v>
      </c>
      <c r="X163" s="31">
        <f>Settings!$B$20*(P163-H$6)^2</f>
        <v>1.5188745312405108</v>
      </c>
      <c r="Y163" s="31">
        <f>Settings!$B$21*(Q163-I$6)^2</f>
        <v>6.7554066139837609E-9</v>
      </c>
      <c r="Z163" s="31">
        <f>Settings!$B$22*(R163-J$6)^2</f>
        <v>0.16666872653593451</v>
      </c>
      <c r="AA163" s="31">
        <f>Settings!$B$23*(S163-K$6)^2</f>
        <v>1.0572732566416361</v>
      </c>
      <c r="AB163" s="31">
        <f>Settings!$B$24*(T163-L$6)^2</f>
        <v>2.7739516421633108</v>
      </c>
      <c r="AC163" s="31">
        <f>Settings!$B$25*(U163-M$6)^2</f>
        <v>1.1808002672332838E-2</v>
      </c>
      <c r="AD163" s="19">
        <f t="shared" si="8"/>
        <v>2.3555251622893185</v>
      </c>
      <c r="AE163" s="15">
        <f t="shared" si="9"/>
        <v>0.93235956394435526</v>
      </c>
      <c r="AF163" s="33">
        <f t="shared" si="10"/>
        <v>0.64749307642906684</v>
      </c>
      <c r="AG163" s="47">
        <f t="shared" si="11"/>
        <v>2.7927366127120002E-3</v>
      </c>
      <c r="AH163" s="18">
        <v>-0.49269231239459699</v>
      </c>
      <c r="AI163" s="46">
        <v>1</v>
      </c>
      <c r="AJ163" s="48"/>
      <c r="AK163" s="48"/>
      <c r="AL163" s="48"/>
      <c r="AM163" s="48"/>
    </row>
    <row r="164" spans="1:39" ht="20" customHeight="1" x14ac:dyDescent="0.45">
      <c r="A164" s="26">
        <v>154</v>
      </c>
      <c r="B164" s="16" t="s">
        <v>394</v>
      </c>
      <c r="C164" s="16" t="s">
        <v>260</v>
      </c>
      <c r="D164" s="46">
        <v>28</v>
      </c>
      <c r="E164" s="46">
        <v>1</v>
      </c>
      <c r="F164" s="13">
        <v>0.65142297814966565</v>
      </c>
      <c r="G164" s="13">
        <v>-0.1031522274226765</v>
      </c>
      <c r="H164" s="13">
        <v>-8.5300131720249372E-3</v>
      </c>
      <c r="I164" s="13">
        <v>2.8112275518810109E-2</v>
      </c>
      <c r="J164" s="13">
        <v>0.2087825057368228</v>
      </c>
      <c r="K164" s="13">
        <v>18.448049645390071</v>
      </c>
      <c r="L164" s="13">
        <v>1.8303026268995679</v>
      </c>
      <c r="M164" s="13">
        <v>0.14628660315743239</v>
      </c>
      <c r="N164" s="19">
        <f>(F164-Settings!$D$18)/Settings!$E$18</f>
        <v>1.6430921622962547</v>
      </c>
      <c r="O164" s="19">
        <f>(G164-Settings!$D$19)/Settings!$E$19</f>
        <v>-0.40207434004136672</v>
      </c>
      <c r="P164" s="19">
        <f>(H164-Settings!$D$20)/Settings!$E$20</f>
        <v>-0.55862617041941731</v>
      </c>
      <c r="Q164" s="19">
        <f>(I164-Settings!$D$21)/Settings!$E$21</f>
        <v>0.38191442226077782</v>
      </c>
      <c r="R164" s="19">
        <f>(J164-Settings!$D$22)/Settings!$E$22</f>
        <v>-0.10514314560483573</v>
      </c>
      <c r="S164" s="19">
        <f>(K164-Settings!$D$23)/Settings!$E$23</f>
        <v>1.1087992122706645</v>
      </c>
      <c r="T164" s="19">
        <f>(L164-Settings!$D$24)/Settings!$E$24</f>
        <v>0.36091114872537206</v>
      </c>
      <c r="U164" s="19">
        <f>(M164-Settings!$D$25)/Settings!$E$25</f>
        <v>0.13462757245167759</v>
      </c>
      <c r="V164" s="31">
        <f>Settings!$B$18*(N164-F$6)^2</f>
        <v>0.35388707443834999</v>
      </c>
      <c r="W164" s="31">
        <f>Settings!$B$19*(O164-G$6)^2</f>
        <v>9.8017084690931854E-3</v>
      </c>
      <c r="X164" s="31">
        <f>Settings!$B$20*(P164-H$6)^2</f>
        <v>1.3272805112465451</v>
      </c>
      <c r="Y164" s="31">
        <f>Settings!$B$21*(Q164-I$6)^2</f>
        <v>2.394179402089083E-2</v>
      </c>
      <c r="Z164" s="31">
        <f>Settings!$B$22*(R164-J$6)^2</f>
        <v>9.1165162902596495E-3</v>
      </c>
      <c r="AA164" s="31">
        <f>Settings!$B$23*(S164-K$6)^2</f>
        <v>0.78972016341590645</v>
      </c>
      <c r="AB164" s="31">
        <f>Settings!$B$24*(T164-L$6)^2</f>
        <v>0.11287319200916736</v>
      </c>
      <c r="AC164" s="31">
        <f>Settings!$B$25*(U164-M$6)^2</f>
        <v>2.9539768694019419</v>
      </c>
      <c r="AD164" s="19">
        <f t="shared" si="8"/>
        <v>2.3623288994744476</v>
      </c>
      <c r="AE164" s="15">
        <f t="shared" si="9"/>
        <v>0.93505260647120891</v>
      </c>
      <c r="AF164" s="33">
        <f t="shared" si="10"/>
        <v>0.64586699374468548</v>
      </c>
      <c r="AG164" s="47">
        <f t="shared" si="11"/>
        <v>2.785723069535579E-3</v>
      </c>
      <c r="AH164" s="18">
        <v>-0.48839663349639267</v>
      </c>
      <c r="AI164" s="46">
        <v>1</v>
      </c>
      <c r="AJ164" s="18">
        <v>-0.18916907716361961</v>
      </c>
      <c r="AK164" s="46">
        <v>1</v>
      </c>
      <c r="AL164" s="18">
        <v>3.081186189574284</v>
      </c>
      <c r="AM164" s="46">
        <v>1</v>
      </c>
    </row>
    <row r="165" spans="1:39" ht="20" customHeight="1" x14ac:dyDescent="0.45">
      <c r="A165" s="26">
        <v>155</v>
      </c>
      <c r="B165" s="16" t="s">
        <v>257</v>
      </c>
      <c r="C165" s="16" t="s">
        <v>227</v>
      </c>
      <c r="D165" s="46">
        <v>28</v>
      </c>
      <c r="E165" s="46">
        <v>0</v>
      </c>
      <c r="F165" s="13">
        <v>0.14740079755677199</v>
      </c>
      <c r="G165" s="13">
        <v>0.1160519364006803</v>
      </c>
      <c r="H165" s="13">
        <v>0.17965813389439969</v>
      </c>
      <c r="I165" s="13">
        <v>1.5855353120744878E-2</v>
      </c>
      <c r="J165" s="13">
        <v>0.54103377902740302</v>
      </c>
      <c r="K165" s="13">
        <v>18.56512141280351</v>
      </c>
      <c r="L165" s="13">
        <v>2.634122675733781</v>
      </c>
      <c r="M165" s="13">
        <v>0.60651244991315822</v>
      </c>
      <c r="N165" s="19">
        <f>(F165-Settings!$D$18)/Settings!$E$18</f>
        <v>-0.16077180213565728</v>
      </c>
      <c r="O165" s="19">
        <f>(G165-Settings!$D$19)/Settings!$E$19</f>
        <v>0.51115814539631443</v>
      </c>
      <c r="P165" s="19">
        <f>(H165-Settings!$D$20)/Settings!$E$20</f>
        <v>1.1463946302387198</v>
      </c>
      <c r="Q165" s="19">
        <f>(I165-Settings!$D$21)/Settings!$E$21</f>
        <v>0.23118727797502614</v>
      </c>
      <c r="R165" s="19">
        <f>(J165-Settings!$D$22)/Settings!$E$22</f>
        <v>0.78879454776774161</v>
      </c>
      <c r="S165" s="19">
        <f>(K165-Settings!$D$23)/Settings!$E$23</f>
        <v>1.1494555442987142</v>
      </c>
      <c r="T165" s="19">
        <f>(L165-Settings!$D$24)/Settings!$E$24</f>
        <v>0.91663591614100715</v>
      </c>
      <c r="U165" s="19">
        <f>(M165-Settings!$D$25)/Settings!$E$25</f>
        <v>0.44500900927036208</v>
      </c>
      <c r="V165" s="31">
        <f>Settings!$B$18*(N165-F$6)^2</f>
        <v>4.4871272932148348E-2</v>
      </c>
      <c r="W165" s="31">
        <f>Settings!$B$19*(O165-G$6)^2</f>
        <v>0.25746852229468392</v>
      </c>
      <c r="X165" s="31">
        <f>Settings!$B$20*(P165-H$6)^2</f>
        <v>0.15176332446192817</v>
      </c>
      <c r="Y165" s="31">
        <f>Settings!$B$21*(Q165-I$6)^2</f>
        <v>7.6255041489254787E-3</v>
      </c>
      <c r="Z165" s="31">
        <f>Settings!$B$22*(R165-J$6)^2</f>
        <v>9.2598879641789339E-2</v>
      </c>
      <c r="AA165" s="31">
        <f>Settings!$B$23*(S165-K$6)^2</f>
        <v>0.86363257601791832</v>
      </c>
      <c r="AB165" s="31">
        <f>Settings!$B$24*(T165-L$6)^2</f>
        <v>4.8293890441793975E-2</v>
      </c>
      <c r="AC165" s="31">
        <f>Settings!$B$25*(U165-M$6)^2</f>
        <v>4.1172271767768311</v>
      </c>
      <c r="AD165" s="19">
        <f t="shared" si="8"/>
        <v>2.3629390907757268</v>
      </c>
      <c r="AE165" s="15">
        <f t="shared" si="9"/>
        <v>0.93529413125077465</v>
      </c>
      <c r="AF165" s="33">
        <f t="shared" si="10"/>
        <v>0.64572112982808039</v>
      </c>
      <c r="AG165" s="47">
        <f t="shared" si="11"/>
        <v>2.7850939361668903E-3</v>
      </c>
      <c r="AH165" s="18">
        <v>0.1497167439404139</v>
      </c>
      <c r="AI165" s="46">
        <v>0</v>
      </c>
      <c r="AJ165" s="18">
        <v>1.3086621442753119</v>
      </c>
      <c r="AK165" s="46">
        <v>0</v>
      </c>
      <c r="AL165" s="18">
        <v>-2.7335167995818921E-2</v>
      </c>
      <c r="AM165" s="46">
        <v>0</v>
      </c>
    </row>
    <row r="166" spans="1:39" ht="20" customHeight="1" x14ac:dyDescent="0.45">
      <c r="A166" s="26">
        <v>156</v>
      </c>
      <c r="B166" s="16" t="s">
        <v>238</v>
      </c>
      <c r="C166" s="16" t="s">
        <v>246</v>
      </c>
      <c r="D166" s="46">
        <v>28</v>
      </c>
      <c r="E166" s="46">
        <v>1</v>
      </c>
      <c r="F166" s="13">
        <v>0.233433524828319</v>
      </c>
      <c r="G166" s="13">
        <v>-0.30355695124596832</v>
      </c>
      <c r="H166" s="13">
        <v>0.1114793620593343</v>
      </c>
      <c r="I166" s="13">
        <v>6.0825157357982677E-5</v>
      </c>
      <c r="J166" s="13">
        <v>0.35146933670902031</v>
      </c>
      <c r="K166" s="13">
        <v>21.185905349794201</v>
      </c>
      <c r="L166" s="13">
        <v>1.2096018953716909</v>
      </c>
      <c r="M166" s="13">
        <v>-3.947833443207716</v>
      </c>
      <c r="N166" s="19">
        <f>(F166-Settings!$D$18)/Settings!$E$18</f>
        <v>0.1471339656311241</v>
      </c>
      <c r="O166" s="19">
        <f>(G166-Settings!$D$19)/Settings!$E$19</f>
        <v>-1.2369859623318917</v>
      </c>
      <c r="P166" s="19">
        <f>(H166-Settings!$D$20)/Settings!$E$20</f>
        <v>0.52868184675995844</v>
      </c>
      <c r="Q166" s="19">
        <f>(I166-Settings!$D$21)/Settings!$E$21</f>
        <v>3.6957110079164572E-2</v>
      </c>
      <c r="R166" s="19">
        <f>(J166-Settings!$D$22)/Settings!$E$22</f>
        <v>0.27876249090531746</v>
      </c>
      <c r="S166" s="19">
        <f>(K166-Settings!$D$23)/Settings!$E$23</f>
        <v>2.0595935243617167</v>
      </c>
      <c r="T166" s="19">
        <f>(L166-Settings!$D$24)/Settings!$E$24</f>
        <v>-6.8213218305920004E-2</v>
      </c>
      <c r="U166" s="19">
        <f>(M166-Settings!$D$25)/Settings!$E$25</f>
        <v>-2.626492585090157</v>
      </c>
      <c r="V166" s="31">
        <f>Settings!$B$18*(N166-F$6)^2</f>
        <v>5.4950729068159723E-3</v>
      </c>
      <c r="W166" s="31">
        <f>Settings!$B$19*(O166-G$6)^2</f>
        <v>7.528452184642942E-2</v>
      </c>
      <c r="X166" s="31">
        <f>Settings!$B$20*(P166-H$6)^2</f>
        <v>0.44331318361065836</v>
      </c>
      <c r="Y166" s="31">
        <f>Settings!$B$21*(Q166-I$6)^2</f>
        <v>2.1322316961714975E-7</v>
      </c>
      <c r="Z166" s="31">
        <f>Settings!$B$22*(R166-J$6)^2</f>
        <v>5.8075632813421726E-3</v>
      </c>
      <c r="AA166" s="31">
        <f>Settings!$B$23*(S166-K$6)^2</f>
        <v>3.383599551356363</v>
      </c>
      <c r="AB166" s="31">
        <f>Settings!$B$24*(T166-L$6)^2</f>
        <v>0.58536335820381213</v>
      </c>
      <c r="AC166" s="31">
        <f>Settings!$B$25*(U166-M$6)^2</f>
        <v>1.0866111700596106</v>
      </c>
      <c r="AD166" s="19">
        <f t="shared" si="8"/>
        <v>2.3633608769056411</v>
      </c>
      <c r="AE166" s="15">
        <f t="shared" si="9"/>
        <v>0.93546108184780519</v>
      </c>
      <c r="AF166" s="33">
        <f t="shared" si="10"/>
        <v>0.6456203006949881</v>
      </c>
      <c r="AG166" s="47">
        <f t="shared" si="11"/>
        <v>2.7846590447033895E-3</v>
      </c>
      <c r="AH166" s="18">
        <v>-0.5593276466749082</v>
      </c>
      <c r="AI166" s="46">
        <v>1</v>
      </c>
      <c r="AJ166" s="48"/>
      <c r="AK166" s="48"/>
      <c r="AL166" s="48"/>
      <c r="AM166" s="48"/>
    </row>
    <row r="167" spans="1:39" ht="20" customHeight="1" x14ac:dyDescent="0.45">
      <c r="A167" s="26">
        <v>157</v>
      </c>
      <c r="B167" s="16" t="s">
        <v>609</v>
      </c>
      <c r="C167" s="16" t="s">
        <v>258</v>
      </c>
      <c r="D167" s="46">
        <v>28</v>
      </c>
      <c r="E167" s="46">
        <v>0</v>
      </c>
      <c r="F167" s="13">
        <v>-0.1355424983178464</v>
      </c>
      <c r="G167" s="13">
        <v>0.18283750507194621</v>
      </c>
      <c r="H167" s="13">
        <v>-2.5655880459585678E-3</v>
      </c>
      <c r="I167" s="13">
        <v>-4.9371301033705087E-2</v>
      </c>
      <c r="J167" s="13">
        <v>0.62968310753054368</v>
      </c>
      <c r="K167" s="13">
        <v>14.458554572271391</v>
      </c>
      <c r="L167" s="13">
        <v>0.7907068645522326</v>
      </c>
      <c r="M167" s="13">
        <v>-0.35836811442687649</v>
      </c>
      <c r="N167" s="19">
        <f>(F167-Settings!$D$18)/Settings!$E$18</f>
        <v>-1.1734082198532958</v>
      </c>
      <c r="O167" s="19">
        <f>(G167-Settings!$D$19)/Settings!$E$19</f>
        <v>0.78939533672164797</v>
      </c>
      <c r="P167" s="19">
        <f>(H167-Settings!$D$20)/Settings!$E$20</f>
        <v>-0.50458733182921811</v>
      </c>
      <c r="Q167" s="19">
        <f>(I167-Settings!$D$21)/Settings!$E$21</f>
        <v>-0.57092494830181684</v>
      </c>
      <c r="R167" s="19">
        <f>(J167-Settings!$D$22)/Settings!$E$22</f>
        <v>1.027309739767676</v>
      </c>
      <c r="S167" s="19">
        <f>(K167-Settings!$D$23)/Settings!$E$23</f>
        <v>-0.27666066333007427</v>
      </c>
      <c r="T167" s="19">
        <f>(L167-Settings!$D$24)/Settings!$E$24</f>
        <v>-0.3578182659920614</v>
      </c>
      <c r="U167" s="19">
        <f>(M167-Settings!$D$25)/Settings!$E$25</f>
        <v>-0.20571718968047331</v>
      </c>
      <c r="V167" s="31">
        <f>Settings!$B$18*(N167-F$6)^2</f>
        <v>0.44181702055064664</v>
      </c>
      <c r="W167" s="31">
        <f>Settings!$B$19*(O167-G$6)^2</f>
        <v>0.39922812441645111</v>
      </c>
      <c r="X167" s="31">
        <f>Settings!$B$20*(P167-H$6)^2</f>
        <v>1.2721803024849667</v>
      </c>
      <c r="Y167" s="31">
        <f>Settings!$B$21*(Q167-I$6)^2</f>
        <v>7.3653270295808287E-2</v>
      </c>
      <c r="Z167" s="31">
        <f>Settings!$B$22*(R167-J$6)^2</f>
        <v>0.16889459577907606</v>
      </c>
      <c r="AA167" s="31">
        <f>Settings!$B$23*(S167-K$6)^2</f>
        <v>0.24680812183778064</v>
      </c>
      <c r="AB167" s="31">
        <f>Settings!$B$24*(T167-L$6)^2</f>
        <v>1.1123825397974136</v>
      </c>
      <c r="AC167" s="31">
        <f>Settings!$B$25*(U167-M$6)^2</f>
        <v>1.8999009985180195</v>
      </c>
      <c r="AD167" s="19">
        <f t="shared" si="8"/>
        <v>2.3695706306586777</v>
      </c>
      <c r="AE167" s="15">
        <f t="shared" si="9"/>
        <v>0.93791901496355934</v>
      </c>
      <c r="AF167" s="33">
        <f t="shared" si="10"/>
        <v>0.64413558500510426</v>
      </c>
      <c r="AG167" s="47">
        <f t="shared" si="11"/>
        <v>2.7782552389832198E-3</v>
      </c>
      <c r="AH167" s="18">
        <v>-0.3393160690821132</v>
      </c>
      <c r="AI167" s="46">
        <v>0</v>
      </c>
      <c r="AJ167" s="18">
        <v>-0.63677764870258058</v>
      </c>
      <c r="AK167" s="46">
        <v>0</v>
      </c>
      <c r="AL167" s="18">
        <v>-0.58167074404839481</v>
      </c>
      <c r="AM167" s="46">
        <v>0</v>
      </c>
    </row>
    <row r="168" spans="1:39" ht="20" customHeight="1" x14ac:dyDescent="0.45">
      <c r="A168" s="26">
        <v>158</v>
      </c>
      <c r="B168" s="16" t="s">
        <v>342</v>
      </c>
      <c r="C168" s="16" t="s">
        <v>224</v>
      </c>
      <c r="D168" s="46">
        <v>28</v>
      </c>
      <c r="E168" s="46">
        <v>0</v>
      </c>
      <c r="F168" s="13">
        <v>0.28503937689229247</v>
      </c>
      <c r="G168" s="13">
        <v>3.4912679208184191E-3</v>
      </c>
      <c r="H168" s="13">
        <v>3.5004587586015393E-2</v>
      </c>
      <c r="I168" s="13">
        <v>3.5000230878121978E-2</v>
      </c>
      <c r="J168" s="13">
        <v>0.64146453672275161</v>
      </c>
      <c r="K168" s="13">
        <v>18.29883227176223</v>
      </c>
      <c r="L168" s="13">
        <v>4.6292633756186197</v>
      </c>
      <c r="M168" s="13">
        <v>-0.82354947493579722</v>
      </c>
      <c r="N168" s="19">
        <f>(F168-Settings!$D$18)/Settings!$E$18</f>
        <v>0.33182809314452433</v>
      </c>
      <c r="O168" s="19">
        <f>(G168-Settings!$D$19)/Settings!$E$19</f>
        <v>4.2216053943952433E-2</v>
      </c>
      <c r="P168" s="19">
        <f>(H168-Settings!$D$20)/Settings!$E$20</f>
        <v>-0.16419431592750675</v>
      </c>
      <c r="Q168" s="19">
        <f>(I168-Settings!$D$21)/Settings!$E$21</f>
        <v>0.46661772767133486</v>
      </c>
      <c r="R168" s="19">
        <f>(J168-Settings!$D$22)/Settings!$E$22</f>
        <v>1.0590082296858885</v>
      </c>
      <c r="S168" s="19">
        <f>(K168-Settings!$D$23)/Settings!$E$23</f>
        <v>1.0569794505928316</v>
      </c>
      <c r="T168" s="19">
        <f>(L168-Settings!$D$24)/Settings!$E$24</f>
        <v>2.2959858129406672</v>
      </c>
      <c r="U168" s="19">
        <f>(M168-Settings!$D$25)/Settings!$E$25</f>
        <v>-0.51944068016636036</v>
      </c>
      <c r="V168" s="31">
        <f>Settings!$B$18*(N168-F$6)^2</f>
        <v>7.172338274475484E-5</v>
      </c>
      <c r="W168" s="31">
        <f>Settings!$B$19*(O168-G$6)^2</f>
        <v>8.8623076675253168E-2</v>
      </c>
      <c r="X168" s="31">
        <f>Settings!$B$20*(P168-H$6)^2</f>
        <v>0.95195403899664088</v>
      </c>
      <c r="Y168" s="31">
        <f>Settings!$B$21*(Q168-I$6)^2</f>
        <v>3.7099317280286988E-2</v>
      </c>
      <c r="Z168" s="31">
        <f>Settings!$B$22*(R168-J$6)^2</f>
        <v>0.18074731229847021</v>
      </c>
      <c r="AA168" s="31">
        <f>Settings!$B$23*(S168-K$6)^2</f>
        <v>0.70030494424387946</v>
      </c>
      <c r="AB168" s="31">
        <f>Settings!$B$24*(T168-L$6)^2</f>
        <v>2.5571483350377182</v>
      </c>
      <c r="AC168" s="31">
        <f>Settings!$B$25*(U168-M$6)^2</f>
        <v>1.1334699824200216</v>
      </c>
      <c r="AD168" s="19">
        <f t="shared" si="8"/>
        <v>2.3768505906629924</v>
      </c>
      <c r="AE168" s="15">
        <f t="shared" si="9"/>
        <v>0.94080055511597205</v>
      </c>
      <c r="AF168" s="33">
        <f t="shared" si="10"/>
        <v>0.64239439450393543</v>
      </c>
      <c r="AG168" s="47">
        <f t="shared" si="11"/>
        <v>2.7707452181979192E-3</v>
      </c>
      <c r="AH168" s="18">
        <v>-0.15610106959554321</v>
      </c>
      <c r="AI168" s="46">
        <v>0</v>
      </c>
      <c r="AJ168" s="18">
        <v>1.420788493832603E-2</v>
      </c>
      <c r="AK168" s="46">
        <v>0</v>
      </c>
      <c r="AL168" s="18">
        <v>-0.1687533547869737</v>
      </c>
      <c r="AM168" s="46">
        <v>1</v>
      </c>
    </row>
    <row r="169" spans="1:39" ht="20" customHeight="1" x14ac:dyDescent="0.45">
      <c r="A169" s="26">
        <v>159</v>
      </c>
      <c r="B169" s="16" t="s">
        <v>285</v>
      </c>
      <c r="C169" s="16" t="s">
        <v>246</v>
      </c>
      <c r="D169" s="46">
        <v>28</v>
      </c>
      <c r="E169" s="46">
        <v>1</v>
      </c>
      <c r="F169" s="13">
        <v>0.48266435446335182</v>
      </c>
      <c r="G169" s="13">
        <v>1.8123104580514329E-2</v>
      </c>
      <c r="H169" s="13">
        <v>6.6824640726408868E-2</v>
      </c>
      <c r="I169" s="13">
        <v>-3.4418104482725702E-5</v>
      </c>
      <c r="J169" s="13">
        <v>0.43235348212524222</v>
      </c>
      <c r="K169" s="13">
        <v>15.38785871964682</v>
      </c>
      <c r="L169" s="13">
        <v>3.4669689229682321</v>
      </c>
      <c r="M169" s="13">
        <v>0.57940571392956386</v>
      </c>
      <c r="N169" s="19">
        <f>(F169-Settings!$D$18)/Settings!$E$18</f>
        <v>1.0391155682567357</v>
      </c>
      <c r="O169" s="19">
        <f>(G169-Settings!$D$19)/Settings!$E$19</f>
        <v>0.10317415038786902</v>
      </c>
      <c r="P169" s="19">
        <f>(H169-Settings!$D$20)/Settings!$E$20</f>
        <v>0.12410148446245195</v>
      </c>
      <c r="Q169" s="19">
        <f>(I169-Settings!$D$21)/Settings!$E$21</f>
        <v>3.5785874396708411E-2</v>
      </c>
      <c r="R169" s="19">
        <f>(J169-Settings!$D$22)/Settings!$E$22</f>
        <v>0.49638509222053562</v>
      </c>
      <c r="S169" s="19">
        <f>(K169-Settings!$D$23)/Settings!$E$23</f>
        <v>4.6065291915067509E-2</v>
      </c>
      <c r="T169" s="19">
        <f>(L169-Settings!$D$24)/Settings!$E$24</f>
        <v>1.4924280821968314</v>
      </c>
      <c r="U169" s="19">
        <f>(M169-Settings!$D$25)/Settings!$E$25</f>
        <v>0.42672792462168013</v>
      </c>
      <c r="V169" s="31">
        <f>Settings!$B$18*(N169-F$6)^2</f>
        <v>0.10548045091548663</v>
      </c>
      <c r="W169" s="31">
        <f>Settings!$B$19*(O169-G$6)^2</f>
        <v>0.10559742365723584</v>
      </c>
      <c r="X169" s="31">
        <f>Settings!$B$20*(P169-H$6)^2</f>
        <v>0.71698813484393564</v>
      </c>
      <c r="Y169" s="31">
        <f>Settings!$B$21*(Q169-I$6)^2</f>
        <v>3.8479164828294376E-9</v>
      </c>
      <c r="Z169" s="31">
        <f>Settings!$B$22*(R169-J$6)^2</f>
        <v>3.0113062190252927E-2</v>
      </c>
      <c r="AA169" s="31">
        <f>Settings!$B$23*(S169-K$6)^2</f>
        <v>3.0301030876160359E-2</v>
      </c>
      <c r="AB169" s="31">
        <f>Settings!$B$24*(T169-L$6)^2</f>
        <v>0.63290119574493586</v>
      </c>
      <c r="AC169" s="31">
        <f>Settings!$B$25*(U169-M$6)^2</f>
        <v>4.0433732539963287</v>
      </c>
      <c r="AD169" s="19">
        <f t="shared" si="8"/>
        <v>2.380074485404239</v>
      </c>
      <c r="AE169" s="15">
        <f t="shared" si="9"/>
        <v>0.94207663110245388</v>
      </c>
      <c r="AF169" s="33">
        <f t="shared" si="10"/>
        <v>0.64162311918621751</v>
      </c>
      <c r="AG169" s="47">
        <f t="shared" si="11"/>
        <v>2.7674185898575033E-3</v>
      </c>
      <c r="AH169" s="18">
        <v>0.20093341443224499</v>
      </c>
      <c r="AI169" s="46">
        <v>1</v>
      </c>
      <c r="AJ169" s="48"/>
      <c r="AK169" s="48"/>
      <c r="AL169" s="48"/>
      <c r="AM169" s="48"/>
    </row>
    <row r="170" spans="1:39" ht="20" customHeight="1" x14ac:dyDescent="0.45">
      <c r="A170" s="26">
        <v>160</v>
      </c>
      <c r="B170" s="16" t="s">
        <v>488</v>
      </c>
      <c r="C170" s="16" t="s">
        <v>216</v>
      </c>
      <c r="D170" s="46">
        <v>28</v>
      </c>
      <c r="E170" s="46">
        <v>1</v>
      </c>
      <c r="F170" s="13">
        <v>0.64412733631543773</v>
      </c>
      <c r="G170" s="13">
        <v>-0.18750370752443851</v>
      </c>
      <c r="H170" s="13">
        <v>-1.6519673287416E-3</v>
      </c>
      <c r="I170" s="13">
        <v>3.0506838537018351E-2</v>
      </c>
      <c r="J170" s="13">
        <v>0.1362101502943639</v>
      </c>
      <c r="K170" s="13">
        <v>15.645799457994579</v>
      </c>
      <c r="L170" s="13">
        <v>1.0919695724356071</v>
      </c>
      <c r="M170" s="13">
        <v>0.282364955576906</v>
      </c>
      <c r="N170" s="19">
        <f>(F170-Settings!$D$18)/Settings!$E$18</f>
        <v>1.6169815149698119</v>
      </c>
      <c r="O170" s="19">
        <f>(G170-Settings!$D$19)/Settings!$E$19</f>
        <v>-0.75349335727205669</v>
      </c>
      <c r="P170" s="19">
        <f>(H170-Settings!$D$20)/Settings!$E$20</f>
        <v>-0.49630975244364023</v>
      </c>
      <c r="Q170" s="19">
        <f>(I170-Settings!$D$21)/Settings!$E$21</f>
        <v>0.41136110013186983</v>
      </c>
      <c r="R170" s="19">
        <f>(J170-Settings!$D$22)/Settings!$E$22</f>
        <v>-0.30040248467171127</v>
      </c>
      <c r="S170" s="19">
        <f>(K170-Settings!$D$23)/Settings!$E$23</f>
        <v>0.13564217738901993</v>
      </c>
      <c r="T170" s="19">
        <f>(L170-Settings!$D$24)/Settings!$E$24</f>
        <v>-0.14953887744943659</v>
      </c>
      <c r="U170" s="19">
        <f>(M170-Settings!$D$25)/Settings!$E$25</f>
        <v>0.22640032889639169</v>
      </c>
      <c r="V170" s="31">
        <f>Settings!$B$18*(N170-F$6)^2</f>
        <v>0.3401304613080694</v>
      </c>
      <c r="W170" s="31">
        <f>Settings!$B$19*(O170-G$6)^2</f>
        <v>3.3820952313487768E-3</v>
      </c>
      <c r="X170" s="31">
        <f>Settings!$B$20*(P170-H$6)^2</f>
        <v>1.2638433100018056</v>
      </c>
      <c r="Y170" s="31">
        <f>Settings!$B$21*(Q170-I$6)^2</f>
        <v>2.8190515946756402E-2</v>
      </c>
      <c r="Z170" s="31">
        <f>Settings!$B$22*(R170-J$6)^2</f>
        <v>3.3416966371688984E-2</v>
      </c>
      <c r="AA170" s="31">
        <f>Settings!$B$23*(S170-K$6)^2</f>
        <v>7.1394096672499352E-3</v>
      </c>
      <c r="AB170" s="31">
        <f>Settings!$B$24*(T170-L$6)^2</f>
        <v>0.71642018725028622</v>
      </c>
      <c r="AC170" s="31">
        <f>Settings!$B$25*(U170-M$6)^2</f>
        <v>3.2778613004406068</v>
      </c>
      <c r="AD170" s="19">
        <f t="shared" si="8"/>
        <v>2.3812568627130113</v>
      </c>
      <c r="AE170" s="15">
        <f t="shared" si="9"/>
        <v>0.94254463747728423</v>
      </c>
      <c r="AF170" s="33">
        <f t="shared" si="10"/>
        <v>0.64134022103763511</v>
      </c>
      <c r="AG170" s="47">
        <f t="shared" si="11"/>
        <v>2.7661984068996074E-3</v>
      </c>
      <c r="AH170" s="18">
        <v>-0.42019534908620032</v>
      </c>
      <c r="AI170" s="46">
        <v>1</v>
      </c>
      <c r="AJ170" s="18">
        <v>-0.95203364856003225</v>
      </c>
      <c r="AK170" s="46">
        <v>1</v>
      </c>
      <c r="AL170" s="48"/>
      <c r="AM170" s="48"/>
    </row>
    <row r="171" spans="1:39" ht="20" customHeight="1" x14ac:dyDescent="0.45">
      <c r="A171" s="26">
        <v>161</v>
      </c>
      <c r="B171" s="16" t="s">
        <v>248</v>
      </c>
      <c r="C171" s="16" t="s">
        <v>236</v>
      </c>
      <c r="D171" s="46">
        <v>28</v>
      </c>
      <c r="E171" s="46">
        <v>0</v>
      </c>
      <c r="F171" s="13">
        <v>0.14973959877200399</v>
      </c>
      <c r="G171" s="13">
        <v>-3.19130592700691E-2</v>
      </c>
      <c r="H171" s="13">
        <v>8.4639959578758875E-2</v>
      </c>
      <c r="I171" s="13">
        <v>1.7523867762206279E-2</v>
      </c>
      <c r="J171" s="13">
        <v>0.71618351461696172</v>
      </c>
      <c r="K171" s="13">
        <v>17.407174392935961</v>
      </c>
      <c r="L171" s="13">
        <v>3.6009133950198509</v>
      </c>
      <c r="M171" s="13">
        <v>0.43197533938793509</v>
      </c>
      <c r="N171" s="19">
        <f>(F171-Settings!$D$18)/Settings!$E$18</f>
        <v>-0.15240137838334583</v>
      </c>
      <c r="O171" s="19">
        <f>(G171-Settings!$D$19)/Settings!$E$19</f>
        <v>-0.10528288563749531</v>
      </c>
      <c r="P171" s="19">
        <f>(H171-Settings!$D$20)/Settings!$E$20</f>
        <v>0.28551169911795943</v>
      </c>
      <c r="Q171" s="19">
        <f>(I171-Settings!$D$21)/Settings!$E$21</f>
        <v>0.25170551566462268</v>
      </c>
      <c r="R171" s="19">
        <f>(J171-Settings!$D$22)/Settings!$E$22</f>
        <v>1.2600431575234412</v>
      </c>
      <c r="S171" s="19">
        <f>(K171-Settings!$D$23)/Settings!$E$23</f>
        <v>0.74732717850433528</v>
      </c>
      <c r="T171" s="19">
        <f>(L171-Settings!$D$24)/Settings!$E$24</f>
        <v>1.5850312222720899</v>
      </c>
      <c r="U171" s="19">
        <f>(M171-Settings!$D$25)/Settings!$E$25</f>
        <v>0.32729923802460731</v>
      </c>
      <c r="V171" s="31">
        <f>Settings!$B$18*(N171-F$6)^2</f>
        <v>4.3299382685140657E-2</v>
      </c>
      <c r="W171" s="31">
        <f>Settings!$B$19*(O171-G$6)^2</f>
        <v>5.3700068117617621E-2</v>
      </c>
      <c r="X171" s="31">
        <f>Settings!$B$20*(P171-H$6)^2</f>
        <v>0.59995353634948312</v>
      </c>
      <c r="Y171" s="31">
        <f>Settings!$B$21*(Q171-I$6)^2</f>
        <v>9.3122823340875648E-3</v>
      </c>
      <c r="Z171" s="31">
        <f>Settings!$B$22*(R171-J$6)^2</f>
        <v>0.26527591057286837</v>
      </c>
      <c r="AA171" s="31">
        <f>Settings!$B$23*(S171-K$6)^2</f>
        <v>0.27792926831156256</v>
      </c>
      <c r="AB171" s="31">
        <f>Settings!$B$24*(T171-L$6)^2</f>
        <v>0.78881755564606038</v>
      </c>
      <c r="AC171" s="31">
        <f>Settings!$B$25*(U171-M$6)^2</f>
        <v>3.6533941122949285</v>
      </c>
      <c r="AD171" s="19">
        <f t="shared" si="8"/>
        <v>2.3857246522412741</v>
      </c>
      <c r="AE171" s="15">
        <f t="shared" si="9"/>
        <v>0.94431306957177208</v>
      </c>
      <c r="AF171" s="33">
        <f t="shared" si="10"/>
        <v>0.64027110761083439</v>
      </c>
      <c r="AG171" s="47">
        <f t="shared" si="11"/>
        <v>2.7615871572679745E-3</v>
      </c>
      <c r="AH171" s="18">
        <v>-0.88786357404221228</v>
      </c>
      <c r="AI171" s="46">
        <v>0</v>
      </c>
      <c r="AJ171" s="18">
        <v>-0.89879345606065875</v>
      </c>
      <c r="AK171" s="46">
        <v>1</v>
      </c>
      <c r="AL171" s="18">
        <v>0.1632397355937143</v>
      </c>
      <c r="AM171" s="46">
        <v>1</v>
      </c>
    </row>
    <row r="172" spans="1:39" ht="20" customHeight="1" x14ac:dyDescent="0.45">
      <c r="A172" s="26">
        <v>162</v>
      </c>
      <c r="B172" s="16" t="s">
        <v>392</v>
      </c>
      <c r="C172" s="16" t="s">
        <v>232</v>
      </c>
      <c r="D172" s="46">
        <v>28</v>
      </c>
      <c r="E172" s="46">
        <v>0</v>
      </c>
      <c r="F172" s="13">
        <v>0.40495311028733688</v>
      </c>
      <c r="G172" s="13">
        <v>0.23866573245803729</v>
      </c>
      <c r="H172" s="13">
        <v>-3.4716257970528091E-3</v>
      </c>
      <c r="I172" s="13">
        <v>0.2493903413283256</v>
      </c>
      <c r="J172" s="13">
        <v>-0.1035191901292474</v>
      </c>
      <c r="K172" s="13">
        <v>14.204674796747931</v>
      </c>
      <c r="L172" s="13">
        <v>0.925108774611894</v>
      </c>
      <c r="M172" s="13">
        <v>-1.3811092230789119</v>
      </c>
      <c r="N172" s="19">
        <f>(F172-Settings!$D$18)/Settings!$E$18</f>
        <v>0.76099186974135524</v>
      </c>
      <c r="O172" s="19">
        <f>(G172-Settings!$D$19)/Settings!$E$19</f>
        <v>1.0219828476708697</v>
      </c>
      <c r="P172" s="19">
        <f>(H172-Settings!$D$20)/Settings!$E$20</f>
        <v>-0.51279620808353354</v>
      </c>
      <c r="Q172" s="19">
        <f>(I172-Settings!$D$21)/Settings!$E$21</f>
        <v>3.1030388505110249</v>
      </c>
      <c r="R172" s="19">
        <f>(J172-Settings!$D$22)/Settings!$E$22</f>
        <v>-0.9454055616789957</v>
      </c>
      <c r="S172" s="19">
        <f>(K172-Settings!$D$23)/Settings!$E$23</f>
        <v>-0.36482726982228708</v>
      </c>
      <c r="T172" s="19">
        <f>(L172-Settings!$D$24)/Settings!$E$24</f>
        <v>-0.26489887400072371</v>
      </c>
      <c r="U172" s="19">
        <f>(M172-Settings!$D$25)/Settings!$E$25</f>
        <v>-0.89546518413729193</v>
      </c>
      <c r="V172" s="31">
        <f>Settings!$B$18*(N172-F$6)^2</f>
        <v>4.0158894063383882E-2</v>
      </c>
      <c r="W172" s="31">
        <f>Settings!$B$19*(O172-G$6)^2</f>
        <v>0.54149187222972783</v>
      </c>
      <c r="X172" s="31">
        <f>Settings!$B$20*(P172-H$6)^2</f>
        <v>1.2804751657685811</v>
      </c>
      <c r="Y172" s="31">
        <f>Settings!$B$21*(Q172-I$6)^2</f>
        <v>1.8814379881795524</v>
      </c>
      <c r="Z172" s="31">
        <f>Settings!$B$22*(R172-J$6)^2</f>
        <v>0.22208337309149029</v>
      </c>
      <c r="AA172" s="31">
        <f>Settings!$B$23*(S172-K$6)^2</f>
        <v>0.34218343663982737</v>
      </c>
      <c r="AB172" s="31">
        <f>Settings!$B$24*(T172-L$6)^2</f>
        <v>0.92501322911649531</v>
      </c>
      <c r="AC172" s="31">
        <f>Settings!$B$25*(U172-M$6)^2</f>
        <v>0.47419883849536554</v>
      </c>
      <c r="AD172" s="19">
        <f t="shared" si="8"/>
        <v>2.3889417735860423</v>
      </c>
      <c r="AE172" s="15">
        <f t="shared" si="9"/>
        <v>0.94558646452512896</v>
      </c>
      <c r="AF172" s="33">
        <f t="shared" si="10"/>
        <v>0.63950113640317219</v>
      </c>
      <c r="AG172" s="47">
        <f t="shared" si="11"/>
        <v>2.758266153753572E-3</v>
      </c>
      <c r="AH172" s="18">
        <v>-0.10392146088596491</v>
      </c>
      <c r="AI172" s="46">
        <v>0</v>
      </c>
      <c r="AJ172" s="18">
        <v>-0.33537809592941592</v>
      </c>
      <c r="AK172" s="46">
        <v>0</v>
      </c>
      <c r="AL172" s="18">
        <v>-0.39680260885289242</v>
      </c>
      <c r="AM172" s="46">
        <v>0</v>
      </c>
    </row>
    <row r="173" spans="1:39" ht="20" customHeight="1" x14ac:dyDescent="0.45">
      <c r="A173" s="26">
        <v>163</v>
      </c>
      <c r="B173" s="16" t="s">
        <v>331</v>
      </c>
      <c r="C173" s="16" t="s">
        <v>271</v>
      </c>
      <c r="D173" s="46">
        <v>28</v>
      </c>
      <c r="E173" s="46">
        <v>0</v>
      </c>
      <c r="F173" s="13">
        <v>2.8492880375698589E-2</v>
      </c>
      <c r="G173" s="13">
        <v>6.0458732114394578E-2</v>
      </c>
      <c r="H173" s="13">
        <v>0.13316910595610981</v>
      </c>
      <c r="I173" s="13">
        <v>-9.7717314645388437E-2</v>
      </c>
      <c r="J173" s="13">
        <v>0.68016196690840858</v>
      </c>
      <c r="K173" s="13">
        <v>16.601431492842519</v>
      </c>
      <c r="L173" s="13">
        <v>1.354788750491938</v>
      </c>
      <c r="M173" s="13">
        <v>0.57597069540282364</v>
      </c>
      <c r="N173" s="19">
        <f>(F173-Settings!$D$18)/Settings!$E$18</f>
        <v>-0.58633582520360705</v>
      </c>
      <c r="O173" s="19">
        <f>(G173-Settings!$D$19)/Settings!$E$19</f>
        <v>0.27954977063605435</v>
      </c>
      <c r="P173" s="19">
        <f>(H173-Settings!$D$20)/Settings!$E$20</f>
        <v>0.72519509736280752</v>
      </c>
      <c r="Q173" s="19">
        <f>(I173-Settings!$D$21)/Settings!$E$21</f>
        <v>-1.1654507462655357</v>
      </c>
      <c r="R173" s="19">
        <f>(J173-Settings!$D$22)/Settings!$E$22</f>
        <v>1.1631254874980448</v>
      </c>
      <c r="S173" s="19">
        <f>(K173-Settings!$D$23)/Settings!$E$23</f>
        <v>0.46751120237957178</v>
      </c>
      <c r="T173" s="19">
        <f>(L173-Settings!$D$24)/Settings!$E$24</f>
        <v>3.2162396124851403E-2</v>
      </c>
      <c r="U173" s="19">
        <f>(M173-Settings!$D$25)/Settings!$E$25</f>
        <v>0.42441130986971831</v>
      </c>
      <c r="V173" s="31">
        <f>Settings!$B$18*(N173-F$6)^2</f>
        <v>0.16172174418240501</v>
      </c>
      <c r="W173" s="31">
        <f>Settings!$B$19*(O173-G$6)^2</f>
        <v>0.16308282625747561</v>
      </c>
      <c r="X173" s="31">
        <f>Settings!$B$20*(P173-H$6)^2</f>
        <v>0.33400803557382225</v>
      </c>
      <c r="Y173" s="31">
        <f>Settings!$B$21*(Q173-I$6)^2</f>
        <v>0.28866053549747933</v>
      </c>
      <c r="Z173" s="31">
        <f>Settings!$B$22*(R173-J$6)^2</f>
        <v>0.22250704637796204</v>
      </c>
      <c r="AA173" s="31">
        <f>Settings!$B$23*(S173-K$6)^2</f>
        <v>6.1193894649023139E-2</v>
      </c>
      <c r="AB173" s="31">
        <f>Settings!$B$24*(T173-L$6)^2</f>
        <v>0.44184577919645612</v>
      </c>
      <c r="AC173" s="31">
        <f>Settings!$B$25*(U173-M$6)^2</f>
        <v>4.0340620575897779</v>
      </c>
      <c r="AD173" s="19">
        <f t="shared" si="8"/>
        <v>2.3889499616619019</v>
      </c>
      <c r="AE173" s="15">
        <f t="shared" si="9"/>
        <v>0.94558970551400057</v>
      </c>
      <c r="AF173" s="33">
        <f t="shared" si="10"/>
        <v>0.63949917656511801</v>
      </c>
      <c r="AG173" s="47">
        <f t="shared" si="11"/>
        <v>2.7582577006724685E-3</v>
      </c>
      <c r="AH173" s="18">
        <v>0.32117122563912098</v>
      </c>
      <c r="AI173" s="46">
        <v>1</v>
      </c>
      <c r="AJ173" s="18">
        <v>0.30951617453324198</v>
      </c>
      <c r="AK173" s="46">
        <v>1</v>
      </c>
      <c r="AL173" s="18">
        <v>0.30373836194620057</v>
      </c>
      <c r="AM173" s="46">
        <v>1</v>
      </c>
    </row>
    <row r="174" spans="1:39" ht="20" customHeight="1" x14ac:dyDescent="0.45">
      <c r="A174" s="26">
        <v>164</v>
      </c>
      <c r="B174" s="16" t="s">
        <v>595</v>
      </c>
      <c r="C174" s="16" t="s">
        <v>214</v>
      </c>
      <c r="D174" s="46">
        <v>28</v>
      </c>
      <c r="E174" s="46">
        <v>1</v>
      </c>
      <c r="F174" s="13">
        <v>0.65837532720121883</v>
      </c>
      <c r="G174" s="13">
        <v>-2.187663058107776E-2</v>
      </c>
      <c r="H174" s="13">
        <v>-3.5861262262936351E-3</v>
      </c>
      <c r="I174" s="13">
        <v>8.5242667178200587E-2</v>
      </c>
      <c r="J174" s="13">
        <v>0.23091924881320919</v>
      </c>
      <c r="K174" s="13">
        <v>12.25823170731706</v>
      </c>
      <c r="L174" s="13">
        <v>0.48488135906844748</v>
      </c>
      <c r="M174" s="13">
        <v>-1.2572240902797049</v>
      </c>
      <c r="N174" s="19">
        <f>(F174-Settings!$D$18)/Settings!$E$18</f>
        <v>1.6679741861538095</v>
      </c>
      <c r="O174" s="19">
        <f>(G174-Settings!$D$19)/Settings!$E$19</f>
        <v>-6.3469844513187129E-2</v>
      </c>
      <c r="P174" s="19">
        <f>(H174-Settings!$D$20)/Settings!$E$20</f>
        <v>-0.51383360399067846</v>
      </c>
      <c r="Q174" s="19">
        <f>(I174-Settings!$D$21)/Settings!$E$21</f>
        <v>1.0844644186698049</v>
      </c>
      <c r="R174" s="19">
        <f>(J174-Settings!$D$22)/Settings!$E$22</f>
        <v>-4.5583196147006948E-2</v>
      </c>
      <c r="S174" s="19">
        <f>(K174-Settings!$D$23)/Settings!$E$23</f>
        <v>-1.0407821841966327</v>
      </c>
      <c r="T174" s="19">
        <f>(L174-Settings!$D$24)/Settings!$E$24</f>
        <v>-0.56925216609349871</v>
      </c>
      <c r="U174" s="19">
        <f>(M174-Settings!$D$25)/Settings!$E$25</f>
        <v>-0.81191567080650251</v>
      </c>
      <c r="V174" s="31">
        <f>Settings!$B$18*(N174-F$6)^2</f>
        <v>0.36725013718076793</v>
      </c>
      <c r="W174" s="31">
        <f>Settings!$B$19*(O174-G$6)^2</f>
        <v>6.2716242700586011E-2</v>
      </c>
      <c r="X174" s="31">
        <f>Settings!$B$20*(P174-H$6)^2</f>
        <v>1.2815253466868439</v>
      </c>
      <c r="Y174" s="31">
        <f>Settings!$B$21*(Q174-I$6)^2</f>
        <v>0.21988715814447787</v>
      </c>
      <c r="Z174" s="31">
        <f>Settings!$B$22*(R174-J$6)^2</f>
        <v>4.7395556295299675E-3</v>
      </c>
      <c r="AA174" s="31">
        <f>Settings!$B$23*(S174-K$6)^2</f>
        <v>1.5899177056978815</v>
      </c>
      <c r="AB174" s="31">
        <f>Settings!$B$24*(T174-L$6)^2</f>
        <v>1.6030835882666479</v>
      </c>
      <c r="AC174" s="31">
        <f>Settings!$B$25*(U174-M$6)^2</f>
        <v>0.59624725327709505</v>
      </c>
      <c r="AD174" s="19">
        <f t="shared" si="8"/>
        <v>2.3927739106701722</v>
      </c>
      <c r="AE174" s="15">
        <f t="shared" si="9"/>
        <v>0.94710329385810954</v>
      </c>
      <c r="AF174" s="33">
        <f t="shared" si="10"/>
        <v>0.63858382707421135</v>
      </c>
      <c r="AG174" s="47">
        <f t="shared" si="11"/>
        <v>2.7543096584002938E-3</v>
      </c>
      <c r="AH174" s="48"/>
      <c r="AI174" s="48"/>
      <c r="AJ174" s="48"/>
      <c r="AK174" s="48"/>
      <c r="AL174" s="48"/>
      <c r="AM174" s="48"/>
    </row>
    <row r="175" spans="1:39" ht="20" customHeight="1" x14ac:dyDescent="0.45">
      <c r="A175" s="26">
        <v>165</v>
      </c>
      <c r="B175" s="16" t="s">
        <v>404</v>
      </c>
      <c r="C175" s="16" t="s">
        <v>229</v>
      </c>
      <c r="D175" s="46">
        <v>28</v>
      </c>
      <c r="E175" s="46">
        <v>1</v>
      </c>
      <c r="F175" s="13">
        <v>-4.6113786162018812E-2</v>
      </c>
      <c r="G175" s="13">
        <v>-0.14444408834346581</v>
      </c>
      <c r="H175" s="13">
        <v>0.2393580830080749</v>
      </c>
      <c r="I175" s="13">
        <v>-0.1984365314354328</v>
      </c>
      <c r="J175" s="13">
        <v>0.37164751105100757</v>
      </c>
      <c r="K175" s="13">
        <v>18.405104166666629</v>
      </c>
      <c r="L175" s="13">
        <v>0.51945185148180151</v>
      </c>
      <c r="M175" s="13">
        <v>-0.34135604303698203</v>
      </c>
      <c r="N175" s="19">
        <f>(F175-Settings!$D$18)/Settings!$E$18</f>
        <v>-0.85334843388576165</v>
      </c>
      <c r="O175" s="19">
        <f>(G175-Settings!$D$19)/Settings!$E$19</f>
        <v>-0.5741014955447945</v>
      </c>
      <c r="P175" s="19">
        <f>(H175-Settings!$D$20)/Settings!$E$20</f>
        <v>1.6872876493995914</v>
      </c>
      <c r="Q175" s="19">
        <f>(I175-Settings!$D$21)/Settings!$E$21</f>
        <v>-2.4040259308369318</v>
      </c>
      <c r="R175" s="19">
        <f>(J175-Settings!$D$22)/Settings!$E$22</f>
        <v>0.33305281897268391</v>
      </c>
      <c r="S175" s="19">
        <f>(K175-Settings!$D$23)/Settings!$E$23</f>
        <v>1.0938852353088424</v>
      </c>
      <c r="T175" s="19">
        <f>(L175-Settings!$D$24)/Settings!$E$24</f>
        <v>-0.54535169373812764</v>
      </c>
      <c r="U175" s="19">
        <f>(M175-Settings!$D$25)/Settings!$E$25</f>
        <v>-0.19424405926313701</v>
      </c>
      <c r="V175" s="31">
        <f>Settings!$B$18*(N175-F$6)^2</f>
        <v>0.27202284134350174</v>
      </c>
      <c r="W175" s="31">
        <f>Settings!$B$19*(O175-G$6)^2</f>
        <v>4.8711559216233456E-4</v>
      </c>
      <c r="X175" s="31">
        <f>Settings!$B$20*(P175-H$6)^2</f>
        <v>2.1807437111612624E-2</v>
      </c>
      <c r="Y175" s="31">
        <f>Settings!$B$21*(Q175-I$6)^2</f>
        <v>1.1906717002559219</v>
      </c>
      <c r="Z175" s="31">
        <f>Settings!$B$22*(R175-J$6)^2</f>
        <v>1.0097585533203229E-2</v>
      </c>
      <c r="AA175" s="31">
        <f>Settings!$B$23*(S175-K$6)^2</f>
        <v>0.7634356207139732</v>
      </c>
      <c r="AB175" s="31">
        <f>Settings!$B$24*(T175-L$6)^2</f>
        <v>1.5431326407071542</v>
      </c>
      <c r="AC175" s="31">
        <f>Settings!$B$25*(U175-M$6)^2</f>
        <v>1.931661044993974</v>
      </c>
      <c r="AD175" s="19">
        <f t="shared" si="8"/>
        <v>2.3944343771027641</v>
      </c>
      <c r="AE175" s="15">
        <f t="shared" si="9"/>
        <v>0.94776053657570847</v>
      </c>
      <c r="AF175" s="33">
        <f t="shared" si="10"/>
        <v>0.63818630934824894</v>
      </c>
      <c r="AG175" s="47">
        <f t="shared" si="11"/>
        <v>2.7525951036847132E-3</v>
      </c>
      <c r="AH175" s="18">
        <v>-0.23959047819841739</v>
      </c>
      <c r="AI175" s="46">
        <v>1</v>
      </c>
      <c r="AJ175" s="18">
        <v>-0.38837149881362087</v>
      </c>
      <c r="AK175" s="46">
        <v>1</v>
      </c>
      <c r="AL175" s="18">
        <v>-0.32882774728810499</v>
      </c>
      <c r="AM175" s="46">
        <v>1</v>
      </c>
    </row>
    <row r="176" spans="1:39" ht="20" customHeight="1" x14ac:dyDescent="0.45">
      <c r="A176" s="26">
        <v>166</v>
      </c>
      <c r="B176" s="16" t="s">
        <v>632</v>
      </c>
      <c r="C176" s="16" t="s">
        <v>234</v>
      </c>
      <c r="D176" s="46">
        <v>28</v>
      </c>
      <c r="E176" s="46">
        <v>1</v>
      </c>
      <c r="F176" s="13">
        <v>-0.2837091626369706</v>
      </c>
      <c r="G176" s="13">
        <v>0.30296283282187891</v>
      </c>
      <c r="H176" s="13">
        <v>-9.2252884023941346E-4</v>
      </c>
      <c r="I176" s="13">
        <v>-3.1923864805061521E-2</v>
      </c>
      <c r="J176" s="13">
        <v>0.38048161089584948</v>
      </c>
      <c r="K176" s="13">
        <v>14.224211711711741</v>
      </c>
      <c r="L176" s="13">
        <v>1.045224216671278</v>
      </c>
      <c r="M176" s="13">
        <v>-0.42241861276205761</v>
      </c>
      <c r="N176" s="19">
        <f>(F176-Settings!$D$18)/Settings!$E$18</f>
        <v>-1.7036874749863706</v>
      </c>
      <c r="O176" s="19">
        <f>(G176-Settings!$D$19)/Settings!$E$19</f>
        <v>1.2898527628565342</v>
      </c>
      <c r="P176" s="19">
        <f>(H176-Settings!$D$20)/Settings!$E$20</f>
        <v>-0.48970089946812378</v>
      </c>
      <c r="Q176" s="19">
        <f>(I176-Settings!$D$21)/Settings!$E$21</f>
        <v>-0.35636845912421328</v>
      </c>
      <c r="R176" s="19">
        <f>(J176-Settings!$D$22)/Settings!$E$22</f>
        <v>0.35682138051981854</v>
      </c>
      <c r="S176" s="19">
        <f>(K176-Settings!$D$23)/Settings!$E$23</f>
        <v>-0.35804254862842855</v>
      </c>
      <c r="T176" s="19">
        <f>(L176-Settings!$D$24)/Settings!$E$24</f>
        <v>-0.18185649878467</v>
      </c>
      <c r="U176" s="19">
        <f>(M176-Settings!$D$25)/Settings!$E$25</f>
        <v>-0.24891355912031926</v>
      </c>
      <c r="V176" s="31">
        <f>Settings!$B$18*(N176-F$6)^2</f>
        <v>0.81331767638262087</v>
      </c>
      <c r="W176" s="31">
        <f>Settings!$B$19*(O176-G$6)^2</f>
        <v>0.73214784247072329</v>
      </c>
      <c r="X176" s="31">
        <f>Settings!$B$20*(P176-H$6)^2</f>
        <v>1.2572066978166145</v>
      </c>
      <c r="Y176" s="31">
        <f>Settings!$B$21*(Q176-I$6)^2</f>
        <v>3.0778765900267416E-2</v>
      </c>
      <c r="Z176" s="31">
        <f>Settings!$B$22*(R176-J$6)^2</f>
        <v>1.2346847002229612E-2</v>
      </c>
      <c r="AA176" s="31">
        <f>Settings!$B$23*(S176-K$6)^2</f>
        <v>0.33429182734344909</v>
      </c>
      <c r="AB176" s="31">
        <f>Settings!$B$24*(T176-L$6)^2</f>
        <v>0.77217292488844225</v>
      </c>
      <c r="AC176" s="31">
        <f>Settings!$B$25*(U176-M$6)^2</f>
        <v>1.7826858549393054</v>
      </c>
      <c r="AD176" s="19">
        <f t="shared" si="8"/>
        <v>2.3947752372077953</v>
      </c>
      <c r="AE176" s="15">
        <f t="shared" si="9"/>
        <v>0.94789545518493445</v>
      </c>
      <c r="AF176" s="33">
        <f t="shared" si="10"/>
        <v>0.63810470353392623</v>
      </c>
      <c r="AG176" s="47">
        <f t="shared" si="11"/>
        <v>2.7522431253334916E-3</v>
      </c>
      <c r="AH176" s="18">
        <v>0.50995790902013893</v>
      </c>
      <c r="AI176" s="46">
        <v>1</v>
      </c>
      <c r="AJ176" s="18">
        <v>0.47984947662680749</v>
      </c>
      <c r="AK176" s="46">
        <v>1</v>
      </c>
      <c r="AL176" s="18">
        <v>-0.4400878033990423</v>
      </c>
      <c r="AM176" s="46">
        <v>1</v>
      </c>
    </row>
    <row r="177" spans="1:39" ht="20" customHeight="1" x14ac:dyDescent="0.45">
      <c r="A177" s="26">
        <v>167</v>
      </c>
      <c r="B177" s="16" t="s">
        <v>418</v>
      </c>
      <c r="C177" s="16" t="s">
        <v>236</v>
      </c>
      <c r="D177" s="46">
        <v>28</v>
      </c>
      <c r="E177" s="46">
        <v>0</v>
      </c>
      <c r="F177" s="13">
        <v>0.40011669245007242</v>
      </c>
      <c r="G177" s="13">
        <v>-0.33293063110257159</v>
      </c>
      <c r="H177" s="13">
        <v>-2.650568679730626E-2</v>
      </c>
      <c r="I177" s="13">
        <v>0.21290534468205691</v>
      </c>
      <c r="J177" s="13">
        <v>-2.7541644967992749E-2</v>
      </c>
      <c r="K177" s="13">
        <v>14.321399176954751</v>
      </c>
      <c r="L177" s="13">
        <v>0.45714991767423319</v>
      </c>
      <c r="M177" s="13">
        <v>-1.210138442573409</v>
      </c>
      <c r="N177" s="19">
        <f>(F177-Settings!$D$18)/Settings!$E$18</f>
        <v>0.74368263179608352</v>
      </c>
      <c r="O177" s="19">
        <f>(G177-Settings!$D$19)/Settings!$E$19</f>
        <v>-1.359360456474773</v>
      </c>
      <c r="P177" s="19">
        <f>(H177-Settings!$D$20)/Settings!$E$20</f>
        <v>-0.72148923015361199</v>
      </c>
      <c r="Q177" s="19">
        <f>(I177-Settings!$D$21)/Settings!$E$21</f>
        <v>2.6543716259689671</v>
      </c>
      <c r="R177" s="19">
        <f>(J177-Settings!$D$22)/Settings!$E$22</f>
        <v>-0.74098439935537674</v>
      </c>
      <c r="S177" s="19">
        <f>(K177-Settings!$D$23)/Settings!$E$23</f>
        <v>-0.32429157738076297</v>
      </c>
      <c r="T177" s="19">
        <f>(L177-Settings!$D$24)/Settings!$E$24</f>
        <v>-0.58842442839430953</v>
      </c>
      <c r="U177" s="19">
        <f>(M177-Settings!$D$25)/Settings!$E$25</f>
        <v>-0.78016058557684675</v>
      </c>
      <c r="V177" s="31">
        <f>Settings!$B$18*(N177-F$6)^2</f>
        <v>3.7116301551253353E-2</v>
      </c>
      <c r="W177" s="31">
        <f>Settings!$B$19*(O177-G$6)^2</f>
        <v>0.1083119361158689</v>
      </c>
      <c r="X177" s="31">
        <f>Settings!$B$20*(P177-H$6)^2</f>
        <v>1.5004074056375494</v>
      </c>
      <c r="Y177" s="31">
        <f>Settings!$B$21*(Q177-I$6)^2</f>
        <v>1.3712529852324813</v>
      </c>
      <c r="Z177" s="31">
        <f>Settings!$B$22*(R177-J$6)^2</f>
        <v>0.14427637677867972</v>
      </c>
      <c r="AA177" s="31">
        <f>Settings!$B$23*(S177-K$6)^2</f>
        <v>0.29640269893169785</v>
      </c>
      <c r="AB177" s="31">
        <f>Settings!$B$24*(T177-L$6)^2</f>
        <v>1.6520002927864832</v>
      </c>
      <c r="AC177" s="31">
        <f>Settings!$B$25*(U177-M$6)^2</f>
        <v>0.64629631765071138</v>
      </c>
      <c r="AD177" s="19">
        <f t="shared" si="8"/>
        <v>2.3991799254505124</v>
      </c>
      <c r="AE177" s="15">
        <f t="shared" si="9"/>
        <v>0.94963891064660277</v>
      </c>
      <c r="AF177" s="33">
        <f t="shared" si="10"/>
        <v>0.63705006577395962</v>
      </c>
      <c r="AG177" s="47">
        <f t="shared" si="11"/>
        <v>2.747694311465626E-3</v>
      </c>
      <c r="AH177" s="18">
        <v>-0.13784298428557759</v>
      </c>
      <c r="AI177" s="46">
        <v>0</v>
      </c>
      <c r="AJ177" s="18">
        <v>0.5944934299097564</v>
      </c>
      <c r="AK177" s="46">
        <v>1</v>
      </c>
      <c r="AL177" s="18">
        <v>0.35597275571721099</v>
      </c>
      <c r="AM177" s="46">
        <v>1</v>
      </c>
    </row>
    <row r="178" spans="1:39" ht="20" customHeight="1" x14ac:dyDescent="0.45">
      <c r="A178" s="26">
        <v>168</v>
      </c>
      <c r="B178" s="16" t="s">
        <v>753</v>
      </c>
      <c r="C178" s="16" t="s">
        <v>258</v>
      </c>
      <c r="D178" s="46">
        <v>28</v>
      </c>
      <c r="E178" s="46">
        <v>0</v>
      </c>
      <c r="F178" s="13">
        <v>0.50134701670018367</v>
      </c>
      <c r="G178" s="13">
        <v>6.7526715707989016E-2</v>
      </c>
      <c r="H178" s="13">
        <v>0.30190306898681862</v>
      </c>
      <c r="I178" s="13">
        <v>1.09864482240887E-2</v>
      </c>
      <c r="J178" s="13">
        <v>0.1182367503809201</v>
      </c>
      <c r="K178" s="13">
        <v>20.51653846153846</v>
      </c>
      <c r="L178" s="13">
        <v>3.4825174914839452</v>
      </c>
      <c r="M178" s="13">
        <v>-0.17217845813873159</v>
      </c>
      <c r="N178" s="19">
        <f>(F178-Settings!$D$18)/Settings!$E$18</f>
        <v>1.1059796517560583</v>
      </c>
      <c r="O178" s="19">
        <f>(G178-Settings!$D$19)/Settings!$E$19</f>
        <v>0.30899589114593873</v>
      </c>
      <c r="P178" s="19">
        <f>(H178-Settings!$D$20)/Settings!$E$20</f>
        <v>2.2539572496533666</v>
      </c>
      <c r="Q178" s="19">
        <f>(I178-Settings!$D$21)/Settings!$E$21</f>
        <v>0.17131285705287511</v>
      </c>
      <c r="R178" s="19">
        <f>(J178-Settings!$D$22)/Settings!$E$22</f>
        <v>-0.34876076333701184</v>
      </c>
      <c r="S178" s="19">
        <f>(K178-Settings!$D$23)/Settings!$E$23</f>
        <v>1.827137800332185</v>
      </c>
      <c r="T178" s="19">
        <f>(L178-Settings!$D$24)/Settings!$E$24</f>
        <v>1.5031776580932925</v>
      </c>
      <c r="U178" s="19">
        <f>(M178-Settings!$D$25)/Settings!$E$25</f>
        <v>-8.014881179194383E-2</v>
      </c>
      <c r="V178" s="31">
        <f>Settings!$B$18*(N178-F$6)^2</f>
        <v>0.12579795052934886</v>
      </c>
      <c r="W178" s="31">
        <f>Settings!$B$19*(O178-G$6)^2</f>
        <v>0.17389221325365967</v>
      </c>
      <c r="X178" s="31">
        <f>Settings!$B$20*(P178-H$6)^2</f>
        <v>1.1182837401145371E-2</v>
      </c>
      <c r="Y178" s="31">
        <f>Settings!$B$21*(Q178-I$6)^2</f>
        <v>3.6659970466804549E-3</v>
      </c>
      <c r="Z178" s="31">
        <f>Settings!$B$22*(R178-J$6)^2</f>
        <v>4.1791445219919843E-2</v>
      </c>
      <c r="AA178" s="31">
        <f>Settings!$B$23*(S178-K$6)^2</f>
        <v>2.5824509138493212</v>
      </c>
      <c r="AB178" s="31">
        <f>Settings!$B$24*(T178-L$6)^2</f>
        <v>0.65012041816144672</v>
      </c>
      <c r="AC178" s="31">
        <f>Settings!$B$25*(U178-M$6)^2</f>
        <v>2.2618275257076461</v>
      </c>
      <c r="AD178" s="19">
        <f t="shared" si="8"/>
        <v>2.4188280842526133</v>
      </c>
      <c r="AE178" s="15">
        <f t="shared" si="9"/>
        <v>0.95741600811357785</v>
      </c>
      <c r="AF178" s="33">
        <f t="shared" si="10"/>
        <v>0.63234338208722851</v>
      </c>
      <c r="AG178" s="47">
        <f t="shared" si="11"/>
        <v>2.7273936652735765E-3</v>
      </c>
      <c r="AH178" s="18">
        <v>-0.26854188222690972</v>
      </c>
      <c r="AI178" s="46">
        <v>0</v>
      </c>
      <c r="AJ178" s="18">
        <v>-0.44616010836900649</v>
      </c>
      <c r="AK178" s="46">
        <v>0</v>
      </c>
      <c r="AL178" s="18">
        <v>-1.043837767764429</v>
      </c>
      <c r="AM178" s="46">
        <v>0</v>
      </c>
    </row>
    <row r="179" spans="1:39" ht="20" customHeight="1" x14ac:dyDescent="0.45">
      <c r="A179" s="26">
        <v>169</v>
      </c>
      <c r="B179" s="16" t="s">
        <v>754</v>
      </c>
      <c r="C179" s="16" t="s">
        <v>232</v>
      </c>
      <c r="D179" s="46">
        <v>28</v>
      </c>
      <c r="E179" s="46">
        <v>0</v>
      </c>
      <c r="F179" s="13">
        <v>-2.292477582887394E-2</v>
      </c>
      <c r="G179" s="13">
        <v>0.39203664337060112</v>
      </c>
      <c r="H179" s="13">
        <v>-1.0538697177892169E-2</v>
      </c>
      <c r="I179" s="13">
        <v>5.0948599034985623E-2</v>
      </c>
      <c r="J179" s="13">
        <v>0.5235512845876471</v>
      </c>
      <c r="K179" s="13">
        <v>15.90292207792208</v>
      </c>
      <c r="L179" s="13">
        <v>1.0944446640283281</v>
      </c>
      <c r="M179" s="13">
        <v>-0.10919282361828241</v>
      </c>
      <c r="N179" s="19">
        <f>(F179-Settings!$D$18)/Settings!$E$18</f>
        <v>-0.77035641146803024</v>
      </c>
      <c r="O179" s="19">
        <f>(G179-Settings!$D$19)/Settings!$E$19</f>
        <v>1.6609456106199814</v>
      </c>
      <c r="P179" s="19">
        <f>(H179-Settings!$D$20)/Settings!$E$20</f>
        <v>-0.57682523377883321</v>
      </c>
      <c r="Q179" s="19">
        <f>(I179-Settings!$D$21)/Settings!$E$21</f>
        <v>0.66273971573918167</v>
      </c>
      <c r="R179" s="19">
        <f>(J179-Settings!$D$22)/Settings!$E$22</f>
        <v>0.74175707339151498</v>
      </c>
      <c r="S179" s="19">
        <f>(K179-Settings!$D$23)/Settings!$E$23</f>
        <v>0.22493494915334622</v>
      </c>
      <c r="T179" s="19">
        <f>(L179-Settings!$D$24)/Settings!$E$24</f>
        <v>-0.14782771124788177</v>
      </c>
      <c r="U179" s="19">
        <f>(M179-Settings!$D$25)/Settings!$E$25</f>
        <v>-3.7670598368676714E-2</v>
      </c>
      <c r="V179" s="31">
        <f>Settings!$B$18*(N179-F$6)^2</f>
        <v>0.23468495179886842</v>
      </c>
      <c r="W179" s="31">
        <f>Settings!$B$19*(O179-G$6)^2</f>
        <v>1.0436954669554552</v>
      </c>
      <c r="X179" s="31">
        <f>Settings!$B$20*(P179-H$6)^2</f>
        <v>1.3460999525982573</v>
      </c>
      <c r="Y179" s="31">
        <f>Settings!$B$21*(Q179-I$6)^2</f>
        <v>7.8579442572833669E-2</v>
      </c>
      <c r="Z179" s="31">
        <f>Settings!$B$22*(R179-J$6)^2</f>
        <v>8.0238970819056524E-2</v>
      </c>
      <c r="AA179" s="31">
        <f>Settings!$B$23*(S179-K$6)^2</f>
        <v>2.3018350308409798E-5</v>
      </c>
      <c r="AB179" s="31">
        <f>Settings!$B$24*(T179-L$6)^2</f>
        <v>0.71352639814927643</v>
      </c>
      <c r="AC179" s="31">
        <f>Settings!$B$25*(U179-M$6)^2</f>
        <v>2.391401067017227</v>
      </c>
      <c r="AD179" s="19">
        <f t="shared" si="8"/>
        <v>2.4265715048729315</v>
      </c>
      <c r="AE179" s="15">
        <f t="shared" si="9"/>
        <v>0.96048099438015666</v>
      </c>
      <c r="AF179" s="33">
        <f t="shared" si="10"/>
        <v>0.63048754982505439</v>
      </c>
      <c r="AG179" s="47">
        <f t="shared" si="11"/>
        <v>2.7193891770492247E-3</v>
      </c>
      <c r="AH179" s="18">
        <v>-0.33994583725182248</v>
      </c>
      <c r="AI179" s="46">
        <v>0</v>
      </c>
      <c r="AJ179" s="18">
        <v>-0.64637731838263801</v>
      </c>
      <c r="AK179" s="46">
        <v>0</v>
      </c>
      <c r="AL179" s="18">
        <v>-0.77518792370096645</v>
      </c>
      <c r="AM179" s="46">
        <v>0</v>
      </c>
    </row>
    <row r="180" spans="1:39" ht="20" customHeight="1" x14ac:dyDescent="0.45">
      <c r="A180" s="26">
        <v>170</v>
      </c>
      <c r="B180" s="16" t="s">
        <v>410</v>
      </c>
      <c r="C180" s="16" t="s">
        <v>220</v>
      </c>
      <c r="D180" s="46">
        <v>28</v>
      </c>
      <c r="E180" s="46">
        <v>1</v>
      </c>
      <c r="F180" s="13">
        <v>-0.14811593448726931</v>
      </c>
      <c r="G180" s="13">
        <v>0.59345324170978053</v>
      </c>
      <c r="H180" s="13">
        <v>0.1351053809526101</v>
      </c>
      <c r="I180" s="13">
        <v>-8.3989232928007654E-2</v>
      </c>
      <c r="J180" s="13">
        <v>-3.933620992233236E-2</v>
      </c>
      <c r="K180" s="13">
        <v>18.485447761194031</v>
      </c>
      <c r="L180" s="13">
        <v>1.0417768154992471</v>
      </c>
      <c r="M180" s="13">
        <v>-0.74411528600007493</v>
      </c>
      <c r="N180" s="19">
        <f>(F180-Settings!$D$18)/Settings!$E$18</f>
        <v>-1.2184077640964222</v>
      </c>
      <c r="O180" s="19">
        <f>(G180-Settings!$D$19)/Settings!$E$19</f>
        <v>2.5000728311134663</v>
      </c>
      <c r="P180" s="19">
        <f>(H180-Settings!$D$20)/Settings!$E$20</f>
        <v>0.7427381211732389</v>
      </c>
      <c r="Q180" s="19">
        <f>(I180-Settings!$D$21)/Settings!$E$21</f>
        <v>-0.99663230338228248</v>
      </c>
      <c r="R180" s="19">
        <f>(J180-Settings!$D$22)/Settings!$E$22</f>
        <v>-0.77271823166004372</v>
      </c>
      <c r="S180" s="19">
        <f>(K180-Settings!$D$23)/Settings!$E$23</f>
        <v>1.1217867176867202</v>
      </c>
      <c r="T180" s="19">
        <f>(L180-Settings!$D$24)/Settings!$E$24</f>
        <v>-0.18423987578216311</v>
      </c>
      <c r="U180" s="19">
        <f>(M180-Settings!$D$25)/Settings!$E$25</f>
        <v>-0.4658693784496134</v>
      </c>
      <c r="V180" s="31">
        <f>Settings!$B$18*(N180-F$6)^2</f>
        <v>0.46897512572407341</v>
      </c>
      <c r="W180" s="31">
        <f>Settings!$B$19*(O180-G$6)^2</f>
        <v>1.9512828117398215</v>
      </c>
      <c r="X180" s="31">
        <f>Settings!$B$20*(P180-H$6)^2</f>
        <v>0.32500124483204534</v>
      </c>
      <c r="Y180" s="31">
        <f>Settings!$B$21*(Q180-I$6)^2</f>
        <v>0.21323474398729869</v>
      </c>
      <c r="Z180" s="31">
        <f>Settings!$B$22*(R180-J$6)^2</f>
        <v>0.15525893502072546</v>
      </c>
      <c r="AA180" s="31">
        <f>Settings!$B$23*(S180-K$6)^2</f>
        <v>0.81297184398142752</v>
      </c>
      <c r="AB180" s="31">
        <f>Settings!$B$24*(T180-L$6)^2</f>
        <v>0.77636731277477999</v>
      </c>
      <c r="AC180" s="31">
        <f>Settings!$B$25*(U180-M$6)^2</f>
        <v>1.2504087544603413</v>
      </c>
      <c r="AD180" s="19">
        <f t="shared" si="8"/>
        <v>2.4399796664153808</v>
      </c>
      <c r="AE180" s="15">
        <f t="shared" si="9"/>
        <v>0.96578818780315689</v>
      </c>
      <c r="AF180" s="33">
        <f t="shared" si="10"/>
        <v>0.62727300913471939</v>
      </c>
      <c r="AG180" s="47">
        <f t="shared" si="11"/>
        <v>2.7055243716856501E-3</v>
      </c>
      <c r="AH180" s="18">
        <v>0.38827071903461913</v>
      </c>
      <c r="AI180" s="46">
        <v>1</v>
      </c>
      <c r="AJ180" s="18">
        <v>0.16421918688212789</v>
      </c>
      <c r="AK180" s="46">
        <v>1</v>
      </c>
      <c r="AL180" s="18">
        <v>-0.29674618775059641</v>
      </c>
      <c r="AM180" s="46">
        <v>1</v>
      </c>
    </row>
    <row r="181" spans="1:39" ht="20" customHeight="1" x14ac:dyDescent="0.45">
      <c r="A181" s="26">
        <v>171</v>
      </c>
      <c r="B181" s="16" t="s">
        <v>471</v>
      </c>
      <c r="C181" s="16" t="s">
        <v>229</v>
      </c>
      <c r="D181" s="46">
        <v>28</v>
      </c>
      <c r="E181" s="46">
        <v>1</v>
      </c>
      <c r="F181" s="13">
        <v>0.16617866023261341</v>
      </c>
      <c r="G181" s="13">
        <v>0.2765127778140844</v>
      </c>
      <c r="H181" s="13">
        <v>-1.2844972704005751E-3</v>
      </c>
      <c r="I181" s="13">
        <v>4.7610441459805329E-2</v>
      </c>
      <c r="J181" s="13">
        <v>-0.50841362322309624</v>
      </c>
      <c r="K181" s="13">
        <v>13.75260416666667</v>
      </c>
      <c r="L181" s="13">
        <v>0.1976326441953988</v>
      </c>
      <c r="M181" s="13">
        <v>-1.532353218216137</v>
      </c>
      <c r="N181" s="19">
        <f>(F181-Settings!$D$18)/Settings!$E$18</f>
        <v>-9.3567002199757582E-2</v>
      </c>
      <c r="O181" s="19">
        <f>(G181-Settings!$D$19)/Settings!$E$19</f>
        <v>1.1796584624681681</v>
      </c>
      <c r="P181" s="19">
        <f>(H181-Settings!$D$20)/Settings!$E$20</f>
        <v>-0.49298040305125068</v>
      </c>
      <c r="Q181" s="19">
        <f>(I181-Settings!$D$21)/Settings!$E$21</f>
        <v>0.62168936540309749</v>
      </c>
      <c r="R181" s="19">
        <f>(J181-Settings!$D$22)/Settings!$E$22</f>
        <v>-2.0347930965847176</v>
      </c>
      <c r="S181" s="19">
        <f>(K181-Settings!$D$23)/Settings!$E$23</f>
        <v>-0.52182100146901356</v>
      </c>
      <c r="T181" s="19">
        <f>(L181-Settings!$D$24)/Settings!$E$24</f>
        <v>-0.76784291472533439</v>
      </c>
      <c r="U181" s="19">
        <f>(M181-Settings!$D$25)/Settings!$E$25</f>
        <v>-0.99746581893824471</v>
      </c>
      <c r="V181" s="31">
        <f>Settings!$B$18*(N181-F$6)^2</f>
        <v>3.304160684243717E-2</v>
      </c>
      <c r="W181" s="31">
        <f>Settings!$B$19*(O181-G$6)^2</f>
        <v>0.65024224013948007</v>
      </c>
      <c r="X181" s="31">
        <f>Settings!$B$20*(P181-H$6)^2</f>
        <v>1.2604977925980823</v>
      </c>
      <c r="Y181" s="31">
        <f>Settings!$B$21*(Q181-I$6)^2</f>
        <v>6.862407647816339E-2</v>
      </c>
      <c r="Z181" s="31">
        <f>Settings!$B$22*(R181-J$6)^2</f>
        <v>0.91861900790902418</v>
      </c>
      <c r="AA181" s="31">
        <f>Settings!$B$23*(S181-K$6)^2</f>
        <v>0.55050197993833705</v>
      </c>
      <c r="AB181" s="31">
        <f>Settings!$B$24*(T181-L$6)^2</f>
        <v>2.1454050336642356</v>
      </c>
      <c r="AC181" s="31">
        <f>Settings!$B$25*(U181-M$6)^2</f>
        <v>0.34412341611149166</v>
      </c>
      <c r="AD181" s="19">
        <f t="shared" si="8"/>
        <v>2.4435742578610644</v>
      </c>
      <c r="AE181" s="15">
        <f t="shared" si="9"/>
        <v>0.96721099226583496</v>
      </c>
      <c r="AF181" s="33">
        <f t="shared" si="10"/>
        <v>0.62641101379086894</v>
      </c>
      <c r="AG181" s="47">
        <f t="shared" si="11"/>
        <v>2.7018064540053023E-3</v>
      </c>
      <c r="AH181" s="18">
        <v>-0.66886524497369593</v>
      </c>
      <c r="AI181" s="46">
        <v>1</v>
      </c>
      <c r="AJ181" s="18">
        <v>-0.35813415553651529</v>
      </c>
      <c r="AK181" s="46">
        <v>1</v>
      </c>
      <c r="AL181" s="18">
        <v>0.73207235165509121</v>
      </c>
      <c r="AM181" s="46">
        <v>1</v>
      </c>
    </row>
    <row r="182" spans="1:39" ht="20" customHeight="1" x14ac:dyDescent="0.45">
      <c r="A182" s="26">
        <v>172</v>
      </c>
      <c r="B182" s="16" t="s">
        <v>367</v>
      </c>
      <c r="C182" s="16" t="s">
        <v>232</v>
      </c>
      <c r="D182" s="46">
        <v>28</v>
      </c>
      <c r="E182" s="46">
        <v>0</v>
      </c>
      <c r="F182" s="13">
        <v>0.22269685297750291</v>
      </c>
      <c r="G182" s="13">
        <v>-0.35226377175117252</v>
      </c>
      <c r="H182" s="13">
        <v>-8.5614869071184757E-4</v>
      </c>
      <c r="I182" s="13">
        <v>-3.1435975449450259E-3</v>
      </c>
      <c r="J182" s="13">
        <v>0.42103962903566772</v>
      </c>
      <c r="K182" s="13">
        <v>16.81813417190774</v>
      </c>
      <c r="L182" s="13">
        <v>1.053360149947278</v>
      </c>
      <c r="M182" s="13">
        <v>0.44700752975475999</v>
      </c>
      <c r="N182" s="19">
        <f>(F182-Settings!$D$18)/Settings!$E$18</f>
        <v>0.10870808638343868</v>
      </c>
      <c r="O182" s="19">
        <f>(G182-Settings!$D$19)/Settings!$E$19</f>
        <v>-1.4399047845472348</v>
      </c>
      <c r="P182" s="19">
        <f>(H182-Settings!$D$20)/Settings!$E$20</f>
        <v>-0.48909948254862279</v>
      </c>
      <c r="Q182" s="19">
        <f>(I182-Settings!$D$21)/Settings!$E$21</f>
        <v>-2.4486613956393251E-3</v>
      </c>
      <c r="R182" s="19">
        <f>(J182-Settings!$D$22)/Settings!$E$22</f>
        <v>0.46594463782021484</v>
      </c>
      <c r="S182" s="19">
        <f>(K182-Settings!$D$23)/Settings!$E$23</f>
        <v>0.5427670583907811</v>
      </c>
      <c r="T182" s="19">
        <f>(L182-Settings!$D$24)/Settings!$E$24</f>
        <v>-0.17623168308858034</v>
      </c>
      <c r="U182" s="19">
        <f>(M182-Settings!$D$25)/Settings!$E$25</f>
        <v>0.33743711462905518</v>
      </c>
      <c r="V182" s="31">
        <f>Settings!$B$18*(N182-F$6)^2</f>
        <v>8.3381250741630022E-3</v>
      </c>
      <c r="W182" s="31">
        <f>Settings!$B$19*(O182-G$6)^2</f>
        <v>0.13331868024021123</v>
      </c>
      <c r="X182" s="31">
        <f>Settings!$B$20*(P182-H$6)^2</f>
        <v>1.256603622037237</v>
      </c>
      <c r="Y182" s="31">
        <f>Settings!$B$21*(Q182-I$6)^2</f>
        <v>2.9450114974486486E-4</v>
      </c>
      <c r="Z182" s="31">
        <f>Settings!$B$22*(R182-J$6)^2</f>
        <v>2.557369354277993E-2</v>
      </c>
      <c r="AA182" s="31">
        <f>Settings!$B$23*(S182-K$6)^2</f>
        <v>0.10409002238956722</v>
      </c>
      <c r="AB182" s="31">
        <f>Settings!$B$24*(T182-L$6)^2</f>
        <v>0.76231913316317568</v>
      </c>
      <c r="AC182" s="31">
        <f>Settings!$B$25*(U182-M$6)^2</f>
        <v>3.692251667308621</v>
      </c>
      <c r="AD182" s="19">
        <f t="shared" si="8"/>
        <v>2.4459741300564688</v>
      </c>
      <c r="AE182" s="15">
        <f t="shared" si="9"/>
        <v>0.96816090518947984</v>
      </c>
      <c r="AF182" s="33">
        <f t="shared" si="10"/>
        <v>0.62583547045974786</v>
      </c>
      <c r="AG182" s="47">
        <f t="shared" si="11"/>
        <v>2.6993240476421505E-3</v>
      </c>
      <c r="AH182" s="18">
        <v>0.22120353156451131</v>
      </c>
      <c r="AI182" s="46">
        <v>0</v>
      </c>
      <c r="AJ182" s="18">
        <v>-0.42218266896409362</v>
      </c>
      <c r="AK182" s="46">
        <v>0</v>
      </c>
      <c r="AL182" s="18">
        <v>-0.40474636486930488</v>
      </c>
      <c r="AM182" s="46">
        <v>0</v>
      </c>
    </row>
    <row r="183" spans="1:39" ht="20" customHeight="1" x14ac:dyDescent="0.45">
      <c r="A183" s="26">
        <v>173</v>
      </c>
      <c r="B183" s="16" t="s">
        <v>467</v>
      </c>
      <c r="C183" s="16" t="s">
        <v>227</v>
      </c>
      <c r="D183" s="46">
        <v>28</v>
      </c>
      <c r="E183" s="46">
        <v>0</v>
      </c>
      <c r="F183" s="13">
        <v>0.23708921339995059</v>
      </c>
      <c r="G183" s="13">
        <v>-8.0846977889615784E-2</v>
      </c>
      <c r="H183" s="13">
        <v>9.3427701786430714E-2</v>
      </c>
      <c r="I183" s="13">
        <v>1.2343028125843619E-2</v>
      </c>
      <c r="J183" s="13">
        <v>0.57629307879815928</v>
      </c>
      <c r="K183" s="13">
        <v>14.523429951690799</v>
      </c>
      <c r="L183" s="13">
        <v>1.7871716399288231</v>
      </c>
      <c r="M183" s="13">
        <v>0.89968859123171718</v>
      </c>
      <c r="N183" s="19">
        <f>(F183-Settings!$D$18)/Settings!$E$18</f>
        <v>0.1602174471394075</v>
      </c>
      <c r="O183" s="19">
        <f>(G183-Settings!$D$19)/Settings!$E$19</f>
        <v>-0.30914782754227227</v>
      </c>
      <c r="P183" s="19">
        <f>(H183-Settings!$D$20)/Settings!$E$20</f>
        <v>0.36513033338621281</v>
      </c>
      <c r="Q183" s="19">
        <f>(I183-Settings!$D$21)/Settings!$E$21</f>
        <v>0.18799513731429218</v>
      </c>
      <c r="R183" s="19">
        <f>(J183-Settings!$D$22)/Settings!$E$22</f>
        <v>0.88366135382941668</v>
      </c>
      <c r="S183" s="19">
        <f>(K183-Settings!$D$23)/Settings!$E$23</f>
        <v>-0.25413093627123085</v>
      </c>
      <c r="T183" s="19">
        <f>(L183-Settings!$D$24)/Settings!$E$24</f>
        <v>0.33109233823727052</v>
      </c>
      <c r="U183" s="19">
        <f>(M183-Settings!$D$25)/Settings!$E$25</f>
        <v>0.64273026422567148</v>
      </c>
      <c r="V183" s="31">
        <f>Settings!$B$18*(N183-F$6)^2</f>
        <v>4.6618372390269452E-3</v>
      </c>
      <c r="W183" s="31">
        <f>Settings!$B$19*(O183-G$6)^2</f>
        <v>1.9757557163202148E-2</v>
      </c>
      <c r="X183" s="31">
        <f>Settings!$B$20*(P183-H$6)^2</f>
        <v>0.54606208969628811</v>
      </c>
      <c r="Y183" s="31">
        <f>Settings!$B$21*(Q183-I$6)^2</f>
        <v>4.625090806256121E-3</v>
      </c>
      <c r="Z183" s="31">
        <f>Settings!$B$22*(R183-J$6)^2</f>
        <v>0.12021917264252245</v>
      </c>
      <c r="AA183" s="31">
        <f>Settings!$B$23*(S183-K$6)^2</f>
        <v>0.2249302696916704</v>
      </c>
      <c r="AB183" s="31">
        <f>Settings!$B$24*(T183-L$6)^2</f>
        <v>0.13379856988541342</v>
      </c>
      <c r="AC183" s="31">
        <f>Settings!$B$25*(U183-M$6)^2</f>
        <v>4.9587113551783784</v>
      </c>
      <c r="AD183" s="19">
        <f t="shared" si="8"/>
        <v>2.4520941952345057</v>
      </c>
      <c r="AE183" s="15">
        <f t="shared" si="9"/>
        <v>0.97058333794123186</v>
      </c>
      <c r="AF183" s="33">
        <f t="shared" si="10"/>
        <v>0.62436758348974342</v>
      </c>
      <c r="AG183" s="47">
        <f t="shared" si="11"/>
        <v>2.6929928267632147E-3</v>
      </c>
      <c r="AH183" s="18">
        <v>-0.11925111009289011</v>
      </c>
      <c r="AI183" s="46">
        <v>0</v>
      </c>
      <c r="AJ183" s="18">
        <v>-1.1174548776816291</v>
      </c>
      <c r="AK183" s="46">
        <v>0</v>
      </c>
      <c r="AL183" s="18">
        <v>-0.26968646331459661</v>
      </c>
      <c r="AM183" s="46">
        <v>0</v>
      </c>
    </row>
    <row r="184" spans="1:39" ht="20" customHeight="1" x14ac:dyDescent="0.45">
      <c r="A184" s="26">
        <v>174</v>
      </c>
      <c r="B184" s="16" t="s">
        <v>228</v>
      </c>
      <c r="C184" s="16" t="s">
        <v>246</v>
      </c>
      <c r="D184" s="46">
        <v>28</v>
      </c>
      <c r="E184" s="46">
        <v>1</v>
      </c>
      <c r="F184" s="13">
        <v>0.27034328802208552</v>
      </c>
      <c r="G184" s="13">
        <v>-0.14334241790808419</v>
      </c>
      <c r="H184" s="13">
        <v>0.10210560120769439</v>
      </c>
      <c r="I184" s="13">
        <v>-2.283440170005686E-3</v>
      </c>
      <c r="J184" s="13">
        <v>0.48192525269213021</v>
      </c>
      <c r="K184" s="13">
        <v>18.861991869918722</v>
      </c>
      <c r="L184" s="13">
        <v>4.4112532275245346</v>
      </c>
      <c r="M184" s="13">
        <v>-0.14818697153947011</v>
      </c>
      <c r="N184" s="19">
        <f>(F184-Settings!$D$18)/Settings!$E$18</f>
        <v>0.27923170720795476</v>
      </c>
      <c r="O184" s="19">
        <f>(G184-Settings!$D$19)/Settings!$E$19</f>
        <v>-0.56951179609616776</v>
      </c>
      <c r="P184" s="19">
        <f>(H184-Settings!$D$20)/Settings!$E$20</f>
        <v>0.44375377088704143</v>
      </c>
      <c r="Q184" s="19">
        <f>(I184-Settings!$D$21)/Settings!$E$21</f>
        <v>8.1289583811980093E-3</v>
      </c>
      <c r="R184" s="19">
        <f>(J184-Settings!$D$22)/Settings!$E$22</f>
        <v>0.62976027479869923</v>
      </c>
      <c r="S184" s="19">
        <f>(K184-Settings!$D$23)/Settings!$E$23</f>
        <v>1.2525518256691914</v>
      </c>
      <c r="T184" s="19">
        <f>(L184-Settings!$D$24)/Settings!$E$24</f>
        <v>2.1452634727607429</v>
      </c>
      <c r="U184" s="19">
        <f>(M184-Settings!$D$25)/Settings!$E$25</f>
        <v>-6.3968686024154481E-2</v>
      </c>
      <c r="V184" s="31">
        <f>Settings!$B$18*(N184-F$6)^2</f>
        <v>2.2658838357775745E-4</v>
      </c>
      <c r="W184" s="31">
        <f>Settings!$B$19*(O184-G$6)^2</f>
        <v>5.8193221910308177E-4</v>
      </c>
      <c r="X184" s="31">
        <f>Settings!$B$20*(P184-H$6)^2</f>
        <v>0.49533256877796639</v>
      </c>
      <c r="Y184" s="31">
        <f>Settings!$B$21*(Q184-I$6)^2</f>
        <v>1.5451932978281395E-4</v>
      </c>
      <c r="Z184" s="31">
        <f>Settings!$B$22*(R184-J$6)^2</f>
        <v>5.4372143469993542E-2</v>
      </c>
      <c r="AA184" s="31">
        <f>Settings!$B$23*(S184-K$6)^2</f>
        <v>1.065879949261463</v>
      </c>
      <c r="AB184" s="31">
        <f>Settings!$B$24*(T184-L$6)^2</f>
        <v>2.0978227761524408</v>
      </c>
      <c r="AC184" s="31">
        <f>Settings!$B$25*(U184-M$6)^2</f>
        <v>2.3107571128265922</v>
      </c>
      <c r="AD184" s="19">
        <f t="shared" si="8"/>
        <v>2.4546135317847737</v>
      </c>
      <c r="AE184" s="15">
        <f t="shared" si="9"/>
        <v>0.97158053702237179</v>
      </c>
      <c r="AF184" s="33">
        <f t="shared" si="10"/>
        <v>0.62376326228608825</v>
      </c>
      <c r="AG184" s="47">
        <f t="shared" si="11"/>
        <v>2.6903862970369145E-3</v>
      </c>
      <c r="AH184" s="18">
        <v>-0.93913550964404102</v>
      </c>
      <c r="AI184" s="46">
        <v>1</v>
      </c>
      <c r="AJ184" s="48"/>
      <c r="AK184" s="48"/>
      <c r="AL184" s="48"/>
      <c r="AM184" s="48"/>
    </row>
    <row r="185" spans="1:39" ht="20" customHeight="1" x14ac:dyDescent="0.45">
      <c r="A185" s="26">
        <v>175</v>
      </c>
      <c r="B185" s="16" t="s">
        <v>755</v>
      </c>
      <c r="C185" s="16" t="s">
        <v>246</v>
      </c>
      <c r="D185" s="46">
        <v>28</v>
      </c>
      <c r="E185" s="46">
        <v>1</v>
      </c>
      <c r="F185" s="13">
        <v>0.114679887642821</v>
      </c>
      <c r="G185" s="13">
        <v>7.4916575256704032E-2</v>
      </c>
      <c r="H185" s="13">
        <v>2.9713602098856238E-3</v>
      </c>
      <c r="I185" s="13">
        <v>-2.9207767049562309E-3</v>
      </c>
      <c r="J185" s="13">
        <v>0.80451140018563316</v>
      </c>
      <c r="K185" s="13">
        <v>13.00166666666664</v>
      </c>
      <c r="L185" s="13">
        <v>1.7418089261494309</v>
      </c>
      <c r="M185" s="13">
        <v>0.17488583354765311</v>
      </c>
      <c r="N185" s="19">
        <f>(F185-Settings!$D$18)/Settings!$E$18</f>
        <v>-0.2778778989502213</v>
      </c>
      <c r="O185" s="19">
        <f>(G185-Settings!$D$19)/Settings!$E$19</f>
        <v>0.33978298790997064</v>
      </c>
      <c r="P185" s="19">
        <f>(H185-Settings!$D$20)/Settings!$E$20</f>
        <v>-0.45442151588625174</v>
      </c>
      <c r="Q185" s="19">
        <f>(I185-Settings!$D$21)/Settings!$E$21</f>
        <v>2.9143500116620081E-4</v>
      </c>
      <c r="R185" s="19">
        <f>(J185-Settings!$D$22)/Settings!$E$22</f>
        <v>1.4976934921744647</v>
      </c>
      <c r="S185" s="19">
        <f>(K185-Settings!$D$23)/Settings!$E$23</f>
        <v>-0.78260432273294245</v>
      </c>
      <c r="T185" s="19">
        <f>(L185-Settings!$D$24)/Settings!$E$24</f>
        <v>0.29973061293450426</v>
      </c>
      <c r="U185" s="19">
        <f>(M185-Settings!$D$25)/Settings!$E$25</f>
        <v>0.1539152119508489</v>
      </c>
      <c r="V185" s="31">
        <f>Settings!$B$18*(N185-F$6)^2</f>
        <v>6.9801557074065865E-2</v>
      </c>
      <c r="W185" s="31">
        <f>Settings!$B$19*(O185-G$6)^2</f>
        <v>0.18556474088425623</v>
      </c>
      <c r="X185" s="31">
        <f>Settings!$B$20*(P185-H$6)^2</f>
        <v>1.2220746882352365</v>
      </c>
      <c r="Y185" s="31">
        <f>Settings!$B$21*(Q185-I$6)^2</f>
        <v>2.5394422186931289E-4</v>
      </c>
      <c r="Z185" s="31">
        <f>Settings!$B$22*(R185-J$6)^2</f>
        <v>0.38605082723675532</v>
      </c>
      <c r="AA185" s="31">
        <f>Settings!$B$23*(S185-K$6)^2</f>
        <v>1.0054905711585764</v>
      </c>
      <c r="AB185" s="31">
        <f>Settings!$B$24*(T185-L$6)^2</f>
        <v>0.15772541681914592</v>
      </c>
      <c r="AC185" s="31">
        <f>Settings!$B$25*(U185-M$6)^2</f>
        <v>3.0206487439096312</v>
      </c>
      <c r="AD185" s="19">
        <f t="shared" si="8"/>
        <v>2.4591889902037902</v>
      </c>
      <c r="AE185" s="15">
        <f t="shared" si="9"/>
        <v>0.97339158641581314</v>
      </c>
      <c r="AF185" s="33">
        <f t="shared" si="10"/>
        <v>0.62266564462798801</v>
      </c>
      <c r="AG185" s="47">
        <f t="shared" si="11"/>
        <v>2.6856521042986055E-3</v>
      </c>
      <c r="AH185" s="18">
        <v>4.9287877209016402E-2</v>
      </c>
      <c r="AI185" s="46">
        <v>1</v>
      </c>
      <c r="AJ185" s="48"/>
      <c r="AK185" s="48"/>
      <c r="AL185" s="48"/>
      <c r="AM185" s="48"/>
    </row>
    <row r="186" spans="1:39" ht="20" customHeight="1" x14ac:dyDescent="0.45">
      <c r="A186" s="26">
        <v>176</v>
      </c>
      <c r="B186" s="16" t="s">
        <v>756</v>
      </c>
      <c r="C186" s="16" t="s">
        <v>229</v>
      </c>
      <c r="D186" s="46">
        <v>28</v>
      </c>
      <c r="E186" s="46">
        <v>1</v>
      </c>
      <c r="F186" s="13">
        <v>0.67937984767360893</v>
      </c>
      <c r="G186" s="13">
        <v>-6.8183220418063975E-2</v>
      </c>
      <c r="H186" s="13">
        <v>-5.6981057428328614E-3</v>
      </c>
      <c r="I186" s="13">
        <v>2.615796322844316E-2</v>
      </c>
      <c r="J186" s="13">
        <v>0.22058086293705109</v>
      </c>
      <c r="K186" s="13">
        <v>11.26970802919708</v>
      </c>
      <c r="L186" s="13">
        <v>1.0057873531849759</v>
      </c>
      <c r="M186" s="13">
        <v>-0.99749194605390001</v>
      </c>
      <c r="N186" s="19">
        <f>(F186-Settings!$D$18)/Settings!$E$18</f>
        <v>1.7431480555373884</v>
      </c>
      <c r="O186" s="19">
        <f>(G186-Settings!$D$19)/Settings!$E$19</f>
        <v>-0.25638899984023666</v>
      </c>
      <c r="P186" s="19">
        <f>(H186-Settings!$D$20)/Settings!$E$20</f>
        <v>-0.53296854454032028</v>
      </c>
      <c r="Q186" s="19">
        <f>(I186-Settings!$D$21)/Settings!$E$21</f>
        <v>0.35788164298691583</v>
      </c>
      <c r="R186" s="19">
        <f>(J186-Settings!$D$22)/Settings!$E$22</f>
        <v>-7.3399110084063995E-2</v>
      </c>
      <c r="S186" s="19">
        <f>(K186-Settings!$D$23)/Settings!$E$23</f>
        <v>-1.3840737203473155</v>
      </c>
      <c r="T186" s="19">
        <f>(L186-Settings!$D$24)/Settings!$E$24</f>
        <v>-0.20912135964539669</v>
      </c>
      <c r="U186" s="19">
        <f>(M186-Settings!$D$25)/Settings!$E$25</f>
        <v>-0.63674941997315515</v>
      </c>
      <c r="V186" s="31">
        <f>Settings!$B$18*(N186-F$6)^2</f>
        <v>0.40912710059714064</v>
      </c>
      <c r="W186" s="31">
        <f>Settings!$B$19*(O186-G$6)^2</f>
        <v>2.6947206409114091E-2</v>
      </c>
      <c r="X186" s="31">
        <f>Settings!$B$20*(P186-H$6)^2</f>
        <v>1.3009733081909274</v>
      </c>
      <c r="Y186" s="31">
        <f>Settings!$B$21*(Q186-I$6)^2</f>
        <v>2.0731269924509091E-2</v>
      </c>
      <c r="Z186" s="31">
        <f>Settings!$B$22*(R186-J$6)^2</f>
        <v>6.6071025587310251E-3</v>
      </c>
      <c r="AA186" s="31">
        <f>Settings!$B$23*(S186-K$6)^2</f>
        <v>2.5734926925531494</v>
      </c>
      <c r="AB186" s="31">
        <f>Settings!$B$24*(T186-L$6)^2</f>
        <v>0.82083340194527254</v>
      </c>
      <c r="AC186" s="31">
        <f>Settings!$B$25*(U186-M$6)^2</f>
        <v>0.8974468853814741</v>
      </c>
      <c r="AD186" s="19">
        <f t="shared" si="8"/>
        <v>2.4609264449715513</v>
      </c>
      <c r="AE186" s="15">
        <f t="shared" si="9"/>
        <v>0.97407930251223906</v>
      </c>
      <c r="AF186" s="33">
        <f t="shared" si="10"/>
        <v>0.62224881395720599</v>
      </c>
      <c r="AG186" s="47">
        <f t="shared" si="11"/>
        <v>2.6838542498998923E-3</v>
      </c>
      <c r="AH186" s="18">
        <v>-0.81896248549911355</v>
      </c>
      <c r="AI186" s="46">
        <v>1</v>
      </c>
      <c r="AJ186" s="18">
        <v>-0.63173381879945212</v>
      </c>
      <c r="AK186" s="46">
        <v>1</v>
      </c>
      <c r="AL186" s="18">
        <v>-0.1148534148344094</v>
      </c>
      <c r="AM186" s="46">
        <v>1</v>
      </c>
    </row>
    <row r="187" spans="1:39" ht="20" customHeight="1" x14ac:dyDescent="0.45">
      <c r="A187" s="26">
        <v>177</v>
      </c>
      <c r="B187" s="16" t="s">
        <v>422</v>
      </c>
      <c r="C187" s="16" t="s">
        <v>260</v>
      </c>
      <c r="D187" s="46">
        <v>28</v>
      </c>
      <c r="E187" s="46">
        <v>1</v>
      </c>
      <c r="F187" s="13">
        <v>-0.44773557182036539</v>
      </c>
      <c r="G187" s="13">
        <v>8.3450739952302594E-2</v>
      </c>
      <c r="H187" s="13">
        <v>0.10370751406535141</v>
      </c>
      <c r="I187" s="13">
        <v>-0.10723898584103039</v>
      </c>
      <c r="J187" s="13">
        <v>0.25786718832095012</v>
      </c>
      <c r="K187" s="13">
        <v>15.239830508474579</v>
      </c>
      <c r="L187" s="13">
        <v>-0.34570222708803511</v>
      </c>
      <c r="M187" s="13">
        <v>-1.6928539806151219</v>
      </c>
      <c r="N187" s="19">
        <f>(F187-Settings!$D$18)/Settings!$E$18</f>
        <v>-2.2907277683183764</v>
      </c>
      <c r="O187" s="19">
        <f>(G187-Settings!$D$19)/Settings!$E$19</f>
        <v>0.37533740576480862</v>
      </c>
      <c r="P187" s="19">
        <f>(H187-Settings!$D$20)/Settings!$E$20</f>
        <v>0.4582674094223253</v>
      </c>
      <c r="Q187" s="19">
        <f>(I187-Settings!$D$21)/Settings!$E$21</f>
        <v>-1.2825416653019126</v>
      </c>
      <c r="R187" s="19">
        <f>(J187-Settings!$D$22)/Settings!$E$22</f>
        <v>2.692150382332318E-2</v>
      </c>
      <c r="S187" s="19">
        <f>(K187-Settings!$D$23)/Settings!$E$23</f>
        <v>-5.3415009941341646E-3</v>
      </c>
      <c r="T187" s="19">
        <f>(L187-Settings!$D$24)/Settings!$E$24</f>
        <v>-1.1434800307822219</v>
      </c>
      <c r="U187" s="19">
        <f>(M187-Settings!$D$25)/Settings!$E$25</f>
        <v>-1.105709320677799</v>
      </c>
      <c r="V187" s="31">
        <f>Settings!$B$18*(N187-F$6)^2</f>
        <v>1.3557660441901382</v>
      </c>
      <c r="W187" s="31">
        <f>Settings!$B$19*(O187-G$6)^2</f>
        <v>0.19951648313695483</v>
      </c>
      <c r="X187" s="31">
        <f>Settings!$B$20*(P187-H$6)^2</f>
        <v>0.48623841082016378</v>
      </c>
      <c r="Y187" s="31">
        <f>Settings!$B$21*(Q187-I$6)^2</f>
        <v>0.34767064864273006</v>
      </c>
      <c r="Z187" s="31">
        <f>Settings!$B$22*(R187-J$6)^2</f>
        <v>1.326368549734161E-3</v>
      </c>
      <c r="AA187" s="31">
        <f>Settings!$B$23*(S187-K$6)^2</f>
        <v>5.0840646793463708E-2</v>
      </c>
      <c r="AB187" s="31">
        <f>Settings!$B$24*(T187-L$6)^2</f>
        <v>3.3869147609953147</v>
      </c>
      <c r="AC187" s="31">
        <f>Settings!$B$25*(U187-M$6)^2</f>
        <v>0.22884439352058067</v>
      </c>
      <c r="AD187" s="19">
        <f t="shared" si="8"/>
        <v>2.4611212397297861</v>
      </c>
      <c r="AE187" s="15">
        <f t="shared" si="9"/>
        <v>0.9741564058090979</v>
      </c>
      <c r="AF187" s="33">
        <f t="shared" si="10"/>
        <v>0.62220208003621424</v>
      </c>
      <c r="AG187" s="47">
        <f t="shared" si="11"/>
        <v>2.6836526793550318E-3</v>
      </c>
      <c r="AH187" s="18">
        <v>0.50145392518172582</v>
      </c>
      <c r="AI187" s="46">
        <v>1</v>
      </c>
      <c r="AJ187" s="18">
        <v>0.54322132878170948</v>
      </c>
      <c r="AK187" s="46">
        <v>1</v>
      </c>
      <c r="AL187" s="18">
        <v>-0.53698282359016192</v>
      </c>
      <c r="AM187" s="46">
        <v>1</v>
      </c>
    </row>
    <row r="188" spans="1:39" ht="20" customHeight="1" x14ac:dyDescent="0.45">
      <c r="A188" s="26">
        <v>178</v>
      </c>
      <c r="B188" s="16" t="s">
        <v>268</v>
      </c>
      <c r="C188" s="16" t="s">
        <v>216</v>
      </c>
      <c r="D188" s="46">
        <v>28</v>
      </c>
      <c r="E188" s="46">
        <v>1</v>
      </c>
      <c r="F188" s="13">
        <v>0.32270063583037489</v>
      </c>
      <c r="G188" s="13">
        <v>-1.6815752392604789E-2</v>
      </c>
      <c r="H188" s="13">
        <v>5.7869901497040042E-2</v>
      </c>
      <c r="I188" s="13">
        <v>-1.2417325225164E-2</v>
      </c>
      <c r="J188" s="13">
        <v>0.5901963850548162</v>
      </c>
      <c r="K188" s="13">
        <v>19.40416666666669</v>
      </c>
      <c r="L188" s="13">
        <v>3.3324643970144332</v>
      </c>
      <c r="M188" s="13">
        <v>0.21027203169874789</v>
      </c>
      <c r="N188" s="19">
        <f>(F188-Settings!$D$18)/Settings!$E$18</f>
        <v>0.46661539114325845</v>
      </c>
      <c r="O188" s="19">
        <f>(G188-Settings!$D$19)/Settings!$E$19</f>
        <v>-4.2385580939248303E-2</v>
      </c>
      <c r="P188" s="19">
        <f>(H188-Settings!$D$20)/Settings!$E$20</f>
        <v>4.2969825064402174E-2</v>
      </c>
      <c r="Q188" s="19">
        <f>(I188-Settings!$D$21)/Settings!$E$21</f>
        <v>-0.11649054276904014</v>
      </c>
      <c r="R188" s="19">
        <f>(J188-Settings!$D$22)/Settings!$E$22</f>
        <v>0.92106885388874238</v>
      </c>
      <c r="S188" s="19">
        <f>(K188-Settings!$D$23)/Settings!$E$23</f>
        <v>1.4408366618926123</v>
      </c>
      <c r="T188" s="19">
        <f>(L188-Settings!$D$24)/Settings!$E$24</f>
        <v>1.3994377462249528</v>
      </c>
      <c r="U188" s="19">
        <f>(M188-Settings!$D$25)/Settings!$E$25</f>
        <v>0.1777800580978256</v>
      </c>
      <c r="V188" s="31">
        <f>Settings!$B$18*(N188-F$6)^2</f>
        <v>4.726243233986651E-3</v>
      </c>
      <c r="W188" s="31">
        <f>Settings!$B$19*(O188-G$6)^2</f>
        <v>6.7527885509029315E-2</v>
      </c>
      <c r="X188" s="31">
        <f>Settings!$B$20*(P188-H$6)^2</f>
        <v>0.77975028150681114</v>
      </c>
      <c r="Y188" s="31">
        <f>Settings!$B$21*(Q188-I$6)^2</f>
        <v>4.6460740040280227E-3</v>
      </c>
      <c r="Z188" s="31">
        <f>Settings!$B$22*(R188-J$6)^2</f>
        <v>0.13209990648334652</v>
      </c>
      <c r="AA188" s="31">
        <f>Settings!$B$23*(S188-K$6)^2</f>
        <v>1.4901071644007506</v>
      </c>
      <c r="AB188" s="31">
        <f>Settings!$B$24*(T188-L$6)^2</f>
        <v>0.49359131191056471</v>
      </c>
      <c r="AC188" s="31">
        <f>Settings!$B$25*(U188-M$6)^2</f>
        <v>3.1041725451377431</v>
      </c>
      <c r="AD188" s="19">
        <f t="shared" si="8"/>
        <v>2.4650804068399594</v>
      </c>
      <c r="AE188" s="15">
        <f t="shared" si="9"/>
        <v>0.975723515929389</v>
      </c>
      <c r="AF188" s="33">
        <f t="shared" si="10"/>
        <v>0.62125218171113039</v>
      </c>
      <c r="AG188" s="47">
        <f t="shared" si="11"/>
        <v>2.6795556226800079E-3</v>
      </c>
      <c r="AH188" s="18">
        <v>-0.60539134473152334</v>
      </c>
      <c r="AI188" s="46">
        <v>1</v>
      </c>
      <c r="AJ188" s="18">
        <v>-8.168805090495912E-2</v>
      </c>
      <c r="AK188" s="46">
        <v>1</v>
      </c>
      <c r="AL188" s="48"/>
      <c r="AM188" s="48"/>
    </row>
    <row r="189" spans="1:39" ht="20" customHeight="1" x14ac:dyDescent="0.45">
      <c r="A189" s="26">
        <v>179</v>
      </c>
      <c r="B189" s="16" t="s">
        <v>644</v>
      </c>
      <c r="C189" s="16" t="s">
        <v>214</v>
      </c>
      <c r="D189" s="46">
        <v>28</v>
      </c>
      <c r="E189" s="46">
        <v>1</v>
      </c>
      <c r="F189" s="13">
        <v>-9.4406865902110296E-2</v>
      </c>
      <c r="G189" s="13">
        <v>0.1971812934658817</v>
      </c>
      <c r="H189" s="13">
        <v>-9.6486990561466014E-3</v>
      </c>
      <c r="I189" s="13">
        <v>5.7774803641370961E-4</v>
      </c>
      <c r="J189" s="13">
        <v>0.69818539353944764</v>
      </c>
      <c r="K189" s="13">
        <v>14.009440559440581</v>
      </c>
      <c r="L189" s="13">
        <v>0.99491518430537618</v>
      </c>
      <c r="M189" s="13">
        <v>-7.2858914114947604E-2</v>
      </c>
      <c r="N189" s="19">
        <f>(F189-Settings!$D$18)/Settings!$E$18</f>
        <v>-1.0261863557647419</v>
      </c>
      <c r="O189" s="19">
        <f>(G189-Settings!$D$19)/Settings!$E$19</f>
        <v>0.84915338737684321</v>
      </c>
      <c r="P189" s="19">
        <f>(H189-Settings!$D$20)/Settings!$E$20</f>
        <v>-0.56876167965080804</v>
      </c>
      <c r="Q189" s="19">
        <f>(I189-Settings!$D$21)/Settings!$E$21</f>
        <v>4.3313869700024828E-2</v>
      </c>
      <c r="R189" s="19">
        <f>(J189-Settings!$D$22)/Settings!$E$22</f>
        <v>1.2116183654023225</v>
      </c>
      <c r="S189" s="19">
        <f>(K189-Settings!$D$23)/Settings!$E$23</f>
        <v>-0.43262762981155223</v>
      </c>
      <c r="T189" s="19">
        <f>(L189-Settings!$D$24)/Settings!$E$24</f>
        <v>-0.21663788468191666</v>
      </c>
      <c r="U189" s="19">
        <f>(M189-Settings!$D$25)/Settings!$E$25</f>
        <v>-1.316660513061157E-2</v>
      </c>
      <c r="V189" s="31">
        <f>Settings!$B$18*(N189-F$6)^2</f>
        <v>0.35862558462057464</v>
      </c>
      <c r="W189" s="31">
        <f>Settings!$B$19*(O189-G$6)^2</f>
        <v>0.43371395601730112</v>
      </c>
      <c r="X189" s="31">
        <f>Settings!$B$20*(P189-H$6)^2</f>
        <v>1.3377451787050481</v>
      </c>
      <c r="Y189" s="31">
        <f>Settings!$B$21*(Q189-I$6)^2</f>
        <v>1.0920316852611145E-5</v>
      </c>
      <c r="Z189" s="31">
        <f>Settings!$B$22*(R189-J$6)^2</f>
        <v>0.24343684977970509</v>
      </c>
      <c r="AA189" s="31">
        <f>Settings!$B$23*(S189-K$6)^2</f>
        <v>0.42610192938322466</v>
      </c>
      <c r="AB189" s="31">
        <f>Settings!$B$24*(T189-L$6)^2</f>
        <v>0.83450982190559142</v>
      </c>
      <c r="AC189" s="31">
        <f>Settings!$B$25*(U189-M$6)^2</f>
        <v>2.4677882252803625</v>
      </c>
      <c r="AD189" s="19">
        <f t="shared" si="8"/>
        <v>2.4702089923746655</v>
      </c>
      <c r="AE189" s="15">
        <f t="shared" si="9"/>
        <v>0.9777535030631892</v>
      </c>
      <c r="AF189" s="33">
        <f t="shared" si="10"/>
        <v>0.62002160400782402</v>
      </c>
      <c r="AG189" s="47">
        <f t="shared" si="11"/>
        <v>2.6742479529428052E-3</v>
      </c>
      <c r="AH189" s="48"/>
      <c r="AI189" s="48"/>
      <c r="AJ189" s="48"/>
      <c r="AK189" s="48"/>
      <c r="AL189" s="48"/>
      <c r="AM189" s="48"/>
    </row>
    <row r="190" spans="1:39" ht="20" customHeight="1" x14ac:dyDescent="0.45">
      <c r="A190" s="26">
        <v>180</v>
      </c>
      <c r="B190" s="16" t="s">
        <v>293</v>
      </c>
      <c r="C190" s="16" t="s">
        <v>216</v>
      </c>
      <c r="D190" s="46">
        <v>28</v>
      </c>
      <c r="E190" s="46">
        <v>1</v>
      </c>
      <c r="F190" s="13">
        <v>0.32411986308408303</v>
      </c>
      <c r="G190" s="13">
        <v>0.18470876777628351</v>
      </c>
      <c r="H190" s="13">
        <v>0.38266273447558191</v>
      </c>
      <c r="I190" s="13">
        <v>4.2258332369322783E-2</v>
      </c>
      <c r="J190" s="13">
        <v>6.6250302294728905E-2</v>
      </c>
      <c r="K190" s="13">
        <v>19.494444444444468</v>
      </c>
      <c r="L190" s="13">
        <v>4.1036226610368276</v>
      </c>
      <c r="M190" s="13">
        <v>-0.15127378639451461</v>
      </c>
      <c r="N190" s="19">
        <f>(F190-Settings!$D$18)/Settings!$E$18</f>
        <v>0.47169471701199756</v>
      </c>
      <c r="O190" s="19">
        <f>(G190-Settings!$D$19)/Settings!$E$19</f>
        <v>0.7971912556521199</v>
      </c>
      <c r="P190" s="19">
        <f>(H190-Settings!$D$20)/Settings!$E$20</f>
        <v>2.9856553489174598</v>
      </c>
      <c r="Q190" s="19">
        <f>(I190-Settings!$D$21)/Settings!$E$21</f>
        <v>0.55587283390236897</v>
      </c>
      <c r="R190" s="19">
        <f>(J190-Settings!$D$22)/Settings!$E$22</f>
        <v>-0.48863274946529067</v>
      </c>
      <c r="S190" s="19">
        <f>(K190-Settings!$D$23)/Settings!$E$23</f>
        <v>1.4721880576149129</v>
      </c>
      <c r="T190" s="19">
        <f>(L190-Settings!$D$24)/Settings!$E$24</f>
        <v>1.9325816352533769</v>
      </c>
      <c r="U190" s="19">
        <f>(M190-Settings!$D$25)/Settings!$E$25</f>
        <v>-6.6050468341805363E-2</v>
      </c>
      <c r="V190" s="31">
        <f>Settings!$B$18*(N190-F$6)^2</f>
        <v>5.0437298381784765E-3</v>
      </c>
      <c r="W190" s="31">
        <f>Settings!$B$19*(O190-G$6)^2</f>
        <v>0.40364606034466766</v>
      </c>
      <c r="X190" s="31">
        <f>Settings!$B$20*(P190-H$6)^2</f>
        <v>0.1874667215040543</v>
      </c>
      <c r="Y190" s="31">
        <f>Settings!$B$21*(Q190-I$6)^2</f>
        <v>5.4069237093799717E-2</v>
      </c>
      <c r="Z190" s="31">
        <f>Settings!$B$22*(R190-J$6)^2</f>
        <v>7.1279502784380805E-2</v>
      </c>
      <c r="AA190" s="31">
        <f>Settings!$B$23*(S190-K$6)^2</f>
        <v>1.5676313378853675</v>
      </c>
      <c r="AB190" s="31">
        <f>Settings!$B$24*(T190-L$6)^2</f>
        <v>1.5269654351210156</v>
      </c>
      <c r="AC190" s="31">
        <f>Settings!$B$25*(U190-M$6)^2</f>
        <v>2.3044323393179975</v>
      </c>
      <c r="AD190" s="19">
        <f t="shared" si="8"/>
        <v>2.4739713749131096</v>
      </c>
      <c r="AE190" s="15">
        <f t="shared" si="9"/>
        <v>0.97924272228236586</v>
      </c>
      <c r="AF190" s="33">
        <f t="shared" si="10"/>
        <v>0.6191187676109472</v>
      </c>
      <c r="AG190" s="47">
        <f t="shared" si="11"/>
        <v>2.6703538815578999E-3</v>
      </c>
      <c r="AH190" s="18">
        <v>-0.12611294924138861</v>
      </c>
      <c r="AI190" s="46">
        <v>1</v>
      </c>
      <c r="AJ190" s="48"/>
      <c r="AK190" s="48"/>
      <c r="AL190" s="48"/>
      <c r="AM190" s="48"/>
    </row>
    <row r="191" spans="1:39" ht="20" customHeight="1" x14ac:dyDescent="0.45">
      <c r="A191" s="26">
        <v>181</v>
      </c>
      <c r="B191" s="16" t="s">
        <v>405</v>
      </c>
      <c r="C191" s="16" t="s">
        <v>229</v>
      </c>
      <c r="D191" s="46">
        <v>28</v>
      </c>
      <c r="E191" s="46">
        <v>1</v>
      </c>
      <c r="F191" s="13">
        <v>0.41929373918462809</v>
      </c>
      <c r="G191" s="13">
        <v>-0.12998043626774711</v>
      </c>
      <c r="H191" s="13">
        <v>2.2724048208605619E-2</v>
      </c>
      <c r="I191" s="13">
        <v>-0.16794398340585781</v>
      </c>
      <c r="J191" s="13">
        <v>0.26005779293316139</v>
      </c>
      <c r="K191" s="13">
        <v>16.89471264367814</v>
      </c>
      <c r="L191" s="13">
        <v>1.056171693909574</v>
      </c>
      <c r="M191" s="13">
        <v>0.30210674166375873</v>
      </c>
      <c r="N191" s="19">
        <f>(F191-Settings!$D$18)/Settings!$E$18</f>
        <v>0.81231608659364685</v>
      </c>
      <c r="O191" s="19">
        <f>(G191-Settings!$D$19)/Settings!$E$19</f>
        <v>-0.51384407751391015</v>
      </c>
      <c r="P191" s="19">
        <f>(H191-Settings!$D$20)/Settings!$E$20</f>
        <v>-0.27545836421209036</v>
      </c>
      <c r="Q191" s="19">
        <f>(I191-Settings!$D$21)/Settings!$E$21</f>
        <v>-2.0290496898827217</v>
      </c>
      <c r="R191" s="19">
        <f>(J191-Settings!$D$22)/Settings!$E$22</f>
        <v>3.2815428667423964E-2</v>
      </c>
      <c r="S191" s="19">
        <f>(K191-Settings!$D$23)/Settings!$E$23</f>
        <v>0.56936100023760616</v>
      </c>
      <c r="T191" s="19">
        <f>(L191-Settings!$D$24)/Settings!$E$24</f>
        <v>-0.17428790896053786</v>
      </c>
      <c r="U191" s="19">
        <f>(M191-Settings!$D$25)/Settings!$E$25</f>
        <v>0.23971440930756152</v>
      </c>
      <c r="V191" s="31">
        <f>Settings!$B$18*(N191-F$6)^2</f>
        <v>4.9885101446763391E-2</v>
      </c>
      <c r="W191" s="31">
        <f>Settings!$B$19*(O191-G$6)^2</f>
        <v>2.4028262732390224E-3</v>
      </c>
      <c r="X191" s="31">
        <f>Settings!$B$20*(P191-H$6)^2</f>
        <v>1.0515274304623894</v>
      </c>
      <c r="Y191" s="31">
        <f>Settings!$B$21*(Q191-I$6)^2</f>
        <v>0.85282374806201222</v>
      </c>
      <c r="Z191" s="31">
        <f>Settings!$B$22*(R191-J$6)^2</f>
        <v>1.1413248553591758E-3</v>
      </c>
      <c r="AA191" s="31">
        <f>Settings!$B$23*(S191-K$6)^2</f>
        <v>0.12195725925823667</v>
      </c>
      <c r="AB191" s="31">
        <f>Settings!$B$24*(T191-L$6)^2</f>
        <v>0.7589286584797561</v>
      </c>
      <c r="AC191" s="31">
        <f>Settings!$B$25*(U191-M$6)^2</f>
        <v>3.3262484903793452</v>
      </c>
      <c r="AD191" s="19">
        <f t="shared" si="8"/>
        <v>2.4829246543576589</v>
      </c>
      <c r="AE191" s="15">
        <f t="shared" si="9"/>
        <v>0.98278659260582235</v>
      </c>
      <c r="AF191" s="33">
        <f t="shared" si="10"/>
        <v>0.61697008348978166</v>
      </c>
      <c r="AG191" s="47">
        <f t="shared" si="11"/>
        <v>2.6610862785011601E-3</v>
      </c>
      <c r="AH191" s="18">
        <v>-1.0821634813795871</v>
      </c>
      <c r="AI191" s="46">
        <v>1</v>
      </c>
      <c r="AJ191" s="18">
        <v>-0.49907094865242052</v>
      </c>
      <c r="AK191" s="46">
        <v>1</v>
      </c>
      <c r="AL191" s="18">
        <v>1.2698009209987</v>
      </c>
      <c r="AM191" s="46">
        <v>1</v>
      </c>
    </row>
    <row r="192" spans="1:39" ht="20" customHeight="1" x14ac:dyDescent="0.45">
      <c r="A192" s="26">
        <v>182</v>
      </c>
      <c r="B192" s="16" t="s">
        <v>365</v>
      </c>
      <c r="C192" s="16" t="s">
        <v>236</v>
      </c>
      <c r="D192" s="46">
        <v>28</v>
      </c>
      <c r="E192" s="46">
        <v>0</v>
      </c>
      <c r="F192" s="13">
        <v>0.81942800042095332</v>
      </c>
      <c r="G192" s="13">
        <v>-0.1068583638358927</v>
      </c>
      <c r="H192" s="13">
        <v>1.4849024745307851E-2</v>
      </c>
      <c r="I192" s="13">
        <v>-1.2342603332333199E-4</v>
      </c>
      <c r="J192" s="13">
        <v>5.8741184964522797E-2</v>
      </c>
      <c r="K192" s="13">
        <v>17.24820675105487</v>
      </c>
      <c r="L192" s="13">
        <v>0.91689638110944549</v>
      </c>
      <c r="M192" s="13">
        <v>0.21106300369902881</v>
      </c>
      <c r="N192" s="19">
        <f>(F192-Settings!$D$18)/Settings!$E$18</f>
        <v>2.244371663849662</v>
      </c>
      <c r="O192" s="19">
        <f>(G192-Settings!$D$19)/Settings!$E$19</f>
        <v>-0.41751457670922459</v>
      </c>
      <c r="P192" s="19">
        <f>(H192-Settings!$D$20)/Settings!$E$20</f>
        <v>-0.34680759114217025</v>
      </c>
      <c r="Q192" s="19">
        <f>(I192-Settings!$D$21)/Settings!$E$21</f>
        <v>3.469131652180079E-2</v>
      </c>
      <c r="R192" s="19">
        <f>(J192-Settings!$D$22)/Settings!$E$22</f>
        <v>-0.5088363831758459</v>
      </c>
      <c r="S192" s="19">
        <f>(K192-Settings!$D$23)/Settings!$E$23</f>
        <v>0.69212137293031062</v>
      </c>
      <c r="T192" s="19">
        <f>(L192-Settings!$D$24)/Settings!$E$24</f>
        <v>-0.27057655083360793</v>
      </c>
      <c r="U192" s="19">
        <f>(M192-Settings!$D$25)/Settings!$E$25</f>
        <v>0.17831349842426783</v>
      </c>
      <c r="V192" s="31">
        <f>Settings!$B$18*(N192-F$6)^2</f>
        <v>0.74612358066712214</v>
      </c>
      <c r="W192" s="31">
        <f>Settings!$B$19*(O192-G$6)^2</f>
        <v>8.4821326535190738E-3</v>
      </c>
      <c r="X192" s="31">
        <f>Settings!$B$20*(P192-H$6)^2</f>
        <v>1.1179857654511358</v>
      </c>
      <c r="Y192" s="31">
        <f>Settings!$B$21*(Q192-I$6)^2</f>
        <v>3.0418836242958447E-7</v>
      </c>
      <c r="Z192" s="31">
        <f>Settings!$B$22*(R192-J$6)^2</f>
        <v>7.6185690134641132E-2</v>
      </c>
      <c r="AA192" s="31">
        <f>Settings!$B$23*(S192-K$6)^2</f>
        <v>0.222769054909424</v>
      </c>
      <c r="AB192" s="31">
        <f>Settings!$B$24*(T192-L$6)^2</f>
        <v>0.93596677267262596</v>
      </c>
      <c r="AC192" s="31">
        <f>Settings!$B$25*(U192-M$6)^2</f>
        <v>3.1060525306697135</v>
      </c>
      <c r="AD192" s="19">
        <f t="shared" si="8"/>
        <v>2.4927025156136349</v>
      </c>
      <c r="AE192" s="15">
        <f t="shared" si="9"/>
        <v>0.98665684735957326</v>
      </c>
      <c r="AF192" s="33">
        <f t="shared" si="10"/>
        <v>0.61462320900334799</v>
      </c>
      <c r="AG192" s="47">
        <f t="shared" si="11"/>
        <v>2.6509638501041656E-3</v>
      </c>
      <c r="AH192" s="18">
        <v>0.60484451125062733</v>
      </c>
      <c r="AI192" s="46">
        <v>0</v>
      </c>
      <c r="AJ192" s="18">
        <v>-0.64961734215591971</v>
      </c>
      <c r="AK192" s="46">
        <v>1</v>
      </c>
      <c r="AL192" s="48"/>
      <c r="AM192" s="48"/>
    </row>
    <row r="193" spans="1:39" ht="20" customHeight="1" x14ac:dyDescent="0.45">
      <c r="A193" s="26">
        <v>183</v>
      </c>
      <c r="B193" s="16" t="s">
        <v>626</v>
      </c>
      <c r="C193" s="16" t="s">
        <v>220</v>
      </c>
      <c r="D193" s="46">
        <v>28</v>
      </c>
      <c r="E193" s="46">
        <v>1</v>
      </c>
      <c r="F193" s="13">
        <v>-0.1771201523797194</v>
      </c>
      <c r="G193" s="13">
        <v>-9.1346651821426678E-2</v>
      </c>
      <c r="H193" s="13">
        <v>-8.1314245704866575E-2</v>
      </c>
      <c r="I193" s="13">
        <v>-2.5691873660475571E-2</v>
      </c>
      <c r="J193" s="13">
        <v>0.6245270764335118</v>
      </c>
      <c r="K193" s="13">
        <v>14.16828908554572</v>
      </c>
      <c r="L193" s="13">
        <v>0.63066944692312299</v>
      </c>
      <c r="M193" s="13">
        <v>-0.47800563578907113</v>
      </c>
      <c r="N193" s="19">
        <f>(F193-Settings!$D$18)/Settings!$E$18</f>
        <v>-1.3222120518584746</v>
      </c>
      <c r="O193" s="19">
        <f>(G193-Settings!$D$19)/Settings!$E$19</f>
        <v>-0.35289080739168693</v>
      </c>
      <c r="P193" s="19">
        <f>(H193-Settings!$D$20)/Settings!$E$20</f>
        <v>-1.2180653134416963</v>
      </c>
      <c r="Q193" s="19">
        <f>(I193-Settings!$D$21)/Settings!$E$21</f>
        <v>-0.27973174740073792</v>
      </c>
      <c r="R193" s="19">
        <f>(J193-Settings!$D$22)/Settings!$E$22</f>
        <v>1.0134371953521522</v>
      </c>
      <c r="S193" s="19">
        <f>(K193-Settings!$D$23)/Settings!$E$23</f>
        <v>-0.37746319040670639</v>
      </c>
      <c r="T193" s="19">
        <f>(L193-Settings!$D$24)/Settings!$E$24</f>
        <v>-0.46846088658695884</v>
      </c>
      <c r="U193" s="19">
        <f>(M193-Settings!$D$25)/Settings!$E$25</f>
        <v>-0.28640206655035771</v>
      </c>
      <c r="V193" s="31">
        <f>Settings!$B$18*(N193-F$6)^2</f>
        <v>0.53471233903278104</v>
      </c>
      <c r="W193" s="31">
        <f>Settings!$B$19*(O193-G$6)^2</f>
        <v>1.4640787654899848E-2</v>
      </c>
      <c r="X193" s="31">
        <f>Settings!$B$20*(P193-H$6)^2</f>
        <v>2.0937706789885961</v>
      </c>
      <c r="Y193" s="31">
        <f>Settings!$B$21*(Q193-I$6)^2</f>
        <v>1.9927783559476456E-2</v>
      </c>
      <c r="Z193" s="31">
        <f>Settings!$B$22*(R193-J$6)^2</f>
        <v>0.16383380369686695</v>
      </c>
      <c r="AA193" s="31">
        <f>Settings!$B$23*(S193-K$6)^2</f>
        <v>0.35712623242241631</v>
      </c>
      <c r="AB193" s="31">
        <f>Settings!$B$24*(T193-L$6)^2</f>
        <v>1.3580128713124275</v>
      </c>
      <c r="AC193" s="31">
        <f>Settings!$B$25*(U193-M$6)^2</f>
        <v>1.6839839877308194</v>
      </c>
      <c r="AD193" s="19">
        <f t="shared" si="8"/>
        <v>2.4951970832778487</v>
      </c>
      <c r="AE193" s="15">
        <f t="shared" si="9"/>
        <v>0.98764424246656313</v>
      </c>
      <c r="AF193" s="33">
        <f t="shared" si="10"/>
        <v>0.61402442294746007</v>
      </c>
      <c r="AG193" s="47">
        <f t="shared" si="11"/>
        <v>2.6483811943162731E-3</v>
      </c>
      <c r="AH193" s="18">
        <v>-1.1111474599563891</v>
      </c>
      <c r="AI193" s="46">
        <v>1</v>
      </c>
      <c r="AJ193" s="48"/>
      <c r="AK193" s="48"/>
      <c r="AL193" s="48"/>
      <c r="AM193" s="48"/>
    </row>
    <row r="194" spans="1:39" ht="20" customHeight="1" x14ac:dyDescent="0.45">
      <c r="A194" s="26">
        <v>184</v>
      </c>
      <c r="B194" s="16" t="s">
        <v>361</v>
      </c>
      <c r="C194" s="16" t="s">
        <v>218</v>
      </c>
      <c r="D194" s="46">
        <v>28</v>
      </c>
      <c r="E194" s="46">
        <v>0</v>
      </c>
      <c r="F194" s="13">
        <v>0.3730456977212645</v>
      </c>
      <c r="G194" s="13">
        <v>-7.5637124529049022E-4</v>
      </c>
      <c r="H194" s="13">
        <v>7.5924430984321126E-2</v>
      </c>
      <c r="I194" s="13">
        <v>2.7085978830842881E-2</v>
      </c>
      <c r="J194" s="13">
        <v>0.52318752121828094</v>
      </c>
      <c r="K194" s="13">
        <v>16.489635854341739</v>
      </c>
      <c r="L194" s="13">
        <v>1.58174159561511</v>
      </c>
      <c r="M194" s="13">
        <v>0.93517216900058209</v>
      </c>
      <c r="N194" s="19">
        <f>(F194-Settings!$D$18)/Settings!$E$18</f>
        <v>0.64679722922276806</v>
      </c>
      <c r="O194" s="19">
        <f>(G194-Settings!$D$19)/Settings!$E$19</f>
        <v>2.4519847789611353E-2</v>
      </c>
      <c r="P194" s="19">
        <f>(H194-Settings!$D$20)/Settings!$E$20</f>
        <v>0.20654733407215259</v>
      </c>
      <c r="Q194" s="19">
        <f>(I194-Settings!$D$21)/Settings!$E$21</f>
        <v>0.36929373625630058</v>
      </c>
      <c r="R194" s="19">
        <f>(J194-Settings!$D$22)/Settings!$E$22</f>
        <v>0.74077835092004318</v>
      </c>
      <c r="S194" s="19">
        <f>(K194-Settings!$D$23)/Settings!$E$23</f>
        <v>0.42868714856543427</v>
      </c>
      <c r="T194" s="19">
        <f>(L194-Settings!$D$24)/Settings!$E$24</f>
        <v>0.18906731191204665</v>
      </c>
      <c r="U194" s="19">
        <f>(M194-Settings!$D$25)/Settings!$E$25</f>
        <v>0.66666078427143816</v>
      </c>
      <c r="V194" s="31">
        <f>Settings!$B$18*(N194-F$6)^2</f>
        <v>2.2298686032559193E-2</v>
      </c>
      <c r="W194" s="31">
        <f>Settings!$B$19*(O194-G$6)^2</f>
        <v>8.3973780594273351E-2</v>
      </c>
      <c r="X194" s="31">
        <f>Settings!$B$20*(P194-H$6)^2</f>
        <v>0.65590660911423726</v>
      </c>
      <c r="Y194" s="31">
        <f>Settings!$B$21*(Q194-I$6)^2</f>
        <v>2.2226998706122165E-2</v>
      </c>
      <c r="Z194" s="31">
        <f>Settings!$B$22*(R194-J$6)^2</f>
        <v>7.9991193491370946E-2</v>
      </c>
      <c r="AA194" s="31">
        <f>Settings!$B$23*(S194-K$6)^2</f>
        <v>4.3493079019716878E-2</v>
      </c>
      <c r="AB194" s="31">
        <f>Settings!$B$24*(T194-L$6)^2</f>
        <v>0.25787088909061634</v>
      </c>
      <c r="AC194" s="31">
        <f>Settings!$B$25*(U194-M$6)^2</f>
        <v>5.0658617747802559</v>
      </c>
      <c r="AD194" s="19">
        <f t="shared" si="8"/>
        <v>2.4963218964767249</v>
      </c>
      <c r="AE194" s="15">
        <f t="shared" si="9"/>
        <v>0.98808946392308272</v>
      </c>
      <c r="AF194" s="33">
        <f t="shared" si="10"/>
        <v>0.61375442240107347</v>
      </c>
      <c r="AG194" s="47">
        <f t="shared" si="11"/>
        <v>2.647216640688141E-3</v>
      </c>
      <c r="AH194" s="18">
        <v>5.0847843148160272E-2</v>
      </c>
      <c r="AI194" s="46">
        <v>0</v>
      </c>
      <c r="AJ194" s="48"/>
      <c r="AK194" s="48"/>
      <c r="AL194" s="48"/>
      <c r="AM194" s="48"/>
    </row>
    <row r="195" spans="1:39" ht="20" customHeight="1" x14ac:dyDescent="0.45">
      <c r="A195" s="26">
        <v>185</v>
      </c>
      <c r="B195" s="16" t="s">
        <v>757</v>
      </c>
      <c r="C195" s="16" t="s">
        <v>271</v>
      </c>
      <c r="D195" s="46">
        <v>28</v>
      </c>
      <c r="E195" s="46">
        <v>0</v>
      </c>
      <c r="F195" s="13">
        <v>7.4219013699153513E-2</v>
      </c>
      <c r="G195" s="13">
        <v>-7.4431000012004749E-3</v>
      </c>
      <c r="H195" s="13">
        <v>1.9051207863968762E-2</v>
      </c>
      <c r="I195" s="13">
        <v>-1.7671892098937391E-2</v>
      </c>
      <c r="J195" s="13">
        <v>0.88161478633673995</v>
      </c>
      <c r="K195" s="13">
        <v>11.223770491803281</v>
      </c>
      <c r="L195" s="13">
        <v>0.59443981654887268</v>
      </c>
      <c r="M195" s="13">
        <v>-1.4318981185859669</v>
      </c>
      <c r="N195" s="19">
        <f>(F195-Settings!$D$18)/Settings!$E$18</f>
        <v>-0.42268484453057009</v>
      </c>
      <c r="O195" s="19">
        <f>(G195-Settings!$D$19)/Settings!$E$19</f>
        <v>-3.3379164731522537E-3</v>
      </c>
      <c r="P195" s="19">
        <f>(H195-Settings!$D$20)/Settings!$E$20</f>
        <v>-0.30873500401497794</v>
      </c>
      <c r="Q195" s="19">
        <f>(I195-Settings!$D$21)/Settings!$E$21</f>
        <v>-0.18110756763226291</v>
      </c>
      <c r="R195" s="19">
        <f>(J195-Settings!$D$22)/Settings!$E$22</f>
        <v>1.7051437826865332</v>
      </c>
      <c r="S195" s="19">
        <f>(K195-Settings!$D$23)/Settings!$E$23</f>
        <v>-1.4000267704643232</v>
      </c>
      <c r="T195" s="19">
        <f>(L195-Settings!$D$24)/Settings!$E$24</f>
        <v>-0.49350841176686044</v>
      </c>
      <c r="U195" s="19">
        <f>(M195-Settings!$D$25)/Settings!$E$25</f>
        <v>-0.92971778092871205</v>
      </c>
      <c r="V195" s="31">
        <f>Settings!$B$18*(N195-F$6)^2</f>
        <v>0.10821433806636219</v>
      </c>
      <c r="W195" s="31">
        <f>Settings!$B$19*(O195-G$6)^2</f>
        <v>7.6908560876513044E-2</v>
      </c>
      <c r="X195" s="31">
        <f>Settings!$B$20*(P195-H$6)^2</f>
        <v>1.0822696165564625</v>
      </c>
      <c r="Y195" s="31">
        <f>Settings!$B$21*(Q195-I$6)^2</f>
        <v>9.4205907269567651E-3</v>
      </c>
      <c r="Z195" s="31">
        <f>Settings!$B$22*(R195-J$6)^2</f>
        <v>0.50994520308226421</v>
      </c>
      <c r="AA195" s="31">
        <f>Settings!$B$23*(S195-K$6)^2</f>
        <v>2.6249313069373388</v>
      </c>
      <c r="AB195" s="31">
        <f>Settings!$B$24*(T195-L$6)^2</f>
        <v>1.4170179202918798</v>
      </c>
      <c r="AC195" s="31">
        <f>Settings!$B$25*(U195-M$6)^2</f>
        <v>0.42819796611821287</v>
      </c>
      <c r="AD195" s="19">
        <f t="shared" si="8"/>
        <v>2.5013807192540662</v>
      </c>
      <c r="AE195" s="15">
        <f t="shared" si="9"/>
        <v>0.99009183769274767</v>
      </c>
      <c r="AF195" s="33">
        <f t="shared" si="10"/>
        <v>0.61254006679152262</v>
      </c>
      <c r="AG195" s="47">
        <f t="shared" si="11"/>
        <v>2.6419789393209723E-3</v>
      </c>
      <c r="AH195" s="18">
        <v>-0.36681695081996463</v>
      </c>
      <c r="AI195" s="46">
        <v>1</v>
      </c>
      <c r="AJ195" s="18">
        <v>-0.25051440990184032</v>
      </c>
      <c r="AK195" s="46">
        <v>1</v>
      </c>
      <c r="AL195" s="18">
        <v>-0.2603637717014981</v>
      </c>
      <c r="AM195" s="46">
        <v>1</v>
      </c>
    </row>
    <row r="196" spans="1:39" ht="20" customHeight="1" x14ac:dyDescent="0.45">
      <c r="A196" s="26">
        <v>186</v>
      </c>
      <c r="B196" s="16" t="s">
        <v>290</v>
      </c>
      <c r="C196" s="16" t="s">
        <v>271</v>
      </c>
      <c r="D196" s="46">
        <v>28</v>
      </c>
      <c r="E196" s="46">
        <v>0</v>
      </c>
      <c r="F196" s="13">
        <v>0.52607547479249739</v>
      </c>
      <c r="G196" s="13">
        <v>-0.1954688784799242</v>
      </c>
      <c r="H196" s="13">
        <v>0.16869360689529059</v>
      </c>
      <c r="I196" s="13">
        <v>-4.5221660573948261E-2</v>
      </c>
      <c r="J196" s="13">
        <v>-6.4540379258339636E-2</v>
      </c>
      <c r="K196" s="13">
        <v>18.606601731601749</v>
      </c>
      <c r="L196" s="13">
        <v>0.51852723762506459</v>
      </c>
      <c r="M196" s="13">
        <v>0.27830116371296709</v>
      </c>
      <c r="N196" s="19">
        <f>(F196-Settings!$D$18)/Settings!$E$18</f>
        <v>1.1944812617372249</v>
      </c>
      <c r="O196" s="19">
        <f>(G196-Settings!$D$19)/Settings!$E$19</f>
        <v>-0.78667727468375304</v>
      </c>
      <c r="P196" s="19">
        <f>(H196-Settings!$D$20)/Settings!$E$20</f>
        <v>1.0470539071683125</v>
      </c>
      <c r="Q196" s="19">
        <f>(I196-Settings!$D$21)/Settings!$E$21</f>
        <v>-0.51989554336648902</v>
      </c>
      <c r="R196" s="19">
        <f>(J196-Settings!$D$22)/Settings!$E$22</f>
        <v>-0.84053123588560508</v>
      </c>
      <c r="S196" s="19">
        <f>(K196-Settings!$D$23)/Settings!$E$23</f>
        <v>1.1638607049189935</v>
      </c>
      <c r="T196" s="19">
        <f>(L196-Settings!$D$24)/Settings!$E$24</f>
        <v>-0.54599092987217235</v>
      </c>
      <c r="U196" s="19">
        <f>(M196-Settings!$D$25)/Settings!$E$25</f>
        <v>0.22365966240285831</v>
      </c>
      <c r="V196" s="31">
        <f>Settings!$B$18*(N196-F$6)^2</f>
        <v>0.15544030973227418</v>
      </c>
      <c r="W196" s="31">
        <f>Settings!$B$19*(O196-G$6)^2</f>
        <v>5.3284281595021889E-3</v>
      </c>
      <c r="X196" s="31">
        <f>Settings!$B$20*(P196-H$6)^2</f>
        <v>0.18835135407270978</v>
      </c>
      <c r="Y196" s="31">
        <f>Settings!$B$21*(Q196-I$6)^2</f>
        <v>6.1787202178736657E-2</v>
      </c>
      <c r="Z196" s="31">
        <f>Settings!$B$22*(R196-J$6)^2</f>
        <v>0.18007801619805031</v>
      </c>
      <c r="AA196" s="31">
        <f>Settings!$B$23*(S196-K$6)^2</f>
        <v>0.89061404456439852</v>
      </c>
      <c r="AB196" s="31">
        <f>Settings!$B$24*(T196-L$6)^2</f>
        <v>1.5447212045296246</v>
      </c>
      <c r="AC196" s="31">
        <f>Settings!$B$25*(U196-M$6)^2</f>
        <v>3.2679449324186223</v>
      </c>
      <c r="AD196" s="19">
        <f t="shared" si="8"/>
        <v>2.5088374781667144</v>
      </c>
      <c r="AE196" s="15">
        <f t="shared" si="9"/>
        <v>0.99304335805837085</v>
      </c>
      <c r="AF196" s="33">
        <f t="shared" si="10"/>
        <v>0.6107500081549565</v>
      </c>
      <c r="AG196" s="47">
        <f t="shared" si="11"/>
        <v>2.6342581427978495E-3</v>
      </c>
      <c r="AH196" s="18">
        <v>-0.1198382497205379</v>
      </c>
      <c r="AI196" s="46">
        <v>1</v>
      </c>
      <c r="AJ196" s="18">
        <v>-1.1131041213318631</v>
      </c>
      <c r="AK196" s="46">
        <v>1</v>
      </c>
      <c r="AL196" s="18">
        <v>0.30105620642468411</v>
      </c>
      <c r="AM196" s="46">
        <v>1</v>
      </c>
    </row>
    <row r="197" spans="1:39" ht="20" customHeight="1" x14ac:dyDescent="0.45">
      <c r="A197" s="26">
        <v>187</v>
      </c>
      <c r="B197" s="16" t="s">
        <v>337</v>
      </c>
      <c r="C197" s="16" t="s">
        <v>234</v>
      </c>
      <c r="D197" s="46">
        <v>28</v>
      </c>
      <c r="E197" s="46">
        <v>1</v>
      </c>
      <c r="F197" s="13">
        <v>0.31836251345654071</v>
      </c>
      <c r="G197" s="13">
        <v>0.1792350355762386</v>
      </c>
      <c r="H197" s="13">
        <v>0.1134425209134131</v>
      </c>
      <c r="I197" s="13">
        <v>0.14888005079617181</v>
      </c>
      <c r="J197" s="13">
        <v>0.24007987925763591</v>
      </c>
      <c r="K197" s="13">
        <v>17.646321839080478</v>
      </c>
      <c r="L197" s="13">
        <v>1.805320859016784</v>
      </c>
      <c r="M197" s="13">
        <v>0.70167193821261931</v>
      </c>
      <c r="N197" s="19">
        <f>(F197-Settings!$D$18)/Settings!$E$18</f>
        <v>0.45108952159868776</v>
      </c>
      <c r="O197" s="19">
        <f>(G197-Settings!$D$19)/Settings!$E$19</f>
        <v>0.77438698964513164</v>
      </c>
      <c r="P197" s="19">
        <f>(H197-Settings!$D$20)/Settings!$E$20</f>
        <v>0.54646844348976775</v>
      </c>
      <c r="Q197" s="19">
        <f>(I197-Settings!$D$21)/Settings!$E$21</f>
        <v>1.8670328963871614</v>
      </c>
      <c r="R197" s="19">
        <f>(J197-Settings!$D$22)/Settings!$E$22</f>
        <v>-2.0936088648437729E-2</v>
      </c>
      <c r="S197" s="19">
        <f>(K197-Settings!$D$23)/Settings!$E$23</f>
        <v>0.83037758586493648</v>
      </c>
      <c r="T197" s="19">
        <f>(L197-Settings!$D$24)/Settings!$E$24</f>
        <v>0.34363988612570673</v>
      </c>
      <c r="U197" s="19">
        <f>(M197-Settings!$D$25)/Settings!$E$25</f>
        <v>0.50918562801857903</v>
      </c>
      <c r="V197" s="31">
        <f>Settings!$B$18*(N197-F$6)^2</f>
        <v>3.819771261638045E-3</v>
      </c>
      <c r="W197" s="31">
        <f>Settings!$B$19*(O197-G$6)^2</f>
        <v>0.39079136680738707</v>
      </c>
      <c r="X197" s="31">
        <f>Settings!$B$20*(P197-H$6)^2</f>
        <v>0.43278408541347591</v>
      </c>
      <c r="Y197" s="31">
        <f>Settings!$B$21*(Q197-I$6)^2</f>
        <v>0.67059153237595592</v>
      </c>
      <c r="Z197" s="31">
        <f>Settings!$B$22*(R197-J$6)^2</f>
        <v>3.3433731687790278E-3</v>
      </c>
      <c r="AA197" s="31">
        <f>Settings!$B$23*(S197-K$6)^2</f>
        <v>0.3723933226095682</v>
      </c>
      <c r="AB197" s="31">
        <f>Settings!$B$24*(T197-L$6)^2</f>
        <v>0.12477660453942677</v>
      </c>
      <c r="AC197" s="31">
        <f>Settings!$B$25*(U197-M$6)^2</f>
        <v>4.3817867484121154</v>
      </c>
      <c r="AD197" s="19">
        <f t="shared" si="8"/>
        <v>2.5259229609369216</v>
      </c>
      <c r="AE197" s="15">
        <f t="shared" si="9"/>
        <v>0.99980610189165142</v>
      </c>
      <c r="AF197" s="33">
        <f t="shared" si="10"/>
        <v>0.60664826485873324</v>
      </c>
      <c r="AG197" s="47">
        <f t="shared" si="11"/>
        <v>2.6165666969796427E-3</v>
      </c>
      <c r="AH197" s="18">
        <v>-0.51153014637732785</v>
      </c>
      <c r="AI197" s="46">
        <v>1</v>
      </c>
      <c r="AJ197" s="18">
        <v>-0.23656978076374099</v>
      </c>
      <c r="AK197" s="46">
        <v>1</v>
      </c>
      <c r="AL197" s="18">
        <v>0.6288527195581799</v>
      </c>
      <c r="AM197" s="46">
        <v>1</v>
      </c>
    </row>
    <row r="198" spans="1:39" ht="20" customHeight="1" x14ac:dyDescent="0.45">
      <c r="A198" s="26">
        <v>188</v>
      </c>
      <c r="B198" s="16" t="s">
        <v>545</v>
      </c>
      <c r="C198" s="16" t="s">
        <v>234</v>
      </c>
      <c r="D198" s="46">
        <v>28</v>
      </c>
      <c r="E198" s="46">
        <v>1</v>
      </c>
      <c r="F198" s="13">
        <v>-0.1308989861187245</v>
      </c>
      <c r="G198" s="13">
        <v>0.1963120103982349</v>
      </c>
      <c r="H198" s="13">
        <v>8.0066502269024995E-4</v>
      </c>
      <c r="I198" s="13">
        <v>-9.9072902415292367E-3</v>
      </c>
      <c r="J198" s="13">
        <v>0.66208104821882108</v>
      </c>
      <c r="K198" s="13">
        <v>12.437878787878789</v>
      </c>
      <c r="L198" s="13">
        <v>1.013208836694631</v>
      </c>
      <c r="M198" s="13">
        <v>-0.38446210643179268</v>
      </c>
      <c r="N198" s="19">
        <f>(F198-Settings!$D$18)/Settings!$E$18</f>
        <v>-1.1567893791615178</v>
      </c>
      <c r="O198" s="19">
        <f>(G198-Settings!$D$19)/Settings!$E$19</f>
        <v>0.8455318433214315</v>
      </c>
      <c r="P198" s="19">
        <f>(H198-Settings!$D$20)/Settings!$E$20</f>
        <v>-0.47408843170295434</v>
      </c>
      <c r="Q198" s="19">
        <f>(I198-Settings!$D$21)/Settings!$E$21</f>
        <v>-8.5623870626258092E-2</v>
      </c>
      <c r="R198" s="19">
        <f>(J198-Settings!$D$22)/Settings!$E$22</f>
        <v>1.1144779245034826</v>
      </c>
      <c r="S198" s="19">
        <f>(K198-Settings!$D$23)/Settings!$E$23</f>
        <v>-0.97839488522134577</v>
      </c>
      <c r="T198" s="19">
        <f>(L198-Settings!$D$24)/Settings!$E$24</f>
        <v>-0.20399048215202792</v>
      </c>
      <c r="U198" s="19">
        <f>(M198-Settings!$D$25)/Settings!$E$25</f>
        <v>-0.22331526851049585</v>
      </c>
      <c r="V198" s="31">
        <f>Settings!$B$18*(N198-F$6)^2</f>
        <v>0.43199203034154243</v>
      </c>
      <c r="W198" s="31">
        <f>Settings!$B$19*(O198-G$6)^2</f>
        <v>0.43158333546802574</v>
      </c>
      <c r="X198" s="31">
        <f>Settings!$B$20*(P198-H$6)^2</f>
        <v>1.2415980388286691</v>
      </c>
      <c r="Y198" s="31">
        <f>Settings!$B$21*(Q198-I$6)^2</f>
        <v>2.9548052291719553E-3</v>
      </c>
      <c r="Z198" s="31">
        <f>Settings!$B$22*(R198-J$6)^2</f>
        <v>0.20245560915030103</v>
      </c>
      <c r="AA198" s="31">
        <f>Settings!$B$23*(S198-K$6)^2</f>
        <v>1.4364791709537417</v>
      </c>
      <c r="AB198" s="31">
        <f>Settings!$B$24*(T198-L$6)^2</f>
        <v>0.8115625925445078</v>
      </c>
      <c r="AC198" s="31">
        <f>Settings!$B$25*(U198-M$6)^2</f>
        <v>1.8516973995565171</v>
      </c>
      <c r="AD198" s="19">
        <f t="shared" si="8"/>
        <v>2.5318615645553129</v>
      </c>
      <c r="AE198" s="15">
        <f t="shared" si="9"/>
        <v>1.0021567088682715</v>
      </c>
      <c r="AF198" s="33">
        <f t="shared" si="10"/>
        <v>0.60522255168703565</v>
      </c>
      <c r="AG198" s="47">
        <f t="shared" si="11"/>
        <v>2.610417378139379E-3</v>
      </c>
      <c r="AH198" s="18">
        <v>-0.96500114935866377</v>
      </c>
      <c r="AI198" s="46">
        <v>1</v>
      </c>
      <c r="AJ198" s="18">
        <v>-0.55695633235505482</v>
      </c>
      <c r="AK198" s="46">
        <v>1</v>
      </c>
      <c r="AL198" s="18">
        <v>0.76676623775241681</v>
      </c>
      <c r="AM198" s="46">
        <v>1</v>
      </c>
    </row>
    <row r="199" spans="1:39" ht="20" customHeight="1" x14ac:dyDescent="0.45">
      <c r="A199" s="26">
        <v>189</v>
      </c>
      <c r="B199" s="16" t="s">
        <v>458</v>
      </c>
      <c r="C199" s="16" t="s">
        <v>236</v>
      </c>
      <c r="D199" s="46">
        <v>28</v>
      </c>
      <c r="E199" s="46">
        <v>0</v>
      </c>
      <c r="F199" s="13">
        <v>0.28378943373376869</v>
      </c>
      <c r="G199" s="13">
        <v>-0.50390296054661754</v>
      </c>
      <c r="H199" s="13">
        <v>6.1769760802028513E-2</v>
      </c>
      <c r="I199" s="13">
        <v>1.511111579785755E-2</v>
      </c>
      <c r="J199" s="13">
        <v>0.13542672911972781</v>
      </c>
      <c r="K199" s="13">
        <v>17.672468354430379</v>
      </c>
      <c r="L199" s="13">
        <v>8.3176923422629681E-2</v>
      </c>
      <c r="M199" s="13">
        <v>-7.657435823173267E-2</v>
      </c>
      <c r="N199" s="19">
        <f>(F199-Settings!$D$18)/Settings!$E$18</f>
        <v>0.32735462449955921</v>
      </c>
      <c r="O199" s="19">
        <f>(G199-Settings!$D$19)/Settings!$E$19</f>
        <v>-2.0716529724375525</v>
      </c>
      <c r="P199" s="19">
        <f>(H199-Settings!$D$20)/Settings!$E$20</f>
        <v>7.8303300303406015E-2</v>
      </c>
      <c r="Q199" s="19">
        <f>(I199-Settings!$D$21)/Settings!$E$21</f>
        <v>0.22203516272891943</v>
      </c>
      <c r="R199" s="19">
        <f>(J199-Settings!$D$22)/Settings!$E$22</f>
        <v>-0.30251031622599672</v>
      </c>
      <c r="S199" s="19">
        <f>(K199-Settings!$D$23)/Settings!$E$23</f>
        <v>0.83945766924394616</v>
      </c>
      <c r="T199" s="19">
        <f>(L199-Settings!$D$24)/Settings!$E$24</f>
        <v>-0.84697241503835119</v>
      </c>
      <c r="U199" s="19">
        <f>(M199-Settings!$D$25)/Settings!$E$25</f>
        <v>-1.5672342023740401E-2</v>
      </c>
      <c r="V199" s="31">
        <f>Settings!$B$18*(N199-F$6)^2</f>
        <v>4.1839808688923007E-5</v>
      </c>
      <c r="W199" s="31">
        <f>Settings!$B$19*(O199-G$6)^2</f>
        <v>0.41945659113421691</v>
      </c>
      <c r="X199" s="31">
        <f>Settings!$B$20*(P199-H$6)^2</f>
        <v>0.75209323161914554</v>
      </c>
      <c r="Y199" s="31">
        <f>Settings!$B$21*(Q199-I$6)^2</f>
        <v>6.927429710028592E-3</v>
      </c>
      <c r="Z199" s="31">
        <f>Settings!$B$22*(R199-J$6)^2</f>
        <v>3.3762493950124636E-2</v>
      </c>
      <c r="AA199" s="31">
        <f>Settings!$B$23*(S199-K$6)^2</f>
        <v>0.38355783760527262</v>
      </c>
      <c r="AB199" s="31">
        <f>Settings!$B$24*(T199-L$6)^2</f>
        <v>2.3834716540736522</v>
      </c>
      <c r="AC199" s="31">
        <f>Settings!$B$25*(U199-M$6)^2</f>
        <v>2.459921881864227</v>
      </c>
      <c r="AD199" s="19">
        <f t="shared" si="8"/>
        <v>2.5375643754918524</v>
      </c>
      <c r="AE199" s="15">
        <f t="shared" si="9"/>
        <v>1.0044139848265896</v>
      </c>
      <c r="AF199" s="33">
        <f t="shared" si="10"/>
        <v>0.60385345995153761</v>
      </c>
      <c r="AG199" s="47">
        <f t="shared" si="11"/>
        <v>2.6045122762084465E-3</v>
      </c>
      <c r="AH199" s="18">
        <v>0.36532781409361798</v>
      </c>
      <c r="AI199" s="46">
        <v>0</v>
      </c>
      <c r="AJ199" s="18">
        <v>0.35899601471903941</v>
      </c>
      <c r="AK199" s="46">
        <v>1</v>
      </c>
      <c r="AL199" s="18">
        <v>2.0304891508864609E-2</v>
      </c>
      <c r="AM199" s="46">
        <v>1</v>
      </c>
    </row>
    <row r="200" spans="1:39" ht="20" customHeight="1" x14ac:dyDescent="0.45">
      <c r="A200" s="26">
        <v>190</v>
      </c>
      <c r="B200" s="16" t="s">
        <v>594</v>
      </c>
      <c r="C200" s="16" t="s">
        <v>224</v>
      </c>
      <c r="D200" s="46">
        <v>28</v>
      </c>
      <c r="E200" s="46">
        <v>0</v>
      </c>
      <c r="F200" s="13">
        <v>0.52566568521355161</v>
      </c>
      <c r="G200" s="13">
        <v>-0.35042890116830611</v>
      </c>
      <c r="H200" s="13">
        <v>-8.1008103645052607E-2</v>
      </c>
      <c r="I200" s="13">
        <v>1.076530323913654E-4</v>
      </c>
      <c r="J200" s="13">
        <v>4.2789656940698521E-2</v>
      </c>
      <c r="K200" s="13">
        <v>14.60568475452196</v>
      </c>
      <c r="L200" s="13">
        <v>-0.33854954040952367</v>
      </c>
      <c r="M200" s="13">
        <v>-1.3510081555626141</v>
      </c>
      <c r="N200" s="19">
        <f>(F200-Settings!$D$18)/Settings!$E$18</f>
        <v>1.1930146503797834</v>
      </c>
      <c r="O200" s="19">
        <f>(G200-Settings!$D$19)/Settings!$E$19</f>
        <v>-1.4322604798332152</v>
      </c>
      <c r="P200" s="19">
        <f>(H200-Settings!$D$20)/Settings!$E$20</f>
        <v>-1.2152916075092239</v>
      </c>
      <c r="Q200" s="19">
        <f>(I200-Settings!$D$21)/Settings!$E$21</f>
        <v>3.7532966860134805E-2</v>
      </c>
      <c r="R200" s="19">
        <f>(J200-Settings!$D$22)/Settings!$E$22</f>
        <v>-0.55175472033121409</v>
      </c>
      <c r="S200" s="19">
        <f>(K200-Settings!$D$23)/Settings!$E$23</f>
        <v>-0.22556573520959944</v>
      </c>
      <c r="T200" s="19">
        <f>(L200-Settings!$D$24)/Settings!$E$24</f>
        <v>-1.1385349872409747</v>
      </c>
      <c r="U200" s="19">
        <f>(M200-Settings!$D$25)/Settings!$E$25</f>
        <v>-0.87516468895357913</v>
      </c>
      <c r="V200" s="31">
        <f>Settings!$B$18*(N200-F$6)^2</f>
        <v>0.15492355975293332</v>
      </c>
      <c r="W200" s="31">
        <f>Settings!$B$19*(O200-G$6)^2</f>
        <v>0.13083388504485677</v>
      </c>
      <c r="X200" s="31">
        <f>Settings!$B$20*(P200-H$6)^2</f>
        <v>2.0901824200538552</v>
      </c>
      <c r="Y200" s="31">
        <f>Settings!$B$21*(Q200-I$6)^2</f>
        <v>5.173808744373159E-7</v>
      </c>
      <c r="Z200" s="31">
        <f>Settings!$B$22*(R200-J$6)^2</f>
        <v>8.7149663177331721E-2</v>
      </c>
      <c r="AA200" s="31">
        <f>Settings!$B$23*(S200-K$6)^2</f>
        <v>0.19865111078630648</v>
      </c>
      <c r="AB200" s="31">
        <f>Settings!$B$24*(T200-L$6)^2</f>
        <v>3.3687379211108404</v>
      </c>
      <c r="AC200" s="31">
        <f>Settings!$B$25*(U200-M$6)^2</f>
        <v>0.50256964191594633</v>
      </c>
      <c r="AD200" s="19">
        <f t="shared" si="8"/>
        <v>2.555982926238543</v>
      </c>
      <c r="AE200" s="15">
        <f t="shared" si="9"/>
        <v>1.0117043811329409</v>
      </c>
      <c r="AF200" s="33">
        <f t="shared" si="10"/>
        <v>0.59943191692037745</v>
      </c>
      <c r="AG200" s="47">
        <f t="shared" si="11"/>
        <v>2.5854414852497184E-3</v>
      </c>
      <c r="AH200" s="48"/>
      <c r="AI200" s="48"/>
      <c r="AJ200" s="48"/>
      <c r="AK200" s="48"/>
      <c r="AL200" s="48"/>
      <c r="AM200" s="48"/>
    </row>
    <row r="201" spans="1:39" ht="20" customHeight="1" x14ac:dyDescent="0.45">
      <c r="A201" s="26">
        <v>191</v>
      </c>
      <c r="B201" s="16" t="s">
        <v>403</v>
      </c>
      <c r="C201" s="16" t="s">
        <v>246</v>
      </c>
      <c r="D201" s="46">
        <v>28</v>
      </c>
      <c r="E201" s="46">
        <v>1</v>
      </c>
      <c r="F201" s="13">
        <v>0.3606561643118481</v>
      </c>
      <c r="G201" s="13">
        <v>0.1082813893391906</v>
      </c>
      <c r="H201" s="13">
        <v>5.7196265779399381E-2</v>
      </c>
      <c r="I201" s="13">
        <v>-6.39383367258138E-5</v>
      </c>
      <c r="J201" s="13">
        <v>0.47380224223283612</v>
      </c>
      <c r="K201" s="13">
        <v>17.665030674846619</v>
      </c>
      <c r="L201" s="13">
        <v>3.4105831737180679</v>
      </c>
      <c r="M201" s="13">
        <v>0.7473804065618963</v>
      </c>
      <c r="N201" s="19">
        <f>(F201-Settings!$D$18)/Settings!$E$18</f>
        <v>0.60245586149351105</v>
      </c>
      <c r="O201" s="19">
        <f>(G201-Settings!$D$19)/Settings!$E$19</f>
        <v>0.47878505593304488</v>
      </c>
      <c r="P201" s="19">
        <f>(H201-Settings!$D$20)/Settings!$E$20</f>
        <v>3.686655592366192E-2</v>
      </c>
      <c r="Q201" s="19">
        <f>(I201-Settings!$D$21)/Settings!$E$21</f>
        <v>3.5422855022011618E-2</v>
      </c>
      <c r="R201" s="19">
        <f>(J201-Settings!$D$22)/Settings!$E$22</f>
        <v>0.60790493272188517</v>
      </c>
      <c r="S201" s="19">
        <f>(K201-Settings!$D$23)/Settings!$E$23</f>
        <v>0.83687473420028458</v>
      </c>
      <c r="T201" s="19">
        <f>(L201-Settings!$D$24)/Settings!$E$24</f>
        <v>1.4534455295309088</v>
      </c>
      <c r="U201" s="19">
        <f>(M201-Settings!$D$25)/Settings!$E$25</f>
        <v>0.54001192815152232</v>
      </c>
      <c r="V201" s="31">
        <f>Settings!$B$18*(N201-F$6)^2</f>
        <v>1.6769572251992704E-2</v>
      </c>
      <c r="W201" s="31">
        <f>Settings!$B$19*(O201-G$6)^2</f>
        <v>0.24298577751832207</v>
      </c>
      <c r="X201" s="31">
        <f>Settings!$B$20*(P201-H$6)^2</f>
        <v>0.78457815598910907</v>
      </c>
      <c r="Y201" s="31">
        <f>Settings!$B$21*(Q201-I$6)^2</f>
        <v>5.0345835250437788E-8</v>
      </c>
      <c r="Z201" s="31">
        <f>Settings!$B$22*(R201-J$6)^2</f>
        <v>4.9909501406195211E-2</v>
      </c>
      <c r="AA201" s="31">
        <f>Settings!$B$23*(S201-K$6)^2</f>
        <v>0.38036518009728204</v>
      </c>
      <c r="AB201" s="31">
        <f>Settings!$B$24*(T201-L$6)^2</f>
        <v>0.57239562734051797</v>
      </c>
      <c r="AC201" s="31">
        <f>Settings!$B$25*(U201-M$6)^2</f>
        <v>4.5117926575432694</v>
      </c>
      <c r="AD201" s="19">
        <f t="shared" si="8"/>
        <v>2.5610147446847167</v>
      </c>
      <c r="AE201" s="15">
        <f t="shared" si="9"/>
        <v>1.0136960660987522</v>
      </c>
      <c r="AF201" s="33">
        <f t="shared" si="10"/>
        <v>0.59822409333369742</v>
      </c>
      <c r="AG201" s="47">
        <f t="shared" si="11"/>
        <v>2.5802319574956588E-3</v>
      </c>
      <c r="AH201" s="18">
        <v>-0.26778527881730069</v>
      </c>
      <c r="AI201" s="46">
        <v>1</v>
      </c>
      <c r="AJ201" s="48"/>
      <c r="AK201" s="48"/>
      <c r="AL201" s="48"/>
      <c r="AM201" s="48"/>
    </row>
    <row r="202" spans="1:39" ht="20" customHeight="1" x14ac:dyDescent="0.45">
      <c r="A202" s="26">
        <v>192</v>
      </c>
      <c r="B202" s="16" t="s">
        <v>239</v>
      </c>
      <c r="C202" s="16" t="s">
        <v>220</v>
      </c>
      <c r="D202" s="46">
        <v>28</v>
      </c>
      <c r="E202" s="46">
        <v>1</v>
      </c>
      <c r="F202" s="13">
        <v>0.2213396919642128</v>
      </c>
      <c r="G202" s="13">
        <v>-0.24109865048895221</v>
      </c>
      <c r="H202" s="13">
        <v>6.7850974695383565E-2</v>
      </c>
      <c r="I202" s="13">
        <v>1.729311733906222E-4</v>
      </c>
      <c r="J202" s="13">
        <v>0.46953775167806078</v>
      </c>
      <c r="K202" s="13">
        <v>20.264363143631378</v>
      </c>
      <c r="L202" s="13">
        <v>3.0456360434540959</v>
      </c>
      <c r="M202" s="13">
        <v>0.2627541509029121</v>
      </c>
      <c r="N202" s="19">
        <f>(F202-Settings!$D$18)/Settings!$E$18</f>
        <v>0.1038508917200488</v>
      </c>
      <c r="O202" s="19">
        <f>(G202-Settings!$D$19)/Settings!$E$19</f>
        <v>-0.97677672067483901</v>
      </c>
      <c r="P202" s="19">
        <f>(H202-Settings!$D$20)/Settings!$E$20</f>
        <v>0.13340026758350693</v>
      </c>
      <c r="Q202" s="19">
        <f>(I202-Settings!$D$21)/Settings!$E$21</f>
        <v>3.8335712235976767E-2</v>
      </c>
      <c r="R202" s="19">
        <f>(J202-Settings!$D$22)/Settings!$E$22</f>
        <v>0.59643112010955257</v>
      </c>
      <c r="S202" s="19">
        <f>(K202-Settings!$D$23)/Settings!$E$23</f>
        <v>1.7395631127655191</v>
      </c>
      <c r="T202" s="19">
        <f>(L202-Settings!$D$24)/Settings!$E$24</f>
        <v>1.2011376163616785</v>
      </c>
      <c r="U202" s="19">
        <f>(M202-Settings!$D$25)/Settings!$E$25</f>
        <v>0.21317458380885967</v>
      </c>
      <c r="V202" s="31">
        <f>Settings!$B$18*(N202-F$6)^2</f>
        <v>8.7395458302286459E-3</v>
      </c>
      <c r="W202" s="31">
        <f>Settings!$B$19*(O202-G$6)^2</f>
        <v>2.4967520339894356E-2</v>
      </c>
      <c r="X202" s="31">
        <f>Settings!$B$20*(P202-H$6)^2</f>
        <v>0.70996292441204412</v>
      </c>
      <c r="Y202" s="31">
        <f>Settings!$B$21*(Q202-I$6)^2</f>
        <v>1.1627105566785884E-6</v>
      </c>
      <c r="Z202" s="31">
        <f>Settings!$B$22*(R202-J$6)^2</f>
        <v>4.7643146227271393E-2</v>
      </c>
      <c r="AA202" s="31">
        <f>Settings!$B$23*(S202-K$6)^2</f>
        <v>2.3086550896158009</v>
      </c>
      <c r="AB202" s="31">
        <f>Settings!$B$24*(T202-L$6)^2</f>
        <v>0.25427856090502376</v>
      </c>
      <c r="AC202" s="31">
        <f>Settings!$B$25*(U202-M$6)^2</f>
        <v>3.2301461553907918</v>
      </c>
      <c r="AD202" s="19">
        <f t="shared" si="8"/>
        <v>2.5660074250538738</v>
      </c>
      <c r="AE202" s="15">
        <f t="shared" si="9"/>
        <v>1.0156722595041228</v>
      </c>
      <c r="AF202" s="33">
        <f t="shared" si="10"/>
        <v>0.59702572900158601</v>
      </c>
      <c r="AG202" s="47">
        <f t="shared" si="11"/>
        <v>2.5750632289524705E-3</v>
      </c>
      <c r="AH202" s="18">
        <v>0.72307879573344414</v>
      </c>
      <c r="AI202" s="46">
        <v>1</v>
      </c>
      <c r="AJ202" s="18">
        <v>-0.84999619380465807</v>
      </c>
      <c r="AK202" s="46">
        <v>1</v>
      </c>
      <c r="AL202" s="18">
        <v>-0.55870972506492933</v>
      </c>
      <c r="AM202" s="46">
        <v>1</v>
      </c>
    </row>
    <row r="203" spans="1:39" ht="20" customHeight="1" x14ac:dyDescent="0.45">
      <c r="A203" s="26">
        <v>193</v>
      </c>
      <c r="B203" s="16" t="s">
        <v>251</v>
      </c>
      <c r="C203" s="16" t="s">
        <v>246</v>
      </c>
      <c r="D203" s="46">
        <v>28</v>
      </c>
      <c r="E203" s="46">
        <v>1</v>
      </c>
      <c r="F203" s="13">
        <v>0.14917089082564949</v>
      </c>
      <c r="G203" s="13">
        <v>-9.7471286274294175E-2</v>
      </c>
      <c r="H203" s="13">
        <v>0.117230637306521</v>
      </c>
      <c r="I203" s="13">
        <v>9.2851604337567863E-3</v>
      </c>
      <c r="J203" s="13">
        <v>0.6268420251597786</v>
      </c>
      <c r="K203" s="13">
        <v>19.51054421768708</v>
      </c>
      <c r="L203" s="13">
        <v>3.5164997524744792</v>
      </c>
      <c r="M203" s="13">
        <v>0.4498486802662236</v>
      </c>
      <c r="N203" s="19">
        <f>(F203-Settings!$D$18)/Settings!$E$18</f>
        <v>-0.15443674867103474</v>
      </c>
      <c r="O203" s="19">
        <f>(G203-Settings!$D$19)/Settings!$E$19</f>
        <v>-0.37840681514552077</v>
      </c>
      <c r="P203" s="19">
        <f>(H203-Settings!$D$20)/Settings!$E$20</f>
        <v>0.58078950645917615</v>
      </c>
      <c r="Q203" s="19">
        <f>(I203-Settings!$D$21)/Settings!$E$21</f>
        <v>0.1503915978723957</v>
      </c>
      <c r="R203" s="19">
        <f>(J203-Settings!$D$22)/Settings!$E$22</f>
        <v>1.0196656738893128</v>
      </c>
      <c r="S203" s="19">
        <f>(K203-Settings!$D$23)/Settings!$E$23</f>
        <v>1.4777791385474863</v>
      </c>
      <c r="T203" s="19">
        <f>(L203-Settings!$D$24)/Settings!$E$24</f>
        <v>1.5266714538907606</v>
      </c>
      <c r="U203" s="19">
        <f>(M203-Settings!$D$25)/Settings!$E$25</f>
        <v>0.33935321817730785</v>
      </c>
      <c r="V203" s="31">
        <f>Settings!$B$18*(N203-F$6)^2</f>
        <v>4.3679028070950886E-2</v>
      </c>
      <c r="W203" s="31">
        <f>Settings!$B$19*(O203-G$6)^2</f>
        <v>1.2009533462831821E-2</v>
      </c>
      <c r="X203" s="31">
        <f>Settings!$B$20*(P203-H$6)^2</f>
        <v>0.41282478840321712</v>
      </c>
      <c r="Y203" s="31">
        <f>Settings!$B$21*(Q203-I$6)^2</f>
        <v>2.6205395803282142E-3</v>
      </c>
      <c r="Z203" s="31">
        <f>Settings!$B$22*(R203-J$6)^2</f>
        <v>0.16609646994317162</v>
      </c>
      <c r="AA203" s="31">
        <f>Settings!$B$23*(S203-K$6)^2</f>
        <v>1.5816632333702674</v>
      </c>
      <c r="AB203" s="31">
        <f>Settings!$B$24*(T203-L$6)^2</f>
        <v>0.68855849292242244</v>
      </c>
      <c r="AC203" s="31">
        <f>Settings!$B$25*(U203-M$6)^2</f>
        <v>3.6996190138630078</v>
      </c>
      <c r="AD203" s="19">
        <f t="shared" ref="AD203:AD266" si="12">SQRT(SUM(V203:AC203))</f>
        <v>2.5704223582159016</v>
      </c>
      <c r="AE203" s="15">
        <f t="shared" ref="AE203:AE266" si="13">AD203/Yardstick</f>
        <v>1.0174197700905905</v>
      </c>
      <c r="AF203" s="33">
        <f t="shared" ref="AF203:AF266" si="14">EXP(-(AD203^2)/(2*Yardstick^2))</f>
        <v>0.59596609907238218</v>
      </c>
      <c r="AG203" s="47">
        <f t="shared" ref="AG203:AG266" si="15">AF203/$E$7</f>
        <v>2.5704928830955955E-3</v>
      </c>
      <c r="AH203" s="18">
        <v>-0.1723128714312834</v>
      </c>
      <c r="AI203" s="46">
        <v>1</v>
      </c>
      <c r="AJ203" s="48"/>
      <c r="AK203" s="48"/>
      <c r="AL203" s="48"/>
      <c r="AM203" s="48"/>
    </row>
    <row r="204" spans="1:39" ht="20" customHeight="1" x14ac:dyDescent="0.45">
      <c r="A204" s="26">
        <v>194</v>
      </c>
      <c r="B204" s="16" t="s">
        <v>357</v>
      </c>
      <c r="C204" s="16" t="s">
        <v>216</v>
      </c>
      <c r="D204" s="46">
        <v>28</v>
      </c>
      <c r="E204" s="46">
        <v>1</v>
      </c>
      <c r="F204" s="13">
        <v>0.39721878965534291</v>
      </c>
      <c r="G204" s="13">
        <v>-0.43934929887690022</v>
      </c>
      <c r="H204" s="13">
        <v>-0.1077609605870129</v>
      </c>
      <c r="I204" s="13">
        <v>-4.0139792207039379E-5</v>
      </c>
      <c r="J204" s="13">
        <v>5.563081108853702E-2</v>
      </c>
      <c r="K204" s="13">
        <v>15.40511247443761</v>
      </c>
      <c r="L204" s="13">
        <v>0.16594646185619771</v>
      </c>
      <c r="M204" s="13">
        <v>-0.53913562426730655</v>
      </c>
      <c r="N204" s="19">
        <f>(F204-Settings!$D$18)/Settings!$E$18</f>
        <v>0.73331121834421931</v>
      </c>
      <c r="O204" s="19">
        <f>(G204-Settings!$D$19)/Settings!$E$19</f>
        <v>-1.8027141901512576</v>
      </c>
      <c r="P204" s="19">
        <f>(H204-Settings!$D$20)/Settings!$E$20</f>
        <v>-1.4576776359288213</v>
      </c>
      <c r="Q204" s="19">
        <f>(I204-Settings!$D$21)/Settings!$E$21</f>
        <v>3.5715513043085359E-2</v>
      </c>
      <c r="R204" s="19">
        <f>(J204-Settings!$D$22)/Settings!$E$22</f>
        <v>-0.51720499052740698</v>
      </c>
      <c r="S204" s="19">
        <f>(K204-Settings!$D$23)/Settings!$E$23</f>
        <v>5.205712409632824E-2</v>
      </c>
      <c r="T204" s="19">
        <f>(L204-Settings!$D$24)/Settings!$E$24</f>
        <v>-0.78974930575934765</v>
      </c>
      <c r="U204" s="19">
        <f>(M204-Settings!$D$25)/Settings!$E$25</f>
        <v>-0.32762881161549301</v>
      </c>
      <c r="V204" s="31">
        <f>Settings!$B$18*(N204-F$6)^2</f>
        <v>3.5350647170389847E-2</v>
      </c>
      <c r="W204" s="31">
        <f>Settings!$B$19*(O204-G$6)^2</f>
        <v>0.27813135761523111</v>
      </c>
      <c r="X204" s="31">
        <f>Settings!$B$20*(P204-H$6)^2</f>
        <v>2.4153655827631542</v>
      </c>
      <c r="Y204" s="31">
        <f>Settings!$B$21*(Q204-I$6)^2</f>
        <v>8.7419003950323349E-9</v>
      </c>
      <c r="Z204" s="31">
        <f>Settings!$B$22*(R204-J$6)^2</f>
        <v>7.8265718596939704E-2</v>
      </c>
      <c r="AA204" s="31">
        <f>Settings!$B$23*(S204-K$6)^2</f>
        <v>2.8250913549379714E-2</v>
      </c>
      <c r="AB204" s="31">
        <f>Settings!$B$24*(T204-L$6)^2</f>
        <v>2.2100583870963915</v>
      </c>
      <c r="AC204" s="31">
        <f>Settings!$B$25*(U204-M$6)^2</f>
        <v>1.5786850502408885</v>
      </c>
      <c r="AD204" s="19">
        <f t="shared" si="12"/>
        <v>2.5737341870858139</v>
      </c>
      <c r="AE204" s="15">
        <f t="shared" si="13"/>
        <v>1.0187306519994082</v>
      </c>
      <c r="AF204" s="33">
        <f t="shared" si="14"/>
        <v>0.59517126729550718</v>
      </c>
      <c r="AG204" s="47">
        <f t="shared" si="15"/>
        <v>2.5670646521460576E-3</v>
      </c>
      <c r="AH204" s="18">
        <v>0.41146767233915099</v>
      </c>
      <c r="AI204" s="46">
        <v>1</v>
      </c>
      <c r="AJ204" s="18">
        <v>0.70544762457944388</v>
      </c>
      <c r="AK204" s="46">
        <v>1</v>
      </c>
      <c r="AL204" s="48"/>
      <c r="AM204" s="48"/>
    </row>
    <row r="205" spans="1:39" ht="20" customHeight="1" x14ac:dyDescent="0.45">
      <c r="A205" s="26">
        <v>195</v>
      </c>
      <c r="B205" s="16" t="s">
        <v>476</v>
      </c>
      <c r="C205" s="16" t="s">
        <v>246</v>
      </c>
      <c r="D205" s="46">
        <v>28</v>
      </c>
      <c r="E205" s="46">
        <v>1</v>
      </c>
      <c r="F205" s="13">
        <v>0.52185514780051745</v>
      </c>
      <c r="G205" s="13">
        <v>0.27545295911849832</v>
      </c>
      <c r="H205" s="13">
        <v>-8.5264265757259206E-2</v>
      </c>
      <c r="I205" s="13">
        <v>1.1346882227599999E-4</v>
      </c>
      <c r="J205" s="13">
        <v>0.117314158501449</v>
      </c>
      <c r="K205" s="13">
        <v>13.604534313725511</v>
      </c>
      <c r="L205" s="13">
        <v>0.96437874052898875</v>
      </c>
      <c r="M205" s="13">
        <v>-0.21966026063027519</v>
      </c>
      <c r="N205" s="19">
        <f>(F205-Settings!$D$18)/Settings!$E$18</f>
        <v>1.1793769745211411</v>
      </c>
      <c r="O205" s="19">
        <f>(G205-Settings!$D$19)/Settings!$E$19</f>
        <v>1.175243122701797</v>
      </c>
      <c r="P205" s="19">
        <f>(H205-Settings!$D$20)/Settings!$E$20</f>
        <v>-1.2538532546980019</v>
      </c>
      <c r="Q205" s="19">
        <f>(I205-Settings!$D$21)/Settings!$E$21</f>
        <v>3.7604485416963991E-2</v>
      </c>
      <c r="R205" s="19">
        <f>(J205-Settings!$D$22)/Settings!$E$22</f>
        <v>-0.35124304022489417</v>
      </c>
      <c r="S205" s="19">
        <f>(K205-Settings!$D$23)/Settings!$E$23</f>
        <v>-0.57324225560674869</v>
      </c>
      <c r="T205" s="19">
        <f>(L205-Settings!$D$24)/Settings!$E$24</f>
        <v>-0.2377493985586171</v>
      </c>
      <c r="U205" s="19">
        <f>(M205-Settings!$D$25)/Settings!$E$25</f>
        <v>-0.11217106822094554</v>
      </c>
      <c r="V205" s="31">
        <f>Settings!$B$18*(N205-F$6)^2</f>
        <v>0.15015962007758848</v>
      </c>
      <c r="W205" s="31">
        <f>Settings!$B$19*(O205-G$6)^2</f>
        <v>0.6470615991624602</v>
      </c>
      <c r="X205" s="31">
        <f>Settings!$B$20*(P205-H$6)^2</f>
        <v>2.1403444576192987</v>
      </c>
      <c r="Y205" s="31">
        <f>Settings!$B$21*(Q205-I$6)^2</f>
        <v>5.6441562319703381E-7</v>
      </c>
      <c r="Z205" s="31">
        <f>Settings!$B$22*(R205-J$6)^2</f>
        <v>4.2246555329373874E-2</v>
      </c>
      <c r="AA205" s="31">
        <f>Settings!$B$23*(S205-K$6)^2</f>
        <v>0.6294509682898356</v>
      </c>
      <c r="AB205" s="31">
        <f>Settings!$B$24*(T205-L$6)^2</f>
        <v>0.87352689097392711</v>
      </c>
      <c r="AC205" s="31">
        <f>Settings!$B$25*(U205-M$6)^2</f>
        <v>2.1665340162400053</v>
      </c>
      <c r="AD205" s="19">
        <f t="shared" si="12"/>
        <v>2.5786284478590771</v>
      </c>
      <c r="AE205" s="15">
        <f t="shared" si="13"/>
        <v>1.020667889144417</v>
      </c>
      <c r="AF205" s="33">
        <f t="shared" si="14"/>
        <v>0.59399672686363192</v>
      </c>
      <c r="AG205" s="47">
        <f t="shared" si="15"/>
        <v>2.561998679726246E-3</v>
      </c>
      <c r="AH205" s="48"/>
      <c r="AI205" s="48"/>
      <c r="AJ205" s="48"/>
      <c r="AK205" s="48"/>
      <c r="AL205" s="48"/>
      <c r="AM205" s="48"/>
    </row>
    <row r="206" spans="1:39" ht="20" customHeight="1" x14ac:dyDescent="0.45">
      <c r="A206" s="26">
        <v>196</v>
      </c>
      <c r="B206" s="16" t="s">
        <v>317</v>
      </c>
      <c r="C206" s="16" t="s">
        <v>229</v>
      </c>
      <c r="D206" s="46">
        <v>28</v>
      </c>
      <c r="E206" s="46">
        <v>1</v>
      </c>
      <c r="F206" s="13">
        <v>0.52691828814673192</v>
      </c>
      <c r="G206" s="13">
        <v>0.28392349117338012</v>
      </c>
      <c r="H206" s="13">
        <v>-7.7960079765407336E-2</v>
      </c>
      <c r="I206" s="13">
        <v>1.3569925114250499E-4</v>
      </c>
      <c r="J206" s="13">
        <v>0.1110624416633382</v>
      </c>
      <c r="K206" s="13">
        <v>14.26278317152104</v>
      </c>
      <c r="L206" s="13">
        <v>1.153767218541313</v>
      </c>
      <c r="M206" s="13">
        <v>0.10673539957908031</v>
      </c>
      <c r="N206" s="19">
        <f>(F206-Settings!$D$18)/Settings!$E$18</f>
        <v>1.1974976381924383</v>
      </c>
      <c r="O206" s="19">
        <f>(G206-Settings!$D$19)/Settings!$E$19</f>
        <v>1.2105324388650285</v>
      </c>
      <c r="P206" s="19">
        <f>(H206-Settings!$D$20)/Settings!$E$20</f>
        <v>-1.1876759250302229</v>
      </c>
      <c r="Q206" s="19">
        <f>(I206-Settings!$D$21)/Settings!$E$21</f>
        <v>3.7877859837595451E-2</v>
      </c>
      <c r="R206" s="19">
        <f>(J206-Settings!$D$22)/Settings!$E$22</f>
        <v>-0.36806357871231643</v>
      </c>
      <c r="S206" s="19">
        <f>(K206-Settings!$D$23)/Settings!$E$23</f>
        <v>-0.34464756782767375</v>
      </c>
      <c r="T206" s="19">
        <f>(L206-Settings!$D$24)/Settings!$E$24</f>
        <v>-0.10681478446527384</v>
      </c>
      <c r="U206" s="19">
        <f>(M206-Settings!$D$25)/Settings!$E$25</f>
        <v>0.10795380025679926</v>
      </c>
      <c r="V206" s="31">
        <f>Settings!$B$18*(N206-F$6)^2</f>
        <v>0.15650581278997108</v>
      </c>
      <c r="W206" s="31">
        <f>Settings!$B$19*(O206-G$6)^2</f>
        <v>0.67270056978837989</v>
      </c>
      <c r="X206" s="31">
        <f>Settings!$B$20*(P206-H$6)^2</f>
        <v>2.0546246969773327</v>
      </c>
      <c r="Y206" s="31">
        <f>Settings!$B$21*(Q206-I$6)^2</f>
        <v>7.6305947275569717E-7</v>
      </c>
      <c r="Z206" s="31">
        <f>Settings!$B$22*(R206-J$6)^2</f>
        <v>4.5395433741534291E-2</v>
      </c>
      <c r="AA206" s="31">
        <f>Settings!$B$23*(S206-K$6)^2</f>
        <v>0.31898183945938779</v>
      </c>
      <c r="AB206" s="31">
        <f>Settings!$B$24*(T206-L$6)^2</f>
        <v>0.64592081641957388</v>
      </c>
      <c r="AC206" s="31">
        <f>Settings!$B$25*(U206-M$6)^2</f>
        <v>2.8629992027733788</v>
      </c>
      <c r="AD206" s="19">
        <f t="shared" si="12"/>
        <v>2.5994478519503006</v>
      </c>
      <c r="AE206" s="15">
        <f t="shared" si="13"/>
        <v>1.0289085867310259</v>
      </c>
      <c r="AF206" s="33">
        <f t="shared" si="14"/>
        <v>0.58900156403628812</v>
      </c>
      <c r="AG206" s="47">
        <f t="shared" si="15"/>
        <v>2.5404537789045778E-3</v>
      </c>
      <c r="AH206" s="18">
        <v>1.275721534452992</v>
      </c>
      <c r="AI206" s="46">
        <v>1</v>
      </c>
      <c r="AJ206" s="48"/>
      <c r="AK206" s="48"/>
      <c r="AL206" s="48"/>
      <c r="AM206" s="48"/>
    </row>
    <row r="207" spans="1:39" ht="20" customHeight="1" x14ac:dyDescent="0.45">
      <c r="A207" s="26">
        <v>197</v>
      </c>
      <c r="B207" s="16" t="s">
        <v>681</v>
      </c>
      <c r="C207" s="16" t="s">
        <v>220</v>
      </c>
      <c r="D207" s="46">
        <v>28</v>
      </c>
      <c r="E207" s="46">
        <v>1</v>
      </c>
      <c r="F207" s="13">
        <v>-1.152225289225837E-2</v>
      </c>
      <c r="G207" s="13">
        <v>0.18028039280235769</v>
      </c>
      <c r="H207" s="13">
        <v>-5.7019723964672822E-2</v>
      </c>
      <c r="I207" s="13">
        <v>-3.1986684161956969E-4</v>
      </c>
      <c r="J207" s="13">
        <v>0.7508577634990915</v>
      </c>
      <c r="K207" s="13">
        <v>13.1785</v>
      </c>
      <c r="L207" s="13">
        <v>1.681305935324011</v>
      </c>
      <c r="M207" s="13">
        <v>0.15461445193494819</v>
      </c>
      <c r="N207" s="19">
        <f>(F207-Settings!$D$18)/Settings!$E$18</f>
        <v>-0.72954749269232511</v>
      </c>
      <c r="O207" s="19">
        <f>(G207-Settings!$D$19)/Settings!$E$19</f>
        <v>0.77874208108649801</v>
      </c>
      <c r="P207" s="19">
        <f>(H207-Settings!$D$20)/Settings!$E$20</f>
        <v>-0.99795227468346492</v>
      </c>
      <c r="Q207" s="19">
        <f>(I207-Settings!$D$21)/Settings!$E$21</f>
        <v>3.2275623487768808E-2</v>
      </c>
      <c r="R207" s="19">
        <f>(J207-Settings!$D$22)/Settings!$E$22</f>
        <v>1.3533358566247287</v>
      </c>
      <c r="S207" s="19">
        <f>(K207-Settings!$D$23)/Settings!$E$23</f>
        <v>-0.72119417345042147</v>
      </c>
      <c r="T207" s="19">
        <f>(L207-Settings!$D$24)/Settings!$E$24</f>
        <v>0.25790158596115298</v>
      </c>
      <c r="U207" s="19">
        <f>(M207-Settings!$D$25)/Settings!$E$25</f>
        <v>0.14024396641867271</v>
      </c>
      <c r="V207" s="31">
        <f>Settings!$B$18*(N207-F$6)^2</f>
        <v>0.21733556459044745</v>
      </c>
      <c r="W207" s="31">
        <f>Settings!$B$19*(O207-G$6)^2</f>
        <v>0.39323024868479539</v>
      </c>
      <c r="X207" s="31">
        <f>Settings!$B$20*(P207-H$6)^2</f>
        <v>1.8185849850661311</v>
      </c>
      <c r="Y207" s="31">
        <f>Settings!$B$21*(Q207-I$6)^2</f>
        <v>2.6629785041463907E-6</v>
      </c>
      <c r="Z207" s="31">
        <f>Settings!$B$22*(R207-J$6)^2</f>
        <v>0.30999415664203811</v>
      </c>
      <c r="AA207" s="31">
        <f>Settings!$B$23*(S207-K$6)^2</f>
        <v>0.88610476379099856</v>
      </c>
      <c r="AB207" s="31">
        <f>Settings!$B$24*(T207-L$6)^2</f>
        <v>0.19269959546998636</v>
      </c>
      <c r="AC207" s="31">
        <f>Settings!$B$25*(U207-M$6)^2</f>
        <v>2.9733143600782341</v>
      </c>
      <c r="AD207" s="19">
        <f t="shared" si="12"/>
        <v>2.60600582065757</v>
      </c>
      <c r="AE207" s="15">
        <f t="shared" si="13"/>
        <v>1.0315043496386604</v>
      </c>
      <c r="AF207" s="33">
        <f t="shared" si="14"/>
        <v>0.58742857685682925</v>
      </c>
      <c r="AG207" s="47">
        <f t="shared" si="15"/>
        <v>2.5336692447569258E-3</v>
      </c>
      <c r="AH207" s="48"/>
      <c r="AI207" s="48"/>
      <c r="AJ207" s="48"/>
      <c r="AK207" s="48"/>
      <c r="AL207" s="48"/>
      <c r="AM207" s="48"/>
    </row>
    <row r="208" spans="1:39" ht="20" customHeight="1" x14ac:dyDescent="0.45">
      <c r="A208" s="26">
        <v>198</v>
      </c>
      <c r="B208" s="16" t="s">
        <v>608</v>
      </c>
      <c r="C208" s="16" t="s">
        <v>229</v>
      </c>
      <c r="D208" s="46">
        <v>28</v>
      </c>
      <c r="E208" s="46">
        <v>1</v>
      </c>
      <c r="F208" s="13">
        <v>-0.38468156770344369</v>
      </c>
      <c r="G208" s="13">
        <v>0.34945903252069938</v>
      </c>
      <c r="H208" s="13">
        <v>-1.4918339224553601E-3</v>
      </c>
      <c r="I208" s="13">
        <v>0.16689122325848571</v>
      </c>
      <c r="J208" s="13">
        <v>-9.747634259491568E-2</v>
      </c>
      <c r="K208" s="13">
        <v>14.915955284552799</v>
      </c>
      <c r="L208" s="13">
        <v>0.24529028977243761</v>
      </c>
      <c r="M208" s="13">
        <v>-1.5670040531858449</v>
      </c>
      <c r="N208" s="19">
        <f>(F208-Settings!$D$18)/Settings!$E$18</f>
        <v>-2.0650614182663602</v>
      </c>
      <c r="O208" s="19">
        <f>(G208-Settings!$D$19)/Settings!$E$19</f>
        <v>1.4835618570349547</v>
      </c>
      <c r="P208" s="19">
        <f>(H208-Settings!$D$20)/Settings!$E$20</f>
        <v>-0.49485891298932583</v>
      </c>
      <c r="Q208" s="19">
        <f>(I208-Settings!$D$21)/Settings!$E$21</f>
        <v>2.0885218234045402</v>
      </c>
      <c r="R208" s="19">
        <f>(J208-Settings!$D$22)/Settings!$E$22</f>
        <v>-0.92914699588708005</v>
      </c>
      <c r="S208" s="19">
        <f>(K208-Settings!$D$23)/Settings!$E$23</f>
        <v>-0.11781591673368259</v>
      </c>
      <c r="T208" s="19">
        <f>(L208-Settings!$D$24)/Settings!$E$24</f>
        <v>-0.73489457754179754</v>
      </c>
      <c r="U208" s="19">
        <f>(M208-Settings!$D$25)/Settings!$E$25</f>
        <v>-1.0208347279655847</v>
      </c>
      <c r="V208" s="31">
        <f>Settings!$B$18*(N208-F$6)^2</f>
        <v>1.1309314548936737</v>
      </c>
      <c r="W208" s="31">
        <f>Settings!$B$19*(O208-G$6)^2</f>
        <v>0.88790238105856911</v>
      </c>
      <c r="X208" s="31">
        <f>Settings!$B$20*(P208-H$6)^2</f>
        <v>1.2623848798868529</v>
      </c>
      <c r="Y208" s="31">
        <f>Settings!$B$21*(Q208-I$6)^2</f>
        <v>0.84263108772593986</v>
      </c>
      <c r="Z208" s="31">
        <f>Settings!$B$22*(R208-J$6)^2</f>
        <v>0.21528317000733438</v>
      </c>
      <c r="AA208" s="31">
        <f>Settings!$B$23*(S208-K$6)^2</f>
        <v>0.11421231239462748</v>
      </c>
      <c r="AB208" s="31">
        <f>Settings!$B$24*(T208-L$6)^2</f>
        <v>2.0499704417169178</v>
      </c>
      <c r="AC208" s="31">
        <f>Settings!$B$25*(U208-M$6)^2</f>
        <v>0.31725216758895869</v>
      </c>
      <c r="AD208" s="19">
        <f t="shared" si="12"/>
        <v>2.611621698346235</v>
      </c>
      <c r="AE208" s="15">
        <f t="shared" si="13"/>
        <v>1.0337272158414057</v>
      </c>
      <c r="AF208" s="33">
        <f t="shared" si="14"/>
        <v>0.58608175916045357</v>
      </c>
      <c r="AG208" s="47">
        <f t="shared" si="15"/>
        <v>2.5278602141614783E-3</v>
      </c>
      <c r="AH208" s="18">
        <v>-0.45603728293979873</v>
      </c>
      <c r="AI208" s="46">
        <v>1</v>
      </c>
      <c r="AJ208" s="18">
        <v>0.12774935142793559</v>
      </c>
      <c r="AK208" s="46">
        <v>1</v>
      </c>
      <c r="AL208" s="18">
        <v>-0.39248715070068141</v>
      </c>
      <c r="AM208" s="46">
        <v>1</v>
      </c>
    </row>
    <row r="209" spans="1:39" ht="20" customHeight="1" x14ac:dyDescent="0.45">
      <c r="A209" s="26">
        <v>199</v>
      </c>
      <c r="B209" s="16" t="s">
        <v>449</v>
      </c>
      <c r="C209" s="16" t="s">
        <v>216</v>
      </c>
      <c r="D209" s="46">
        <v>28</v>
      </c>
      <c r="E209" s="46">
        <v>1</v>
      </c>
      <c r="F209" s="13">
        <v>0.2426455616864214</v>
      </c>
      <c r="G209" s="13">
        <v>0.1461923321363815</v>
      </c>
      <c r="H209" s="13">
        <v>0.14199949960982919</v>
      </c>
      <c r="I209" s="13">
        <v>0.11559602693938439</v>
      </c>
      <c r="J209" s="13">
        <v>0.35356657962798349</v>
      </c>
      <c r="K209" s="13">
        <v>19.06376146788994</v>
      </c>
      <c r="L209" s="13">
        <v>2.6142130852744359</v>
      </c>
      <c r="M209" s="13">
        <v>0.76298725430411984</v>
      </c>
      <c r="N209" s="19">
        <f>(F209-Settings!$D$18)/Settings!$E$18</f>
        <v>0.18010327128311385</v>
      </c>
      <c r="O209" s="19">
        <f>(G209-Settings!$D$19)/Settings!$E$19</f>
        <v>0.63672687561427932</v>
      </c>
      <c r="P209" s="19">
        <f>(H209-Settings!$D$20)/Settings!$E$20</f>
        <v>0.80520016193404664</v>
      </c>
      <c r="Q209" s="19">
        <f>(I209-Settings!$D$21)/Settings!$E$21</f>
        <v>1.4577290186809351</v>
      </c>
      <c r="R209" s="19">
        <f>(J209-Settings!$D$22)/Settings!$E$22</f>
        <v>0.28440522171821114</v>
      </c>
      <c r="S209" s="19">
        <f>(K209-Settings!$D$23)/Settings!$E$23</f>
        <v>1.3226217660956847</v>
      </c>
      <c r="T209" s="19">
        <f>(L209-Settings!$D$24)/Settings!$E$24</f>
        <v>0.90287132723406616</v>
      </c>
      <c r="U209" s="19">
        <f>(M209-Settings!$D$25)/Settings!$E$25</f>
        <v>0.55053736009018717</v>
      </c>
      <c r="V209" s="31">
        <f>Settings!$B$18*(N209-F$6)^2</f>
        <v>3.5265113875970634E-3</v>
      </c>
      <c r="W209" s="31">
        <f>Settings!$B$19*(O209-G$6)^2</f>
        <v>0.31761069937007613</v>
      </c>
      <c r="X209" s="31">
        <f>Settings!$B$20*(P209-H$6)^2</f>
        <v>0.2939319686736418</v>
      </c>
      <c r="Y209" s="31">
        <f>Settings!$B$21*(Q209-I$6)^2</f>
        <v>0.40430557167756898</v>
      </c>
      <c r="Z209" s="31">
        <f>Settings!$B$22*(R209-J$6)^2</f>
        <v>6.1985508658528258E-3</v>
      </c>
      <c r="AA209" s="31">
        <f>Settings!$B$23*(S209-K$6)^2</f>
        <v>1.2154722077639761</v>
      </c>
      <c r="AB209" s="31">
        <f>Settings!$B$24*(T209-L$6)^2</f>
        <v>4.2433577757047793E-2</v>
      </c>
      <c r="AC209" s="31">
        <f>Settings!$B$25*(U209-M$6)^2</f>
        <v>4.5566175418251786</v>
      </c>
      <c r="AD209" s="19">
        <f t="shared" si="12"/>
        <v>2.6153578396313075</v>
      </c>
      <c r="AE209" s="15">
        <f t="shared" si="13"/>
        <v>1.0352060482967547</v>
      </c>
      <c r="AF209" s="33">
        <f t="shared" si="14"/>
        <v>0.58518585508000576</v>
      </c>
      <c r="AG209" s="47">
        <f t="shared" si="15"/>
        <v>2.5239960429169865E-3</v>
      </c>
      <c r="AH209" s="18">
        <v>0.2092624751869829</v>
      </c>
      <c r="AI209" s="46">
        <v>1</v>
      </c>
      <c r="AJ209" s="18">
        <v>-1.014552534723715</v>
      </c>
      <c r="AK209" s="46">
        <v>1</v>
      </c>
      <c r="AL209" s="48"/>
      <c r="AM209" s="48"/>
    </row>
    <row r="210" spans="1:39" ht="20" customHeight="1" x14ac:dyDescent="0.45">
      <c r="A210" s="26">
        <v>200</v>
      </c>
      <c r="B210" s="16" t="s">
        <v>282</v>
      </c>
      <c r="C210" s="16" t="s">
        <v>210</v>
      </c>
      <c r="D210" s="46">
        <v>28</v>
      </c>
      <c r="E210" s="46">
        <v>0</v>
      </c>
      <c r="F210" s="13">
        <v>0.2236687114553261</v>
      </c>
      <c r="G210" s="13">
        <v>-0.1242463270764073</v>
      </c>
      <c r="H210" s="13">
        <v>0.26854686117687782</v>
      </c>
      <c r="I210" s="13">
        <v>8.4181279892673488E-2</v>
      </c>
      <c r="J210" s="13">
        <v>0.29935682039871542</v>
      </c>
      <c r="K210" s="13">
        <v>18.09545454545454</v>
      </c>
      <c r="L210" s="13">
        <v>3.2152323587184171</v>
      </c>
      <c r="M210" s="13">
        <v>1.1204515200380309</v>
      </c>
      <c r="N210" s="19">
        <f>(F210-Settings!$D$18)/Settings!$E$18</f>
        <v>0.11218630729151595</v>
      </c>
      <c r="O210" s="19">
        <f>(G210-Settings!$D$19)/Settings!$E$19</f>
        <v>-0.48995504777450188</v>
      </c>
      <c r="P210" s="19">
        <f>(H210-Settings!$D$20)/Settings!$E$20</f>
        <v>1.951743592557577</v>
      </c>
      <c r="Q210" s="19">
        <f>(I210-Settings!$D$21)/Settings!$E$21</f>
        <v>1.0714122127951917</v>
      </c>
      <c r="R210" s="19">
        <f>(J210-Settings!$D$22)/Settings!$E$22</f>
        <v>0.13855131228469508</v>
      </c>
      <c r="S210" s="19">
        <f>(K210-Settings!$D$23)/Settings!$E$23</f>
        <v>0.98635104418401143</v>
      </c>
      <c r="T210" s="19">
        <f>(L210-Settings!$D$24)/Settings!$E$24</f>
        <v>1.3183888257480374</v>
      </c>
      <c r="U210" s="19">
        <f>(M210-Settings!$D$25)/Settings!$E$25</f>
        <v>0.79161524216037094</v>
      </c>
      <c r="V210" s="31">
        <f>Settings!$B$18*(N210-F$6)^2</f>
        <v>8.0564674921346884E-3</v>
      </c>
      <c r="W210" s="31">
        <f>Settings!$B$19*(O210-G$6)^2</f>
        <v>3.5643444198701583E-3</v>
      </c>
      <c r="X210" s="31">
        <f>Settings!$B$20*(P210-H$6)^2</f>
        <v>8.6466111171010034E-4</v>
      </c>
      <c r="Y210" s="31">
        <f>Settings!$B$21*(Q210-I$6)^2</f>
        <v>0.2144469270296574</v>
      </c>
      <c r="Z210" s="31">
        <f>Settings!$B$22*(R210-J$6)^2</f>
        <v>1.8233168241767953E-4</v>
      </c>
      <c r="AA210" s="31">
        <f>Settings!$B$23*(S210-K$6)^2</f>
        <v>0.58708364757229259</v>
      </c>
      <c r="AB210" s="31">
        <f>Settings!$B$24*(T210-L$6)^2</f>
        <v>0.3862766928001159</v>
      </c>
      <c r="AC210" s="31">
        <f>Settings!$B$25*(U210-M$6)^2</f>
        <v>5.6439571180628789</v>
      </c>
      <c r="AD210" s="19">
        <f t="shared" si="12"/>
        <v>2.6161865740369277</v>
      </c>
      <c r="AE210" s="15">
        <f t="shared" si="13"/>
        <v>1.0355340763991159</v>
      </c>
      <c r="AF210" s="33">
        <f t="shared" si="14"/>
        <v>0.58498714187547241</v>
      </c>
      <c r="AG210" s="47">
        <f t="shared" si="15"/>
        <v>2.5231389624910611E-3</v>
      </c>
      <c r="AH210" s="18">
        <v>1.02958646256354</v>
      </c>
      <c r="AI210" s="46">
        <v>0</v>
      </c>
      <c r="AJ210" s="18">
        <v>-0.30515589550256678</v>
      </c>
      <c r="AK210" s="46">
        <v>0</v>
      </c>
      <c r="AL210" s="18">
        <v>-0.13619613641001971</v>
      </c>
      <c r="AM210" s="46">
        <v>0</v>
      </c>
    </row>
    <row r="211" spans="1:39" ht="20" customHeight="1" x14ac:dyDescent="0.45">
      <c r="A211" s="26">
        <v>201</v>
      </c>
      <c r="B211" s="16" t="s">
        <v>396</v>
      </c>
      <c r="C211" s="16" t="s">
        <v>232</v>
      </c>
      <c r="D211" s="46">
        <v>28</v>
      </c>
      <c r="E211" s="46">
        <v>0</v>
      </c>
      <c r="F211" s="13">
        <v>0.32338259916697659</v>
      </c>
      <c r="G211" s="13">
        <v>0.16228702067415079</v>
      </c>
      <c r="H211" s="13">
        <v>0.23639422570391369</v>
      </c>
      <c r="I211" s="13">
        <v>-0.17220314148349461</v>
      </c>
      <c r="J211" s="13">
        <v>-0.1057330129714643</v>
      </c>
      <c r="K211" s="13">
        <v>17.456600660066041</v>
      </c>
      <c r="L211" s="13">
        <v>0.1826961779739053</v>
      </c>
      <c r="M211" s="13">
        <v>0.1179214911141569</v>
      </c>
      <c r="N211" s="19">
        <f>(F211-Settings!$D$18)/Settings!$E$18</f>
        <v>0.46905609541248816</v>
      </c>
      <c r="O211" s="19">
        <f>(G211-Settings!$D$19)/Settings!$E$19</f>
        <v>0.70377939943192358</v>
      </c>
      <c r="P211" s="19">
        <f>(H211-Settings!$D$20)/Settings!$E$20</f>
        <v>1.6604345322795546</v>
      </c>
      <c r="Q211" s="19">
        <f>(I211-Settings!$D$21)/Settings!$E$21</f>
        <v>-2.0814258666467289</v>
      </c>
      <c r="R211" s="19">
        <f>(J211-Settings!$D$22)/Settings!$E$22</f>
        <v>-0.95136195626405451</v>
      </c>
      <c r="S211" s="19">
        <f>(K211-Settings!$D$23)/Settings!$E$23</f>
        <v>0.76449178421367858</v>
      </c>
      <c r="T211" s="19">
        <f>(L211-Settings!$D$24)/Settings!$E$24</f>
        <v>-0.77816931082479635</v>
      </c>
      <c r="U211" s="19">
        <f>(M211-Settings!$D$25)/Settings!$E$25</f>
        <v>0.11549782497317988</v>
      </c>
      <c r="V211" s="31">
        <f>Settings!$B$18*(N211-F$6)^2</f>
        <v>4.8775130406304981E-3</v>
      </c>
      <c r="W211" s="31">
        <f>Settings!$B$19*(O211-G$6)^2</f>
        <v>0.35230920590346337</v>
      </c>
      <c r="X211" s="31">
        <f>Settings!$B$20*(P211-H$6)^2</f>
        <v>2.549849849091403E-2</v>
      </c>
      <c r="Y211" s="31">
        <f>Settings!$B$21*(Q211-I$6)^2</f>
        <v>0.89663458381502503</v>
      </c>
      <c r="Z211" s="31">
        <f>Settings!$B$22*(R211-J$6)^2</f>
        <v>0.22460112056781345</v>
      </c>
      <c r="AA211" s="31">
        <f>Settings!$B$23*(S211-K$6)^2</f>
        <v>0.29632190806378256</v>
      </c>
      <c r="AB211" s="31">
        <f>Settings!$B$24*(T211-L$6)^2</f>
        <v>2.1757622284148881</v>
      </c>
      <c r="AC211" s="31">
        <f>Settings!$B$25*(U211-M$6)^2</f>
        <v>2.8885856975363753</v>
      </c>
      <c r="AD211" s="19">
        <f t="shared" si="12"/>
        <v>2.6200364035319992</v>
      </c>
      <c r="AE211" s="15">
        <f t="shared" si="13"/>
        <v>1.0370579087091032</v>
      </c>
      <c r="AF211" s="33">
        <f t="shared" si="14"/>
        <v>0.58406409351403021</v>
      </c>
      <c r="AG211" s="47">
        <f t="shared" si="15"/>
        <v>2.5191577138134378E-3</v>
      </c>
      <c r="AH211" s="18">
        <v>0.7301381014950632</v>
      </c>
      <c r="AI211" s="46">
        <v>0</v>
      </c>
      <c r="AJ211" s="18">
        <v>-0.47579294675410888</v>
      </c>
      <c r="AK211" s="46">
        <v>0</v>
      </c>
      <c r="AL211" s="48"/>
      <c r="AM211" s="48"/>
    </row>
    <row r="212" spans="1:39" ht="20" customHeight="1" x14ac:dyDescent="0.45">
      <c r="A212" s="26">
        <v>202</v>
      </c>
      <c r="B212" s="16" t="s">
        <v>354</v>
      </c>
      <c r="C212" s="16" t="s">
        <v>224</v>
      </c>
      <c r="D212" s="46">
        <v>28</v>
      </c>
      <c r="E212" s="46">
        <v>0</v>
      </c>
      <c r="F212" s="13">
        <v>-2.69033165855809E-2</v>
      </c>
      <c r="G212" s="13">
        <v>-0.14440695787125821</v>
      </c>
      <c r="H212" s="13">
        <v>-5.933170776444556E-2</v>
      </c>
      <c r="I212" s="13">
        <v>-3.9004436194901439E-2</v>
      </c>
      <c r="J212" s="13">
        <v>0.7303535815838138</v>
      </c>
      <c r="K212" s="13">
        <v>17.519976359338091</v>
      </c>
      <c r="L212" s="13">
        <v>1.087395924738856</v>
      </c>
      <c r="M212" s="13">
        <v>0.34035647916756828</v>
      </c>
      <c r="N212" s="19">
        <f>(F212-Settings!$D$18)/Settings!$E$18</f>
        <v>-0.78459536082062653</v>
      </c>
      <c r="O212" s="19">
        <f>(G212-Settings!$D$19)/Settings!$E$19</f>
        <v>-0.57394680526506547</v>
      </c>
      <c r="P212" s="19">
        <f>(H212-Settings!$D$20)/Settings!$E$20</f>
        <v>-1.01889929249966</v>
      </c>
      <c r="Q212" s="19">
        <f>(I212-Settings!$D$21)/Settings!$E$21</f>
        <v>-0.44344042310029513</v>
      </c>
      <c r="R212" s="19">
        <f>(J212-Settings!$D$22)/Settings!$E$22</f>
        <v>1.2981683898327971</v>
      </c>
      <c r="S212" s="19">
        <f>(K212-Settings!$D$23)/Settings!$E$23</f>
        <v>0.78650070685183249</v>
      </c>
      <c r="T212" s="19">
        <f>(L212-Settings!$D$24)/Settings!$E$24</f>
        <v>-0.15270089027333203</v>
      </c>
      <c r="U212" s="19">
        <f>(M212-Settings!$D$25)/Settings!$E$25</f>
        <v>0.2655104582866864</v>
      </c>
      <c r="V212" s="31">
        <f>Settings!$B$18*(N212-F$6)^2</f>
        <v>0.24089522283204479</v>
      </c>
      <c r="W212" s="31">
        <f>Settings!$B$19*(O212-G$6)^2</f>
        <v>4.9017406155924578E-4</v>
      </c>
      <c r="X212" s="31">
        <f>Settings!$B$20*(P212-H$6)^2</f>
        <v>1.8439385953859408</v>
      </c>
      <c r="Y212" s="31">
        <f>Settings!$B$21*(Q212-I$6)^2</f>
        <v>4.5958161473113511E-2</v>
      </c>
      <c r="Z212" s="31">
        <f>Settings!$B$22*(R212-J$6)^2</f>
        <v>0.28312992854470748</v>
      </c>
      <c r="AA212" s="31">
        <f>Settings!$B$23*(S212-K$6)^2</f>
        <v>0.32076761638893336</v>
      </c>
      <c r="AB212" s="31">
        <f>Settings!$B$24*(T212-L$6)^2</f>
        <v>0.72178294259928988</v>
      </c>
      <c r="AC212" s="31">
        <f>Settings!$B$25*(U212-M$6)^2</f>
        <v>3.4210076237793441</v>
      </c>
      <c r="AD212" s="19">
        <f t="shared" si="12"/>
        <v>2.6225884665850518</v>
      </c>
      <c r="AE212" s="15">
        <f t="shared" si="13"/>
        <v>1.0380680615333635</v>
      </c>
      <c r="AF212" s="33">
        <f t="shared" si="14"/>
        <v>0.5834522582722188</v>
      </c>
      <c r="AG212" s="47">
        <f t="shared" si="15"/>
        <v>2.5165187748919936E-3</v>
      </c>
      <c r="AH212" s="18">
        <v>6.8625659590402677E-2</v>
      </c>
      <c r="AI212" s="46">
        <v>0</v>
      </c>
      <c r="AJ212" s="18">
        <v>-0.71724064316604141</v>
      </c>
      <c r="AK212" s="46">
        <v>0</v>
      </c>
      <c r="AL212" s="18">
        <v>-4.2929236356685767E-2</v>
      </c>
      <c r="AM212" s="46">
        <v>1</v>
      </c>
    </row>
    <row r="213" spans="1:39" ht="20" customHeight="1" x14ac:dyDescent="0.45">
      <c r="A213" s="26">
        <v>203</v>
      </c>
      <c r="B213" s="16" t="s">
        <v>610</v>
      </c>
      <c r="C213" s="16" t="s">
        <v>258</v>
      </c>
      <c r="D213" s="46">
        <v>28</v>
      </c>
      <c r="E213" s="46">
        <v>0</v>
      </c>
      <c r="F213" s="13">
        <v>0.16654849106301511</v>
      </c>
      <c r="G213" s="13">
        <v>0.1184610039194893</v>
      </c>
      <c r="H213" s="13">
        <v>7.8871065385894668E-2</v>
      </c>
      <c r="I213" s="13">
        <v>-0.17173804667575879</v>
      </c>
      <c r="J213" s="13">
        <v>-0.46438139295584208</v>
      </c>
      <c r="K213" s="13">
        <v>14.678472222222251</v>
      </c>
      <c r="L213" s="13">
        <v>-0.57324578968293116</v>
      </c>
      <c r="M213" s="13">
        <v>-1.860284577773232</v>
      </c>
      <c r="N213" s="19">
        <f>(F213-Settings!$D$18)/Settings!$E$18</f>
        <v>-9.2243400712392842E-2</v>
      </c>
      <c r="O213" s="19">
        <f>(G213-Settings!$D$19)/Settings!$E$19</f>
        <v>0.52119462773048209</v>
      </c>
      <c r="P213" s="19">
        <f>(H213-Settings!$D$20)/Settings!$E$20</f>
        <v>0.23324440838281249</v>
      </c>
      <c r="Q213" s="19">
        <f>(I213-Settings!$D$21)/Settings!$E$21</f>
        <v>-2.0757064527583604</v>
      </c>
      <c r="R213" s="19">
        <f>(J213-Settings!$D$22)/Settings!$E$22</f>
        <v>-1.9163223079875165</v>
      </c>
      <c r="S213" s="19">
        <f>(K213-Settings!$D$23)/Settings!$E$23</f>
        <v>-0.20028832187856715</v>
      </c>
      <c r="T213" s="19">
        <f>(L213-Settings!$D$24)/Settings!$E$24</f>
        <v>-1.3007933418689104</v>
      </c>
      <c r="U213" s="19">
        <f>(M213-Settings!$D$25)/Settings!$E$25</f>
        <v>-1.2186263801599606</v>
      </c>
      <c r="V213" s="31">
        <f>Settings!$B$18*(N213-F$6)^2</f>
        <v>3.2826761907876804E-2</v>
      </c>
      <c r="W213" s="31">
        <f>Settings!$B$19*(O213-G$6)^2</f>
        <v>0.2620436706604265</v>
      </c>
      <c r="X213" s="31">
        <f>Settings!$B$20*(P213-H$6)^2</f>
        <v>0.63671034939744819</v>
      </c>
      <c r="Y213" s="31">
        <f>Settings!$B$21*(Q213-I$6)^2</f>
        <v>0.89179712473084494</v>
      </c>
      <c r="Z213" s="31">
        <f>Settings!$B$22*(R213-J$6)^2</f>
        <v>0.81986577076505085</v>
      </c>
      <c r="AA213" s="31">
        <f>Settings!$B$23*(S213-K$6)^2</f>
        <v>0.17675762353304467</v>
      </c>
      <c r="AB213" s="31">
        <f>Settings!$B$24*(T213-L$6)^2</f>
        <v>3.990687620014044</v>
      </c>
      <c r="AC213" s="31">
        <f>Settings!$B$25*(U213-M$6)^2</f>
        <v>0.13356084542522037</v>
      </c>
      <c r="AD213" s="19">
        <f t="shared" si="12"/>
        <v>2.635194445659363</v>
      </c>
      <c r="AE213" s="15">
        <f t="shared" si="13"/>
        <v>1.0430577365922338</v>
      </c>
      <c r="AF213" s="33">
        <f t="shared" si="14"/>
        <v>0.58043078351413735</v>
      </c>
      <c r="AG213" s="47">
        <f t="shared" si="15"/>
        <v>2.5034866924057747E-3</v>
      </c>
      <c r="AH213" s="18">
        <v>-0.69002513623431738</v>
      </c>
      <c r="AI213" s="46">
        <v>0</v>
      </c>
      <c r="AJ213" s="18">
        <v>1.3404637163208379</v>
      </c>
      <c r="AK213" s="46">
        <v>0</v>
      </c>
      <c r="AL213" s="18">
        <v>1.122590657812446</v>
      </c>
      <c r="AM213" s="46">
        <v>0</v>
      </c>
    </row>
    <row r="214" spans="1:39" ht="20" customHeight="1" x14ac:dyDescent="0.45">
      <c r="A214" s="26">
        <v>204</v>
      </c>
      <c r="B214" s="16" t="s">
        <v>499</v>
      </c>
      <c r="C214" s="16" t="s">
        <v>220</v>
      </c>
      <c r="D214" s="46">
        <v>28</v>
      </c>
      <c r="E214" s="46">
        <v>1</v>
      </c>
      <c r="F214" s="13">
        <v>0.1806414851430064</v>
      </c>
      <c r="G214" s="13">
        <v>-0.24743225803120281</v>
      </c>
      <c r="H214" s="13">
        <v>2.3775650129478701E-2</v>
      </c>
      <c r="I214" s="13">
        <v>-3.5106203924811882E-2</v>
      </c>
      <c r="J214" s="13">
        <v>0.51304440277150021</v>
      </c>
      <c r="K214" s="13">
        <v>18.76600000000003</v>
      </c>
      <c r="L214" s="13">
        <v>1.3905379123549331</v>
      </c>
      <c r="M214" s="13">
        <v>0.68836216939239847</v>
      </c>
      <c r="N214" s="19">
        <f>(F214-Settings!$D$18)/Settings!$E$18</f>
        <v>-4.1805453434072257E-2</v>
      </c>
      <c r="O214" s="19">
        <f>(G214-Settings!$D$19)/Settings!$E$19</f>
        <v>-1.0031633369539776</v>
      </c>
      <c r="P214" s="19">
        <f>(H214-Settings!$D$20)/Settings!$E$20</f>
        <v>-0.26593064858785509</v>
      </c>
      <c r="Q214" s="19">
        <f>(I214-Settings!$D$21)/Settings!$E$21</f>
        <v>-0.39550266199266909</v>
      </c>
      <c r="R214" s="19">
        <f>(J214-Settings!$D$22)/Settings!$E$22</f>
        <v>0.71348781319503074</v>
      </c>
      <c r="S214" s="19">
        <f>(K214-Settings!$D$23)/Settings!$E$23</f>
        <v>1.2192160571774988</v>
      </c>
      <c r="T214" s="19">
        <f>(L214-Settings!$D$24)/Settings!$E$24</f>
        <v>5.6877747142071791E-2</v>
      </c>
      <c r="U214" s="19">
        <f>(M214-Settings!$D$25)/Settings!$E$25</f>
        <v>0.50020937168863555</v>
      </c>
      <c r="V214" s="31">
        <f>Settings!$B$18*(N214-F$6)^2</f>
        <v>2.51619020156745E-2</v>
      </c>
      <c r="W214" s="31">
        <f>Settings!$B$19*(O214-G$6)^2</f>
        <v>2.883597727433377E-2</v>
      </c>
      <c r="X214" s="31">
        <f>Settings!$B$20*(P214-H$6)^2</f>
        <v>1.0428069412176011</v>
      </c>
      <c r="Y214" s="31">
        <f>Settings!$B$21*(Q214-I$6)^2</f>
        <v>3.7225893236959483E-2</v>
      </c>
      <c r="Z214" s="31">
        <f>Settings!$B$22*(R214-J$6)^2</f>
        <v>7.3236507571132647E-2</v>
      </c>
      <c r="AA214" s="31">
        <f>Settings!$B$23*(S214-K$6)^2</f>
        <v>0.9981585531488989</v>
      </c>
      <c r="AB214" s="31">
        <f>Settings!$B$24*(T214-L$6)^2</f>
        <v>0.40959930804043265</v>
      </c>
      <c r="AC214" s="31">
        <f>Settings!$B$25*(U214-M$6)^2</f>
        <v>4.3442878334439134</v>
      </c>
      <c r="AD214" s="19">
        <f t="shared" si="12"/>
        <v>2.6380509691719278</v>
      </c>
      <c r="AE214" s="15">
        <f t="shared" si="13"/>
        <v>1.0441884003861128</v>
      </c>
      <c r="AF214" s="33">
        <f t="shared" si="14"/>
        <v>0.57974628676882145</v>
      </c>
      <c r="AG214" s="47">
        <f t="shared" si="15"/>
        <v>2.5005343533128712E-3</v>
      </c>
      <c r="AH214" s="18">
        <v>0.18652934441292171</v>
      </c>
      <c r="AI214" s="46">
        <v>1</v>
      </c>
      <c r="AJ214" s="18">
        <v>0.20971242821218919</v>
      </c>
      <c r="AK214" s="46">
        <v>1</v>
      </c>
      <c r="AL214" s="18">
        <v>-0.48111072868240701</v>
      </c>
      <c r="AM214" s="46">
        <v>1</v>
      </c>
    </row>
    <row r="215" spans="1:39" ht="20" customHeight="1" x14ac:dyDescent="0.45">
      <c r="A215" s="26">
        <v>205</v>
      </c>
      <c r="B215" s="16" t="s">
        <v>240</v>
      </c>
      <c r="C215" s="16" t="s">
        <v>232</v>
      </c>
      <c r="D215" s="46">
        <v>28</v>
      </c>
      <c r="E215" s="46">
        <v>0</v>
      </c>
      <c r="F215" s="13">
        <v>0.22134910315863349</v>
      </c>
      <c r="G215" s="13">
        <v>-0.30950688820908417</v>
      </c>
      <c r="H215" s="13">
        <v>0.1766114643667511</v>
      </c>
      <c r="I215" s="13">
        <v>-3.134540236551085E-5</v>
      </c>
      <c r="J215" s="13">
        <v>0.2925011988631655</v>
      </c>
      <c r="K215" s="13">
        <v>18.09563008130079</v>
      </c>
      <c r="L215" s="13">
        <v>1.324422245809485</v>
      </c>
      <c r="M215" s="13">
        <v>1.13360002044789</v>
      </c>
      <c r="N215" s="19">
        <f>(F215-Settings!$D$18)/Settings!$E$18</f>
        <v>0.10388457379820212</v>
      </c>
      <c r="O215" s="19">
        <f>(G215-Settings!$D$19)/Settings!$E$19</f>
        <v>-1.2617741580771262</v>
      </c>
      <c r="P215" s="19">
        <f>(H215-Settings!$D$20)/Settings!$E$20</f>
        <v>1.1187912184492481</v>
      </c>
      <c r="Q215" s="19">
        <f>(I215-Settings!$D$21)/Settings!$E$21</f>
        <v>3.5823660359638361E-2</v>
      </c>
      <c r="R215" s="19">
        <f>(J215-Settings!$D$22)/Settings!$E$22</f>
        <v>0.12010593977662647</v>
      </c>
      <c r="S215" s="19">
        <f>(K215-Settings!$D$23)/Settings!$E$23</f>
        <v>0.98641200374587357</v>
      </c>
      <c r="T215" s="19">
        <f>(L215-Settings!$D$24)/Settings!$E$24</f>
        <v>1.1168370439181362E-2</v>
      </c>
      <c r="U215" s="19">
        <f>(M215-Settings!$D$25)/Settings!$E$25</f>
        <v>0.80048273727823904</v>
      </c>
      <c r="V215" s="31">
        <f>Settings!$B$18*(N215-F$6)^2</f>
        <v>8.7367296962349156E-3</v>
      </c>
      <c r="W215" s="31">
        <f>Settings!$B$19*(O215-G$6)^2</f>
        <v>8.1490762142607809E-2</v>
      </c>
      <c r="X215" s="31">
        <f>Settings!$B$20*(P215-H$6)^2</f>
        <v>0.16153385588498329</v>
      </c>
      <c r="Y215" s="31">
        <f>Settings!$B$21*(Q215-I$6)^2</f>
        <v>2.0370039510559609E-9</v>
      </c>
      <c r="Z215" s="31">
        <f>Settings!$B$22*(R215-J$6)^2</f>
        <v>2.760455357832066E-5</v>
      </c>
      <c r="AA215" s="31">
        <f>Settings!$B$23*(S215-K$6)^2</f>
        <v>0.58717706740823661</v>
      </c>
      <c r="AB215" s="31">
        <f>Settings!$B$24*(T215-L$6)^2</f>
        <v>0.47019660791830248</v>
      </c>
      <c r="AC215" s="31">
        <f>Settings!$B$25*(U215-M$6)^2</f>
        <v>5.6861687915753638</v>
      </c>
      <c r="AD215" s="19">
        <f t="shared" si="12"/>
        <v>2.6448688854490143</v>
      </c>
      <c r="AE215" s="15">
        <f t="shared" si="13"/>
        <v>1.0468870552546246</v>
      </c>
      <c r="AF215" s="33">
        <f t="shared" si="14"/>
        <v>0.57811281179984064</v>
      </c>
      <c r="AG215" s="47">
        <f t="shared" si="15"/>
        <v>2.4934889260830079E-3</v>
      </c>
      <c r="AH215" s="18">
        <v>0.1045643570214521</v>
      </c>
      <c r="AI215" s="46">
        <v>0</v>
      </c>
      <c r="AJ215" s="18">
        <v>0.470719407376885</v>
      </c>
      <c r="AK215" s="46">
        <v>0</v>
      </c>
      <c r="AL215" s="18">
        <v>0.28731504365966809</v>
      </c>
      <c r="AM215" s="46">
        <v>0</v>
      </c>
    </row>
    <row r="216" spans="1:39" ht="20" customHeight="1" x14ac:dyDescent="0.45">
      <c r="A216" s="26">
        <v>206</v>
      </c>
      <c r="B216" s="16" t="s">
        <v>464</v>
      </c>
      <c r="C216" s="16" t="s">
        <v>232</v>
      </c>
      <c r="D216" s="46">
        <v>28</v>
      </c>
      <c r="E216" s="46">
        <v>0</v>
      </c>
      <c r="F216" s="13">
        <v>0.1042731911689382</v>
      </c>
      <c r="G216" s="13">
        <v>-0.1441779419867659</v>
      </c>
      <c r="H216" s="13">
        <v>5.6609443353524233E-2</v>
      </c>
      <c r="I216" s="13">
        <v>4.4412286279417137E-2</v>
      </c>
      <c r="J216" s="13">
        <v>-0.65052713721135458</v>
      </c>
      <c r="K216" s="13">
        <v>14.994800000000019</v>
      </c>
      <c r="L216" s="13">
        <v>-0.71525533890243254</v>
      </c>
      <c r="M216" s="13">
        <v>-1.575816582788826</v>
      </c>
      <c r="N216" s="19">
        <f>(F216-Settings!$D$18)/Settings!$E$18</f>
        <v>-0.31512281689398236</v>
      </c>
      <c r="O216" s="19">
        <f>(G216-Settings!$D$19)/Settings!$E$19</f>
        <v>-0.5729926959007553</v>
      </c>
      <c r="P216" s="19">
        <f>(H216-Settings!$D$20)/Settings!$E$20</f>
        <v>3.1549831900354361E-2</v>
      </c>
      <c r="Q216" s="19">
        <f>(I216-Settings!$D$21)/Settings!$E$21</f>
        <v>0.5823606675728259</v>
      </c>
      <c r="R216" s="19">
        <f>(J216-Settings!$D$22)/Settings!$E$22</f>
        <v>-2.4171561967574839</v>
      </c>
      <c r="S216" s="19">
        <f>(K216-Settings!$D$23)/Settings!$E$23</f>
        <v>-9.0434960584289889E-2</v>
      </c>
      <c r="T216" s="19">
        <f>(L216-Settings!$D$24)/Settings!$E$24</f>
        <v>-1.3989723109370025</v>
      </c>
      <c r="U216" s="19">
        <f>(M216-Settings!$D$25)/Settings!$E$25</f>
        <v>-1.0267779960794077</v>
      </c>
      <c r="V216" s="31">
        <f>Settings!$B$18*(N216-F$6)^2</f>
        <v>7.8880248178572338E-2</v>
      </c>
      <c r="W216" s="31">
        <f>Settings!$B$19*(O216-G$6)^2</f>
        <v>5.0924988303577019E-4</v>
      </c>
      <c r="X216" s="31">
        <f>Settings!$B$20*(P216-H$6)^2</f>
        <v>0.78879599236955056</v>
      </c>
      <c r="Y216" s="31">
        <f>Settings!$B$21*(Q216-I$6)^2</f>
        <v>5.9718479294044384E-2</v>
      </c>
      <c r="Z216" s="31">
        <f>Settings!$B$22*(R216-J$6)^2</f>
        <v>1.2756440184613398</v>
      </c>
      <c r="AA216" s="31">
        <f>Settings!$B$23*(S216-K$6)^2</f>
        <v>9.6455069948491665E-2</v>
      </c>
      <c r="AB216" s="31">
        <f>Settings!$B$24*(T216-L$6)^2</f>
        <v>4.3925851999439258</v>
      </c>
      <c r="AC216" s="31">
        <f>Settings!$B$25*(U216-M$6)^2</f>
        <v>0.31059238155814839</v>
      </c>
      <c r="AD216" s="19">
        <f t="shared" si="12"/>
        <v>2.6463523271924903</v>
      </c>
      <c r="AE216" s="15">
        <f t="shared" si="13"/>
        <v>1.0474742283908858</v>
      </c>
      <c r="AF216" s="33">
        <f t="shared" si="14"/>
        <v>0.5777574531710391</v>
      </c>
      <c r="AG216" s="47">
        <f t="shared" si="15"/>
        <v>2.49195620999781E-3</v>
      </c>
      <c r="AH216" s="48"/>
      <c r="AI216" s="48"/>
      <c r="AJ216" s="48"/>
      <c r="AK216" s="48"/>
      <c r="AL216" s="48"/>
      <c r="AM216" s="48"/>
    </row>
    <row r="217" spans="1:39" ht="20" customHeight="1" x14ac:dyDescent="0.45">
      <c r="A217" s="26">
        <v>207</v>
      </c>
      <c r="B217" s="16" t="s">
        <v>663</v>
      </c>
      <c r="C217" s="16" t="s">
        <v>216</v>
      </c>
      <c r="D217" s="46">
        <v>28</v>
      </c>
      <c r="E217" s="46">
        <v>1</v>
      </c>
      <c r="F217" s="13">
        <v>-0.28689990027150591</v>
      </c>
      <c r="G217" s="13">
        <v>-7.0964646060510103E-2</v>
      </c>
      <c r="H217" s="13">
        <v>-2.7790781006038271E-2</v>
      </c>
      <c r="I217" s="13">
        <v>5.7706633637402853E-2</v>
      </c>
      <c r="J217" s="13">
        <v>0.55663803902454279</v>
      </c>
      <c r="K217" s="13">
        <v>12.96085011185682</v>
      </c>
      <c r="L217" s="13">
        <v>0.50905818572228434</v>
      </c>
      <c r="M217" s="13">
        <v>-0.33057834880752762</v>
      </c>
      <c r="N217" s="19">
        <f>(F217-Settings!$D$18)/Settings!$E$18</f>
        <v>-1.7151069260750598</v>
      </c>
      <c r="O217" s="19">
        <f>(G217-Settings!$D$19)/Settings!$E$19</f>
        <v>-0.26797677357686184</v>
      </c>
      <c r="P217" s="19">
        <f>(H217-Settings!$D$20)/Settings!$E$20</f>
        <v>-0.73313243080598878</v>
      </c>
      <c r="Q217" s="19">
        <f>(I217-Settings!$D$21)/Settings!$E$21</f>
        <v>0.74584534564570981</v>
      </c>
      <c r="R217" s="19">
        <f>(J217-Settings!$D$22)/Settings!$E$22</f>
        <v>0.83077854394773332</v>
      </c>
      <c r="S217" s="19">
        <f>(K217-Settings!$D$23)/Settings!$E$23</f>
        <v>-0.79677897338743209</v>
      </c>
      <c r="T217" s="19">
        <f>(L217-Settings!$D$24)/Settings!$E$24</f>
        <v>-0.55253740339438784</v>
      </c>
      <c r="U217" s="19">
        <f>(M217-Settings!$D$25)/Settings!$E$25</f>
        <v>-0.18697546223819408</v>
      </c>
      <c r="V217" s="31">
        <f>Settings!$B$18*(N217-F$6)^2</f>
        <v>0.82255504444780014</v>
      </c>
      <c r="W217" s="31">
        <f>Settings!$B$19*(O217-G$6)^2</f>
        <v>2.5272679549606908E-2</v>
      </c>
      <c r="X217" s="31">
        <f>Settings!$B$20*(P217-H$6)^2</f>
        <v>1.5131907377053133</v>
      </c>
      <c r="Y217" s="31">
        <f>Settings!$B$21*(Q217-I$6)^2</f>
        <v>0.10079749835298009</v>
      </c>
      <c r="Z217" s="31">
        <f>Settings!$B$22*(R217-J$6)^2</f>
        <v>0.10437839520083428</v>
      </c>
      <c r="AA217" s="31">
        <f>Settings!$B$23*(S217-K$6)^2</f>
        <v>1.0341185135804996</v>
      </c>
      <c r="AB217" s="31">
        <f>Settings!$B$24*(T217-L$6)^2</f>
        <v>1.5610368675385675</v>
      </c>
      <c r="AC217" s="31">
        <f>Settings!$B$25*(U217-M$6)^2</f>
        <v>1.9519182817092713</v>
      </c>
      <c r="AD217" s="19">
        <f t="shared" si="12"/>
        <v>2.6670710560622251</v>
      </c>
      <c r="AE217" s="15">
        <f t="shared" si="13"/>
        <v>1.055675076899629</v>
      </c>
      <c r="AF217" s="33">
        <f t="shared" si="14"/>
        <v>0.57279640817846367</v>
      </c>
      <c r="AG217" s="47">
        <f t="shared" si="15"/>
        <v>2.4705584646126594E-3</v>
      </c>
      <c r="AH217" s="18">
        <v>-0.73075308557519625</v>
      </c>
      <c r="AI217" s="46">
        <v>1</v>
      </c>
      <c r="AJ217" s="18">
        <v>-0.23832513091592419</v>
      </c>
      <c r="AK217" s="46">
        <v>1</v>
      </c>
      <c r="AL217" s="48"/>
      <c r="AM217" s="48"/>
    </row>
    <row r="218" spans="1:39" ht="20" customHeight="1" x14ac:dyDescent="0.45">
      <c r="A218" s="26">
        <v>208</v>
      </c>
      <c r="B218" s="16" t="s">
        <v>579</v>
      </c>
      <c r="C218" s="16" t="s">
        <v>224</v>
      </c>
      <c r="D218" s="46">
        <v>28</v>
      </c>
      <c r="E218" s="46">
        <v>0</v>
      </c>
      <c r="F218" s="13">
        <v>0.28352615715440632</v>
      </c>
      <c r="G218" s="13">
        <v>-0.20713893577290621</v>
      </c>
      <c r="H218" s="13">
        <v>4.0627496277037607E-2</v>
      </c>
      <c r="I218" s="13">
        <v>-1.8209883643769171E-4</v>
      </c>
      <c r="J218" s="13">
        <v>0.4685253119592121</v>
      </c>
      <c r="K218" s="13">
        <v>14.35904139433554</v>
      </c>
      <c r="L218" s="13">
        <v>1.398952716316527</v>
      </c>
      <c r="M218" s="13">
        <v>1.064832735478537</v>
      </c>
      <c r="N218" s="19">
        <f>(F218-Settings!$D$18)/Settings!$E$18</f>
        <v>0.32641237403424833</v>
      </c>
      <c r="O218" s="19">
        <f>(G218-Settings!$D$19)/Settings!$E$19</f>
        <v>-0.83529622078852817</v>
      </c>
      <c r="P218" s="19">
        <f>(H218-Settings!$D$20)/Settings!$E$20</f>
        <v>-0.11324968191179313</v>
      </c>
      <c r="Q218" s="19">
        <f>(I218-Settings!$D$21)/Settings!$E$21</f>
        <v>3.3969799017368879E-2</v>
      </c>
      <c r="R218" s="19">
        <f>(J218-Settings!$D$22)/Settings!$E$22</f>
        <v>0.59370710337973609</v>
      </c>
      <c r="S218" s="19">
        <f>(K218-Settings!$D$23)/Settings!$E$23</f>
        <v>-0.31121930110171109</v>
      </c>
      <c r="T218" s="19">
        <f>(L218-Settings!$D$24)/Settings!$E$24</f>
        <v>6.269536139688793E-2</v>
      </c>
      <c r="U218" s="19">
        <f>(M218-Settings!$D$25)/Settings!$E$25</f>
        <v>0.75410531439908357</v>
      </c>
      <c r="V218" s="31">
        <f>Settings!$B$18*(N218-F$6)^2</f>
        <v>3.6565999107522944E-5</v>
      </c>
      <c r="W218" s="31">
        <f>Settings!$B$19*(O218-G$6)^2</f>
        <v>8.9755040560318324E-3</v>
      </c>
      <c r="X218" s="31">
        <f>Settings!$B$20*(P218-H$6)^2</f>
        <v>0.90801495566497015</v>
      </c>
      <c r="Y218" s="31">
        <f>Settings!$B$21*(Q218-I$6)^2</f>
        <v>7.6423469077920104E-7</v>
      </c>
      <c r="Z218" s="31">
        <f>Settings!$B$22*(R218-J$6)^2</f>
        <v>4.7112822140407337E-2</v>
      </c>
      <c r="AA218" s="31">
        <f>Settings!$B$23*(S218-K$6)^2</f>
        <v>0.2823397364273868</v>
      </c>
      <c r="AB218" s="31">
        <f>Settings!$B$24*(T218-L$6)^2</f>
        <v>0.40218661271981648</v>
      </c>
      <c r="AC218" s="31">
        <f>Settings!$B$25*(U218-M$6)^2</f>
        <v>5.4671393373281001</v>
      </c>
      <c r="AD218" s="19">
        <f t="shared" si="12"/>
        <v>2.6675468690485107</v>
      </c>
      <c r="AE218" s="15">
        <f t="shared" si="13"/>
        <v>1.0558634123058961</v>
      </c>
      <c r="AF218" s="33">
        <f t="shared" si="14"/>
        <v>0.57268252539086772</v>
      </c>
      <c r="AG218" s="47">
        <f t="shared" si="15"/>
        <v>2.4700672707419374E-3</v>
      </c>
      <c r="AH218" s="18">
        <v>-0.50065126161064699</v>
      </c>
      <c r="AI218" s="46">
        <v>0</v>
      </c>
      <c r="AJ218" s="18">
        <v>-0.91549368807579623</v>
      </c>
      <c r="AK218" s="46">
        <v>0</v>
      </c>
      <c r="AL218" s="18">
        <v>0.5165209273384086</v>
      </c>
      <c r="AM218" s="46">
        <v>1</v>
      </c>
    </row>
    <row r="219" spans="1:39" ht="20" customHeight="1" x14ac:dyDescent="0.45">
      <c r="A219" s="26">
        <v>209</v>
      </c>
      <c r="B219" s="16" t="s">
        <v>421</v>
      </c>
      <c r="C219" s="16" t="s">
        <v>234</v>
      </c>
      <c r="D219" s="46">
        <v>28</v>
      </c>
      <c r="E219" s="46">
        <v>1</v>
      </c>
      <c r="F219" s="13">
        <v>0.47002241772981729</v>
      </c>
      <c r="G219" s="13">
        <v>-9.1293559516977221E-2</v>
      </c>
      <c r="H219" s="13">
        <v>-3.0023464008746521E-2</v>
      </c>
      <c r="I219" s="13">
        <v>5.5714061002584352E-2</v>
      </c>
      <c r="J219" s="13">
        <v>0.35294649774187459</v>
      </c>
      <c r="K219" s="13">
        <v>13.99353233830846</v>
      </c>
      <c r="L219" s="13">
        <v>0.81462008849580614</v>
      </c>
      <c r="M219" s="13">
        <v>0.51269798715602366</v>
      </c>
      <c r="N219" s="19">
        <f>(F219-Settings!$D$18)/Settings!$E$18</f>
        <v>0.99387086476486619</v>
      </c>
      <c r="O219" s="19">
        <f>(G219-Settings!$D$19)/Settings!$E$19</f>
        <v>-0.35266961808440234</v>
      </c>
      <c r="P219" s="19">
        <f>(H219-Settings!$D$20)/Settings!$E$20</f>
        <v>-0.75336096815138154</v>
      </c>
      <c r="Q219" s="19">
        <f>(I219-Settings!$D$21)/Settings!$E$21</f>
        <v>0.72134206714934468</v>
      </c>
      <c r="R219" s="19">
        <f>(J219-Settings!$D$22)/Settings!$E$22</f>
        <v>0.28273686220981731</v>
      </c>
      <c r="S219" s="19">
        <f>(K219-Settings!$D$23)/Settings!$E$23</f>
        <v>-0.43815218910208592</v>
      </c>
      <c r="T219" s="19">
        <f>(L219-Settings!$D$24)/Settings!$E$24</f>
        <v>-0.34128574626519737</v>
      </c>
      <c r="U219" s="19">
        <f>(M219-Settings!$D$25)/Settings!$E$25</f>
        <v>0.3817394907281158</v>
      </c>
      <c r="V219" s="31">
        <f>Settings!$B$18*(N219-F$6)^2</f>
        <v>9.2746739817822083E-2</v>
      </c>
      <c r="W219" s="31">
        <f>Settings!$B$19*(O219-G$6)^2</f>
        <v>1.4664735631672683E-2</v>
      </c>
      <c r="X219" s="31">
        <f>Settings!$B$20*(P219-H$6)^2</f>
        <v>1.5355290479002563</v>
      </c>
      <c r="Y219" s="31">
        <f>Settings!$B$21*(Q219-I$6)^2</f>
        <v>9.395942600394934E-2</v>
      </c>
      <c r="Z219" s="31">
        <f>Settings!$B$22*(R219-J$6)^2</f>
        <v>6.0816232815314696E-3</v>
      </c>
      <c r="AA219" s="31">
        <f>Settings!$B$23*(S219-K$6)^2</f>
        <v>0.4333449262024115</v>
      </c>
      <c r="AB219" s="31">
        <f>Settings!$B$24*(T219-L$6)^2</f>
        <v>1.0777823165947131</v>
      </c>
      <c r="AC219" s="31">
        <f>Settings!$B$25*(U219-M$6)^2</f>
        <v>3.8644704607909812</v>
      </c>
      <c r="AD219" s="19">
        <f t="shared" si="12"/>
        <v>2.6680665801706183</v>
      </c>
      <c r="AE219" s="15">
        <f t="shared" si="13"/>
        <v>1.0560691233901769</v>
      </c>
      <c r="AF219" s="33">
        <f t="shared" si="14"/>
        <v>0.57255813853188009</v>
      </c>
      <c r="AG219" s="47">
        <f t="shared" si="15"/>
        <v>2.4695307712056785E-3</v>
      </c>
      <c r="AH219" s="18">
        <v>-0.32577682208154002</v>
      </c>
      <c r="AI219" s="46">
        <v>1</v>
      </c>
      <c r="AJ219" s="48"/>
      <c r="AK219" s="48"/>
      <c r="AL219" s="48"/>
      <c r="AM219" s="48"/>
    </row>
    <row r="220" spans="1:39" ht="20" customHeight="1" x14ac:dyDescent="0.45">
      <c r="A220" s="26">
        <v>210</v>
      </c>
      <c r="B220" s="16" t="s">
        <v>420</v>
      </c>
      <c r="C220" s="16" t="s">
        <v>216</v>
      </c>
      <c r="D220" s="46">
        <v>28</v>
      </c>
      <c r="E220" s="46">
        <v>1</v>
      </c>
      <c r="F220" s="13">
        <v>-0.237564559955355</v>
      </c>
      <c r="G220" s="13">
        <v>-0.42733397768536541</v>
      </c>
      <c r="H220" s="13">
        <v>-3.3585884846901337E-2</v>
      </c>
      <c r="I220" s="13">
        <v>-2.2342928684180281E-4</v>
      </c>
      <c r="J220" s="13">
        <v>0.30129214822553663</v>
      </c>
      <c r="K220" s="13">
        <v>13.323440860215049</v>
      </c>
      <c r="L220" s="13">
        <v>-0.41542396116742197</v>
      </c>
      <c r="M220" s="13">
        <v>-1.6560715522495519</v>
      </c>
      <c r="N220" s="19">
        <f>(F220-Settings!$D$18)/Settings!$E$18</f>
        <v>-1.5385388185671649</v>
      </c>
      <c r="O220" s="19">
        <f>(G220-Settings!$D$19)/Settings!$E$19</f>
        <v>-1.7526568306390555</v>
      </c>
      <c r="P220" s="19">
        <f>(H220-Settings!$D$20)/Settings!$E$20</f>
        <v>-0.78563718599207277</v>
      </c>
      <c r="Q220" s="19">
        <f>(I220-Settings!$D$21)/Settings!$E$21</f>
        <v>3.3461545757770945E-2</v>
      </c>
      <c r="R220" s="19">
        <f>(J220-Settings!$D$22)/Settings!$E$22</f>
        <v>0.14375840291912353</v>
      </c>
      <c r="S220" s="19">
        <f>(K220-Settings!$D$23)/Settings!$E$23</f>
        <v>-0.67085954651578306</v>
      </c>
      <c r="T220" s="19">
        <f>(L220-Settings!$D$24)/Settings!$E$24</f>
        <v>-1.1916824792173857</v>
      </c>
      <c r="U220" s="19">
        <f>(M220-Settings!$D$25)/Settings!$E$25</f>
        <v>-1.0809028413236623</v>
      </c>
      <c r="V220" s="31">
        <f>Settings!$B$18*(N220-F$6)^2</f>
        <v>0.68555840780266231</v>
      </c>
      <c r="W220" s="31">
        <f>Settings!$B$19*(O220-G$6)^2</f>
        <v>0.25502022633551974</v>
      </c>
      <c r="X220" s="31">
        <f>Settings!$B$20*(P220-H$6)^2</f>
        <v>1.5715105047732174</v>
      </c>
      <c r="Y220" s="31">
        <f>Settings!$B$21*(Q220-I$6)^2</f>
        <v>1.2133087361710751E-6</v>
      </c>
      <c r="Z220" s="31">
        <f>Settings!$B$22*(R220-J$6)^2</f>
        <v>2.5064293578564361E-4</v>
      </c>
      <c r="AA220" s="31">
        <f>Settings!$B$23*(S220-K$6)^2</f>
        <v>0.79387521096144242</v>
      </c>
      <c r="AB220" s="31">
        <f>Settings!$B$24*(T220-L$6)^2</f>
        <v>3.5666576866998829</v>
      </c>
      <c r="AC220" s="31">
        <f>Settings!$B$25*(U220-M$6)^2</f>
        <v>0.25319344495808399</v>
      </c>
      <c r="AD220" s="19">
        <f t="shared" si="12"/>
        <v>2.6694694862042025</v>
      </c>
      <c r="AE220" s="15">
        <f t="shared" si="13"/>
        <v>1.0566244190323837</v>
      </c>
      <c r="AF220" s="33">
        <f t="shared" si="14"/>
        <v>0.57222238313846585</v>
      </c>
      <c r="AG220" s="47">
        <f t="shared" si="15"/>
        <v>2.4680826068712047E-3</v>
      </c>
      <c r="AH220" s="48"/>
      <c r="AI220" s="48"/>
      <c r="AJ220" s="48"/>
      <c r="AK220" s="48"/>
      <c r="AL220" s="48"/>
      <c r="AM220" s="48"/>
    </row>
    <row r="221" spans="1:39" ht="20" customHeight="1" x14ac:dyDescent="0.45">
      <c r="A221" s="26">
        <v>211</v>
      </c>
      <c r="B221" s="16" t="s">
        <v>316</v>
      </c>
      <c r="C221" s="16" t="s">
        <v>210</v>
      </c>
      <c r="D221" s="46">
        <v>28</v>
      </c>
      <c r="E221" s="46">
        <v>0</v>
      </c>
      <c r="F221" s="13">
        <v>0.20896319817863071</v>
      </c>
      <c r="G221" s="13">
        <v>-2.3994200502346831E-2</v>
      </c>
      <c r="H221" s="13">
        <v>0.2158213020912631</v>
      </c>
      <c r="I221" s="13">
        <v>-9.5621403289870996E-2</v>
      </c>
      <c r="J221" s="13">
        <v>0.45559989593788819</v>
      </c>
      <c r="K221" s="13">
        <v>19.69345991561184</v>
      </c>
      <c r="L221" s="13">
        <v>1.718695395840738</v>
      </c>
      <c r="M221" s="13">
        <v>0.83657970424326389</v>
      </c>
      <c r="N221" s="19">
        <f>(F221-Settings!$D$18)/Settings!$E$18</f>
        <v>5.9556191991626165E-2</v>
      </c>
      <c r="O221" s="19">
        <f>(G221-Settings!$D$19)/Settings!$E$19</f>
        <v>-7.2291910702801054E-2</v>
      </c>
      <c r="P221" s="19">
        <f>(H221-Settings!$D$20)/Settings!$E$20</f>
        <v>1.4740398882133741</v>
      </c>
      <c r="Q221" s="19">
        <f>(I221-Settings!$D$21)/Settings!$E$21</f>
        <v>-1.1396766797394158</v>
      </c>
      <c r="R221" s="19">
        <f>(J221-Settings!$D$22)/Settings!$E$22</f>
        <v>0.55893066303821815</v>
      </c>
      <c r="S221" s="19">
        <f>(K221-Settings!$D$23)/Settings!$E$23</f>
        <v>1.5413015531507341</v>
      </c>
      <c r="T221" s="19">
        <f>(L221-Settings!$D$24)/Settings!$E$24</f>
        <v>0.28375096515938164</v>
      </c>
      <c r="U221" s="19">
        <f>(M221-Settings!$D$25)/Settings!$E$25</f>
        <v>0.60016892796525767</v>
      </c>
      <c r="V221" s="31">
        <f>Settings!$B$18*(N221-F$6)^2</f>
        <v>1.2835695847537765E-2</v>
      </c>
      <c r="W221" s="31">
        <f>Settings!$B$19*(O221-G$6)^2</f>
        <v>6.0755724836698589E-2</v>
      </c>
      <c r="X221" s="31">
        <f>Settings!$B$20*(P221-H$6)^2</f>
        <v>5.9068787546053526E-2</v>
      </c>
      <c r="Y221" s="31">
        <f>Settings!$B$21*(Q221-I$6)^2</f>
        <v>0.27640766495317276</v>
      </c>
      <c r="Z221" s="31">
        <f>Settings!$B$22*(R221-J$6)^2</f>
        <v>4.0603211507373976E-2</v>
      </c>
      <c r="AA221" s="31">
        <f>Settings!$B$23*(S221-K$6)^2</f>
        <v>1.7454752351956018</v>
      </c>
      <c r="AB221" s="31">
        <f>Settings!$B$24*(T221-L$6)^2</f>
        <v>0.17067329132424353</v>
      </c>
      <c r="AC221" s="31">
        <f>Settings!$B$25*(U221-M$6)^2</f>
        <v>4.7709702578913431</v>
      </c>
      <c r="AD221" s="19">
        <f t="shared" si="12"/>
        <v>2.6714770949985751</v>
      </c>
      <c r="AE221" s="15">
        <f t="shared" si="13"/>
        <v>1.0574190669903247</v>
      </c>
      <c r="AF221" s="33">
        <f t="shared" si="14"/>
        <v>0.5717419409328911</v>
      </c>
      <c r="AG221" s="47">
        <f t="shared" si="15"/>
        <v>2.4660103861994399E-3</v>
      </c>
      <c r="AH221" s="18">
        <v>-0.40428124256804582</v>
      </c>
      <c r="AI221" s="46">
        <v>0</v>
      </c>
      <c r="AJ221" s="18">
        <v>-0.3273764526706836</v>
      </c>
      <c r="AK221" s="46">
        <v>0</v>
      </c>
      <c r="AL221" s="18">
        <v>0.39756264238976552</v>
      </c>
      <c r="AM221" s="46">
        <v>0</v>
      </c>
    </row>
    <row r="222" spans="1:39" ht="20" customHeight="1" x14ac:dyDescent="0.45">
      <c r="A222" s="26">
        <v>212</v>
      </c>
      <c r="B222" s="16" t="s">
        <v>541</v>
      </c>
      <c r="C222" s="16" t="s">
        <v>246</v>
      </c>
      <c r="D222" s="46">
        <v>28</v>
      </c>
      <c r="E222" s="46">
        <v>1</v>
      </c>
      <c r="F222" s="13">
        <v>-8.1316248846032529E-2</v>
      </c>
      <c r="G222" s="13">
        <v>-0.26641445492467869</v>
      </c>
      <c r="H222" s="13">
        <v>1.310704338348365E-2</v>
      </c>
      <c r="I222" s="13">
        <v>-9.119918636923223E-2</v>
      </c>
      <c r="J222" s="13">
        <v>0.54796306647657278</v>
      </c>
      <c r="K222" s="13">
        <v>14.92916666666663</v>
      </c>
      <c r="L222" s="13">
        <v>0.1547702284892947</v>
      </c>
      <c r="M222" s="13">
        <v>0.16493175354503861</v>
      </c>
      <c r="N222" s="19">
        <f>(F222-Settings!$D$18)/Settings!$E$18</f>
        <v>-0.97933585336848006</v>
      </c>
      <c r="O222" s="19">
        <f>(G222-Settings!$D$19)/Settings!$E$19</f>
        <v>-1.0822455886125992</v>
      </c>
      <c r="P222" s="19">
        <f>(H222-Settings!$D$20)/Settings!$E$20</f>
        <v>-0.36259027726012588</v>
      </c>
      <c r="Q222" s="19">
        <f>(I222-Settings!$D$21)/Settings!$E$21</f>
        <v>-1.0852953182350609</v>
      </c>
      <c r="R222" s="19">
        <f>(J222-Settings!$D$22)/Settings!$E$22</f>
        <v>0.8074381218846387</v>
      </c>
      <c r="S222" s="19">
        <f>(K222-Settings!$D$23)/Settings!$E$23</f>
        <v>-0.11322790760358663</v>
      </c>
      <c r="T222" s="19">
        <f>(L222-Settings!$D$24)/Settings!$E$24</f>
        <v>-0.7974760472077761</v>
      </c>
      <c r="U222" s="19">
        <f>(M222-Settings!$D$25)/Settings!$E$25</f>
        <v>0.14720206953349249</v>
      </c>
      <c r="V222" s="31">
        <f>Settings!$B$18*(N222-F$6)^2</f>
        <v>0.33397000148022904</v>
      </c>
      <c r="W222" s="31">
        <f>Settings!$B$19*(O222-G$6)^2</f>
        <v>4.2098114916157822E-2</v>
      </c>
      <c r="X222" s="31">
        <f>Settings!$B$20*(P222-H$6)^2</f>
        <v>1.1329616051442453</v>
      </c>
      <c r="Y222" s="31">
        <f>Settings!$B$21*(Q222-I$6)^2</f>
        <v>0.25142681258613486</v>
      </c>
      <c r="Z222" s="31">
        <f>Settings!$B$22*(R222-J$6)^2</f>
        <v>9.7742706651599551E-2</v>
      </c>
      <c r="AA222" s="31">
        <f>Settings!$B$23*(S222-K$6)^2</f>
        <v>0.11113229820757671</v>
      </c>
      <c r="AB222" s="31">
        <f>Settings!$B$24*(T222-L$6)^2</f>
        <v>2.2330916470117645</v>
      </c>
      <c r="AC222" s="31">
        <f>Settings!$B$25*(U222-M$6)^2</f>
        <v>2.997358908824352</v>
      </c>
      <c r="AD222" s="19">
        <f t="shared" si="12"/>
        <v>2.6832409684599816</v>
      </c>
      <c r="AE222" s="15">
        <f t="shared" si="13"/>
        <v>1.0620754213805763</v>
      </c>
      <c r="AF222" s="33">
        <f t="shared" si="14"/>
        <v>0.56892759623058287</v>
      </c>
      <c r="AG222" s="47">
        <f t="shared" si="15"/>
        <v>2.4538716873051219E-3</v>
      </c>
      <c r="AH222" s="18">
        <v>-0.13839949461091269</v>
      </c>
      <c r="AI222" s="46">
        <v>1</v>
      </c>
      <c r="AJ222" s="48"/>
      <c r="AK222" s="48"/>
      <c r="AL222" s="48"/>
      <c r="AM222" s="48"/>
    </row>
    <row r="223" spans="1:39" ht="20" customHeight="1" x14ac:dyDescent="0.45">
      <c r="A223" s="26">
        <v>213</v>
      </c>
      <c r="B223" s="16" t="s">
        <v>415</v>
      </c>
      <c r="C223" s="16" t="s">
        <v>227</v>
      </c>
      <c r="D223" s="46">
        <v>28</v>
      </c>
      <c r="E223" s="46">
        <v>0</v>
      </c>
      <c r="F223" s="13">
        <v>0.27389314412510579</v>
      </c>
      <c r="G223" s="13">
        <v>-6.6249729792495826E-2</v>
      </c>
      <c r="H223" s="13">
        <v>0.2078668033776728</v>
      </c>
      <c r="I223" s="13">
        <v>2.096084239682125E-4</v>
      </c>
      <c r="J223" s="13">
        <v>0.45178071428075739</v>
      </c>
      <c r="K223" s="13">
        <v>19.22596899224806</v>
      </c>
      <c r="L223" s="13">
        <v>4.0383162686657839</v>
      </c>
      <c r="M223" s="13">
        <v>0.68543953419042047</v>
      </c>
      <c r="N223" s="19">
        <f>(F223-Settings!$D$18)/Settings!$E$18</f>
        <v>0.29193642090849947</v>
      </c>
      <c r="O223" s="19">
        <f>(G223-Settings!$D$19)/Settings!$E$19</f>
        <v>-0.24833383145857696</v>
      </c>
      <c r="P223" s="19">
        <f>(H223-Settings!$D$20)/Settings!$E$20</f>
        <v>1.4019706002326988</v>
      </c>
      <c r="Q223" s="19">
        <f>(I223-Settings!$D$21)/Settings!$E$21</f>
        <v>3.8786743666239049E-2</v>
      </c>
      <c r="R223" s="19">
        <f>(J223-Settings!$D$22)/Settings!$E$22</f>
        <v>0.5486549749804015</v>
      </c>
      <c r="S223" s="19">
        <f>(K223-Settings!$D$23)/Settings!$E$23</f>
        <v>1.3789527083326998</v>
      </c>
      <c r="T223" s="19">
        <f>(L223-Settings!$D$24)/Settings!$E$24</f>
        <v>1.8874317540532406</v>
      </c>
      <c r="U223" s="19">
        <f>(M223-Settings!$D$25)/Settings!$E$25</f>
        <v>0.49823831395756407</v>
      </c>
      <c r="V223" s="31">
        <f>Settings!$B$18*(N223-F$6)^2</f>
        <v>8.7818120785968797E-5</v>
      </c>
      <c r="W223" s="31">
        <f>Settings!$B$19*(O223-G$6)^2</f>
        <v>2.8142888715388878E-2</v>
      </c>
      <c r="X223" s="31">
        <f>Settings!$B$20*(P223-H$6)^2</f>
        <v>7.5774165892154313E-2</v>
      </c>
      <c r="Y223" s="31">
        <f>Settings!$B$21*(Q223-I$6)^2</f>
        <v>1.638394775438689E-6</v>
      </c>
      <c r="Z223" s="31">
        <f>Settings!$B$22*(R223-J$6)^2</f>
        <v>3.8772350289054541E-2</v>
      </c>
      <c r="AA223" s="31">
        <f>Settings!$B$23*(S223-K$6)^2</f>
        <v>1.3428533710896704</v>
      </c>
      <c r="AB223" s="31">
        <f>Settings!$B$24*(T223-L$6)^2</f>
        <v>1.417420130584381</v>
      </c>
      <c r="AC223" s="31">
        <f>Settings!$B$25*(U223-M$6)^2</f>
        <v>4.3360751848976919</v>
      </c>
      <c r="AD223" s="19">
        <f t="shared" si="12"/>
        <v>2.6905626824112279</v>
      </c>
      <c r="AE223" s="15">
        <f t="shared" si="13"/>
        <v>1.0649734885021664</v>
      </c>
      <c r="AF223" s="33">
        <f t="shared" si="14"/>
        <v>0.56717676691904573</v>
      </c>
      <c r="AG223" s="47">
        <f t="shared" si="15"/>
        <v>2.4463200928573395E-3</v>
      </c>
      <c r="AH223" s="18">
        <v>0.44538757045919031</v>
      </c>
      <c r="AI223" s="46">
        <v>0</v>
      </c>
      <c r="AJ223" s="18">
        <v>0.33541604755708843</v>
      </c>
      <c r="AK223" s="46">
        <v>0</v>
      </c>
      <c r="AL223" s="18">
        <v>-0.90861391392200641</v>
      </c>
      <c r="AM223" s="46">
        <v>0</v>
      </c>
    </row>
    <row r="224" spans="1:39" ht="20" customHeight="1" x14ac:dyDescent="0.45">
      <c r="A224" s="26">
        <v>214</v>
      </c>
      <c r="B224" s="16" t="s">
        <v>221</v>
      </c>
      <c r="C224" s="16" t="s">
        <v>214</v>
      </c>
      <c r="D224" s="46">
        <v>28</v>
      </c>
      <c r="E224" s="46">
        <v>1</v>
      </c>
      <c r="F224" s="13">
        <v>0.79189115652102804</v>
      </c>
      <c r="G224" s="13">
        <v>-1.375483505091308E-3</v>
      </c>
      <c r="H224" s="13">
        <v>7.5147136889238672E-2</v>
      </c>
      <c r="I224" s="13">
        <v>2.362727542931521E-4</v>
      </c>
      <c r="J224" s="13">
        <v>-0.13134995033034891</v>
      </c>
      <c r="K224" s="13">
        <v>19.396996996996961</v>
      </c>
      <c r="L224" s="13">
        <v>2.2196738111692622</v>
      </c>
      <c r="M224" s="13">
        <v>0.63267079651381342</v>
      </c>
      <c r="N224" s="19">
        <f>(F224-Settings!$D$18)/Settings!$E$18</f>
        <v>2.1458190161331854</v>
      </c>
      <c r="O224" s="19">
        <f>(G224-Settings!$D$19)/Settings!$E$19</f>
        <v>2.1940547205529126E-2</v>
      </c>
      <c r="P224" s="19">
        <f>(H224-Settings!$D$20)/Settings!$E$20</f>
        <v>0.19950490009847338</v>
      </c>
      <c r="Q224" s="19">
        <f>(I224-Settings!$D$21)/Settings!$E$21</f>
        <v>3.911464313672966E-2</v>
      </c>
      <c r="R224" s="19">
        <f>(J224-Settings!$D$22)/Settings!$E$22</f>
        <v>-1.0202855322885271</v>
      </c>
      <c r="S224" s="19">
        <f>(K224-Settings!$D$23)/Settings!$E$23</f>
        <v>1.4383468005275359</v>
      </c>
      <c r="T224" s="19">
        <f>(L224-Settings!$D$24)/Settings!$E$24</f>
        <v>0.63010474638500824</v>
      </c>
      <c r="U224" s="19">
        <f>(M224-Settings!$D$25)/Settings!$E$25</f>
        <v>0.46265048955650057</v>
      </c>
      <c r="V224" s="31">
        <f>Settings!$B$18*(N224-F$6)^2</f>
        <v>0.67192508861077505</v>
      </c>
      <c r="W224" s="31">
        <f>Settings!$B$19*(O224-G$6)^2</f>
        <v>8.330658438182123E-2</v>
      </c>
      <c r="X224" s="31">
        <f>Settings!$B$20*(P224-H$6)^2</f>
        <v>0.66101792127828918</v>
      </c>
      <c r="Y224" s="31">
        <f>Settings!$B$21*(Q224-I$6)^2</f>
        <v>2.0352990084157513E-6</v>
      </c>
      <c r="Z224" s="31">
        <f>Settings!$B$22*(R224-J$6)^2</f>
        <v>0.25476707783887775</v>
      </c>
      <c r="AA224" s="31">
        <f>Settings!$B$23*(S224-K$6)^2</f>
        <v>1.4840346189774956</v>
      </c>
      <c r="AB224" s="31">
        <f>Settings!$B$24*(T224-L$6)^2</f>
        <v>4.4585614362759526E-3</v>
      </c>
      <c r="AC224" s="31">
        <f>Settings!$B$25*(U224-M$6)^2</f>
        <v>4.1891308832045873</v>
      </c>
      <c r="AD224" s="19">
        <f t="shared" si="12"/>
        <v>2.7108380200644837</v>
      </c>
      <c r="AE224" s="15">
        <f t="shared" si="13"/>
        <v>1.0729988347289254</v>
      </c>
      <c r="AF224" s="33">
        <f t="shared" si="14"/>
        <v>0.56233177873093998</v>
      </c>
      <c r="AG224" s="47">
        <f t="shared" si="15"/>
        <v>2.425422918210002E-3</v>
      </c>
      <c r="AH224" s="48"/>
      <c r="AI224" s="48"/>
      <c r="AJ224" s="48"/>
      <c r="AK224" s="48"/>
      <c r="AL224" s="48"/>
      <c r="AM224" s="48"/>
    </row>
    <row r="225" spans="1:39" ht="20" customHeight="1" x14ac:dyDescent="0.45">
      <c r="A225" s="26">
        <v>215</v>
      </c>
      <c r="B225" s="16" t="s">
        <v>568</v>
      </c>
      <c r="C225" s="16" t="s">
        <v>260</v>
      </c>
      <c r="D225" s="46">
        <v>28</v>
      </c>
      <c r="E225" s="46">
        <v>1</v>
      </c>
      <c r="F225" s="13">
        <v>-0.27936922906939021</v>
      </c>
      <c r="G225" s="13">
        <v>-0.2346748412561426</v>
      </c>
      <c r="H225" s="13">
        <v>1.8021797583165689E-3</v>
      </c>
      <c r="I225" s="13">
        <v>-0.1591018886793191</v>
      </c>
      <c r="J225" s="13">
        <v>0.3250518612368315</v>
      </c>
      <c r="K225" s="13">
        <v>13.018128654970759</v>
      </c>
      <c r="L225" s="13">
        <v>-0.26236059396789119</v>
      </c>
      <c r="M225" s="13">
        <v>-1.495786546102146</v>
      </c>
      <c r="N225" s="19">
        <f>(F225-Settings!$D$18)/Settings!$E$18</f>
        <v>-1.6881551232922891</v>
      </c>
      <c r="O225" s="19">
        <f>(G225-Settings!$D$19)/Settings!$E$19</f>
        <v>-0.95001431265605873</v>
      </c>
      <c r="P225" s="19">
        <f>(H225-Settings!$D$20)/Settings!$E$20</f>
        <v>-0.46501451560872881</v>
      </c>
      <c r="Q225" s="19">
        <f>(I225-Settings!$D$21)/Settings!$E$21</f>
        <v>-1.920315731687338</v>
      </c>
      <c r="R225" s="19">
        <f>(J225-Settings!$D$22)/Settings!$E$22</f>
        <v>0.20768502939719738</v>
      </c>
      <c r="S225" s="19">
        <f>(K225-Settings!$D$23)/Settings!$E$23</f>
        <v>-0.77688745284089955</v>
      </c>
      <c r="T225" s="19">
        <f>(L225-Settings!$D$24)/Settings!$E$24</f>
        <v>-1.0858614011537346</v>
      </c>
      <c r="U225" s="19">
        <f>(M225-Settings!$D$25)/Settings!$E$25</f>
        <v>-0.97280484800315881</v>
      </c>
      <c r="V225" s="31">
        <f>Settings!$B$18*(N225-F$6)^2</f>
        <v>0.80083704529609134</v>
      </c>
      <c r="W225" s="31">
        <f>Settings!$B$19*(O225-G$6)^2</f>
        <v>2.1328448962133498E-2</v>
      </c>
      <c r="X225" s="31">
        <f>Settings!$B$20*(P225-H$6)^2</f>
        <v>1.2325711368186885</v>
      </c>
      <c r="Y225" s="31">
        <f>Settings!$B$21*(Q225-I$6)^2</f>
        <v>0.76537523236759364</v>
      </c>
      <c r="Z225" s="31">
        <f>Settings!$B$22*(R225-J$6)^2</f>
        <v>1.9731864293185035E-3</v>
      </c>
      <c r="AA225" s="31">
        <f>Settings!$B$23*(S225-K$6)^2</f>
        <v>0.99405816806274938</v>
      </c>
      <c r="AB225" s="31">
        <f>Settings!$B$24*(T225-L$6)^2</f>
        <v>3.1781569433918575</v>
      </c>
      <c r="AC225" s="31">
        <f>Settings!$B$25*(U225-M$6)^2</f>
        <v>0.37366483360602293</v>
      </c>
      <c r="AD225" s="19">
        <f t="shared" si="12"/>
        <v>2.7143995643483394</v>
      </c>
      <c r="AE225" s="15">
        <f t="shared" si="13"/>
        <v>1.0744085585258203</v>
      </c>
      <c r="AF225" s="33">
        <f t="shared" si="14"/>
        <v>0.56148126276951682</v>
      </c>
      <c r="AG225" s="47">
        <f t="shared" si="15"/>
        <v>2.4217545128607711E-3</v>
      </c>
      <c r="AH225" s="48"/>
      <c r="AI225" s="48"/>
      <c r="AJ225" s="48"/>
      <c r="AK225" s="48"/>
      <c r="AL225" s="48"/>
      <c r="AM225" s="48"/>
    </row>
    <row r="226" spans="1:39" ht="20" customHeight="1" x14ac:dyDescent="0.45">
      <c r="A226" s="26">
        <v>216</v>
      </c>
      <c r="B226" s="16" t="s">
        <v>398</v>
      </c>
      <c r="C226" s="16" t="s">
        <v>271</v>
      </c>
      <c r="D226" s="46">
        <v>28</v>
      </c>
      <c r="E226" s="46">
        <v>0</v>
      </c>
      <c r="F226" s="13">
        <v>0.1843675954699219</v>
      </c>
      <c r="G226" s="13">
        <v>-3.01129228451666E-2</v>
      </c>
      <c r="H226" s="13">
        <v>9.4970657887679041E-3</v>
      </c>
      <c r="I226" s="13">
        <v>1.6100971726250659E-3</v>
      </c>
      <c r="J226" s="13">
        <v>0.77441231872351857</v>
      </c>
      <c r="K226" s="13">
        <v>17.927096774193551</v>
      </c>
      <c r="L226" s="13">
        <v>2.8422502889980401</v>
      </c>
      <c r="M226" s="13">
        <v>0.98736868184963988</v>
      </c>
      <c r="N226" s="19">
        <f>(F226-Settings!$D$18)/Settings!$E$18</f>
        <v>-2.8469936853603637E-2</v>
      </c>
      <c r="O226" s="19">
        <f>(G226-Settings!$D$19)/Settings!$E$19</f>
        <v>-9.7783287852640441E-2</v>
      </c>
      <c r="P226" s="19">
        <f>(H226-Settings!$D$20)/Settings!$E$20</f>
        <v>-0.39529736846033636</v>
      </c>
      <c r="Q226" s="19">
        <f>(I226-Settings!$D$21)/Settings!$E$21</f>
        <v>5.6008984521961069E-2</v>
      </c>
      <c r="R226" s="19">
        <f>(J226-Settings!$D$22)/Settings!$E$22</f>
        <v>1.4167104964182862</v>
      </c>
      <c r="S226" s="19">
        <f>(K226-Settings!$D$23)/Settings!$E$23</f>
        <v>0.92788426266087265</v>
      </c>
      <c r="T226" s="19">
        <f>(L226-Settings!$D$24)/Settings!$E$24</f>
        <v>1.0605259194344019</v>
      </c>
      <c r="U226" s="19">
        <f>(M226-Settings!$D$25)/Settings!$E$25</f>
        <v>0.70186269387564693</v>
      </c>
      <c r="V226" s="31">
        <f>Settings!$B$18*(N226-F$6)^2</f>
        <v>2.3305445523090672E-2</v>
      </c>
      <c r="W226" s="31">
        <f>Settings!$B$19*(O226-G$6)^2</f>
        <v>5.5265744099545211E-2</v>
      </c>
      <c r="X226" s="31">
        <f>Settings!$B$20*(P226-H$6)^2</f>
        <v>1.164313828166285</v>
      </c>
      <c r="Y226" s="31">
        <f>Settings!$B$21*(Q226-I$6)^2</f>
        <v>8.0676651211139603E-5</v>
      </c>
      <c r="Z226" s="31">
        <f>Settings!$B$22*(R226-J$6)^2</f>
        <v>0.34235744428521975</v>
      </c>
      <c r="AA226" s="31">
        <f>Settings!$B$23*(S226-K$6)^2</f>
        <v>0.50090589782639272</v>
      </c>
      <c r="AB226" s="31">
        <f>Settings!$B$24*(T226-L$6)^2</f>
        <v>0.1322403863836229</v>
      </c>
      <c r="AC226" s="31">
        <f>Settings!$B$25*(U226-M$6)^2</f>
        <v>5.2255621296622001</v>
      </c>
      <c r="AD226" s="19">
        <f t="shared" si="12"/>
        <v>2.728375258757044</v>
      </c>
      <c r="AE226" s="15">
        <f t="shared" si="13"/>
        <v>1.0799403917464239</v>
      </c>
      <c r="AF226" s="33">
        <f t="shared" si="14"/>
        <v>0.55814548495240757</v>
      </c>
      <c r="AG226" s="47">
        <f t="shared" si="15"/>
        <v>2.4073667932374338E-3</v>
      </c>
      <c r="AH226" s="18">
        <v>-0.25316768853974958</v>
      </c>
      <c r="AI226" s="46">
        <v>1</v>
      </c>
      <c r="AJ226" s="18">
        <v>-1.324973471395015</v>
      </c>
      <c r="AK226" s="46">
        <v>1</v>
      </c>
      <c r="AL226" s="18">
        <v>1.4181510361965779</v>
      </c>
      <c r="AM226" s="46">
        <v>1</v>
      </c>
    </row>
    <row r="227" spans="1:39" ht="20" customHeight="1" x14ac:dyDescent="0.45">
      <c r="A227" s="26">
        <v>217</v>
      </c>
      <c r="B227" s="16" t="s">
        <v>570</v>
      </c>
      <c r="C227" s="16" t="s">
        <v>214</v>
      </c>
      <c r="D227" s="46">
        <v>28</v>
      </c>
      <c r="E227" s="46">
        <v>1</v>
      </c>
      <c r="F227" s="13">
        <v>0.20427053209539511</v>
      </c>
      <c r="G227" s="13">
        <v>0.27598560885913581</v>
      </c>
      <c r="H227" s="13">
        <v>1.036696127097371E-3</v>
      </c>
      <c r="I227" s="13">
        <v>0.1249972245123169</v>
      </c>
      <c r="J227" s="13">
        <v>0.393709938406055</v>
      </c>
      <c r="K227" s="13">
        <v>13.035672514619881</v>
      </c>
      <c r="L227" s="13">
        <v>0.82939411396666274</v>
      </c>
      <c r="M227" s="13">
        <v>0.19606088172119271</v>
      </c>
      <c r="N227" s="19">
        <f>(F227-Settings!$D$18)/Settings!$E$18</f>
        <v>4.2761432612776942E-2</v>
      </c>
      <c r="O227" s="19">
        <f>(G227-Settings!$D$19)/Settings!$E$19</f>
        <v>1.1774622094108529</v>
      </c>
      <c r="P227" s="19">
        <f>(H227-Settings!$D$20)/Settings!$E$20</f>
        <v>-0.47194994450867633</v>
      </c>
      <c r="Q227" s="19">
        <f>(I227-Settings!$D$21)/Settings!$E$21</f>
        <v>1.5733384365277785</v>
      </c>
      <c r="R227" s="19">
        <f>(J227-Settings!$D$22)/Settings!$E$22</f>
        <v>0.39241281848342258</v>
      </c>
      <c r="S227" s="19">
        <f>(K227-Settings!$D$23)/Settings!$E$23</f>
        <v>-0.77079487391510881</v>
      </c>
      <c r="T227" s="19">
        <f>(L227-Settings!$D$24)/Settings!$E$24</f>
        <v>-0.331071654341897</v>
      </c>
      <c r="U227" s="19">
        <f>(M227-Settings!$D$25)/Settings!$E$25</f>
        <v>0.16819590027624076</v>
      </c>
      <c r="V227" s="31">
        <f>Settings!$B$18*(N227-F$6)^2</f>
        <v>1.4593986887092479E-2</v>
      </c>
      <c r="W227" s="31">
        <f>Settings!$B$19*(O227-G$6)^2</f>
        <v>0.64865916915810251</v>
      </c>
      <c r="X227" s="31">
        <f>Settings!$B$20*(P227-H$6)^2</f>
        <v>1.2394676653721655</v>
      </c>
      <c r="Y227" s="31">
        <f>Settings!$B$21*(Q227-I$6)^2</f>
        <v>0.47272827249938204</v>
      </c>
      <c r="Z227" s="31">
        <f>Settings!$B$22*(R227-J$6)^2</f>
        <v>1.6137469949708837E-2</v>
      </c>
      <c r="AA227" s="31">
        <f>Settings!$B$23*(S227-K$6)^2</f>
        <v>0.98194638474471707</v>
      </c>
      <c r="AB227" s="31">
        <f>Settings!$B$24*(T227-L$6)^2</f>
        <v>1.0566788606057242</v>
      </c>
      <c r="AC227" s="31">
        <f>Settings!$B$25*(U227-M$6)^2</f>
        <v>3.0704923935671813</v>
      </c>
      <c r="AD227" s="19">
        <f t="shared" si="12"/>
        <v>2.7387413537579763</v>
      </c>
      <c r="AE227" s="15">
        <f t="shared" si="13"/>
        <v>1.0840434800808663</v>
      </c>
      <c r="AF227" s="33">
        <f t="shared" si="14"/>
        <v>0.55567308551309835</v>
      </c>
      <c r="AG227" s="47">
        <f t="shared" si="15"/>
        <v>2.3967029565312757E-3</v>
      </c>
      <c r="AH227" s="48"/>
      <c r="AI227" s="48"/>
      <c r="AJ227" s="48"/>
      <c r="AK227" s="48"/>
      <c r="AL227" s="48"/>
      <c r="AM227" s="48"/>
    </row>
    <row r="228" spans="1:39" ht="20" customHeight="1" x14ac:dyDescent="0.45">
      <c r="A228" s="26">
        <v>218</v>
      </c>
      <c r="B228" s="16" t="s">
        <v>758</v>
      </c>
      <c r="C228" s="16" t="s">
        <v>271</v>
      </c>
      <c r="D228" s="46">
        <v>28</v>
      </c>
      <c r="E228" s="46">
        <v>0</v>
      </c>
      <c r="F228" s="13">
        <v>0.3558783834711331</v>
      </c>
      <c r="G228" s="13">
        <v>0.14972322853997039</v>
      </c>
      <c r="H228" s="13">
        <v>1.904771625364143E-2</v>
      </c>
      <c r="I228" s="13">
        <v>-0.18143535588692841</v>
      </c>
      <c r="J228" s="13">
        <v>-0.29391531584832681</v>
      </c>
      <c r="K228" s="13">
        <v>12.359027777777779</v>
      </c>
      <c r="L228" s="13">
        <v>0.2355045366715707</v>
      </c>
      <c r="M228" s="13">
        <v>-0.85682692284663931</v>
      </c>
      <c r="N228" s="19">
        <f>(F228-Settings!$D$18)/Settings!$E$18</f>
        <v>0.58535648170355636</v>
      </c>
      <c r="O228" s="19">
        <f>(G228-Settings!$D$19)/Settings!$E$19</f>
        <v>0.65143704006658831</v>
      </c>
      <c r="P228" s="19">
        <f>(H228-Settings!$D$20)/Settings!$E$20</f>
        <v>-0.30876663867597381</v>
      </c>
      <c r="Q228" s="19">
        <f>(I228-Settings!$D$21)/Settings!$E$21</f>
        <v>-2.1949572464882965</v>
      </c>
      <c r="R228" s="19">
        <f>(J228-Settings!$D$22)/Settings!$E$22</f>
        <v>-1.4576753018871353</v>
      </c>
      <c r="S228" s="19">
        <f>(K228-Settings!$D$23)/Settings!$E$23</f>
        <v>-1.005778027359215</v>
      </c>
      <c r="T228" s="19">
        <f>(L228-Settings!$D$24)/Settings!$E$24</f>
        <v>-0.74166000392529363</v>
      </c>
      <c r="U228" s="19">
        <f>(M228-Settings!$D$25)/Settings!$E$25</f>
        <v>-0.54188336166509909</v>
      </c>
      <c r="V228" s="31">
        <f>Settings!$B$18*(N228-F$6)^2</f>
        <v>1.4847497576559688E-2</v>
      </c>
      <c r="W228" s="31">
        <f>Settings!$B$19*(O228-G$6)^2</f>
        <v>0.32506895885706732</v>
      </c>
      <c r="X228" s="31">
        <f>Settings!$B$20*(P228-H$6)^2</f>
        <v>1.0822990525612217</v>
      </c>
      <c r="Y228" s="31">
        <f>Settings!$B$21*(Q228-I$6)^2</f>
        <v>0.99536674583849172</v>
      </c>
      <c r="Z228" s="31">
        <f>Settings!$B$22*(R228-J$6)^2</f>
        <v>0.49049182914332701</v>
      </c>
      <c r="AA228" s="31">
        <f>Settings!$B$23*(S228-K$6)^2</f>
        <v>1.5028681565860511</v>
      </c>
      <c r="AB228" s="31">
        <f>Settings!$B$24*(T228-L$6)^2</f>
        <v>2.069389305917527</v>
      </c>
      <c r="AC228" s="31">
        <f>Settings!$B$25*(U228-M$6)^2</f>
        <v>1.0861866578696571</v>
      </c>
      <c r="AD228" s="19">
        <f t="shared" si="12"/>
        <v>2.7507304855892194</v>
      </c>
      <c r="AE228" s="15">
        <f t="shared" si="13"/>
        <v>1.0887889958177415</v>
      </c>
      <c r="AF228" s="33">
        <f t="shared" si="14"/>
        <v>0.55281562667274164</v>
      </c>
      <c r="AG228" s="47">
        <f t="shared" si="15"/>
        <v>2.3843782997692415E-3</v>
      </c>
      <c r="AH228" s="18">
        <v>-0.463965143044759</v>
      </c>
      <c r="AI228" s="46">
        <v>1</v>
      </c>
      <c r="AJ228" s="18">
        <v>0.24322495229402971</v>
      </c>
      <c r="AK228" s="46">
        <v>1</v>
      </c>
      <c r="AL228" s="18">
        <v>-0.14890848665398421</v>
      </c>
      <c r="AM228" s="46">
        <v>1</v>
      </c>
    </row>
    <row r="229" spans="1:39" ht="20" customHeight="1" x14ac:dyDescent="0.45">
      <c r="A229" s="26">
        <v>219</v>
      </c>
      <c r="B229" s="16" t="s">
        <v>497</v>
      </c>
      <c r="C229" s="16" t="s">
        <v>234</v>
      </c>
      <c r="D229" s="46">
        <v>28</v>
      </c>
      <c r="E229" s="46">
        <v>1</v>
      </c>
      <c r="F229" s="13">
        <v>0.11279600808648391</v>
      </c>
      <c r="G229" s="13">
        <v>0.20063224274858221</v>
      </c>
      <c r="H229" s="13">
        <v>3.8835497415374273E-2</v>
      </c>
      <c r="I229" s="13">
        <v>8.5599803224454679E-3</v>
      </c>
      <c r="J229" s="13">
        <v>0.63917627142711408</v>
      </c>
      <c r="K229" s="13">
        <v>17.736444444444398</v>
      </c>
      <c r="L229" s="13">
        <v>1.7517678843542701</v>
      </c>
      <c r="M229" s="13">
        <v>1.0391766108179401</v>
      </c>
      <c r="N229" s="19">
        <f>(F229-Settings!$D$18)/Settings!$E$18</f>
        <v>-0.28462018644441256</v>
      </c>
      <c r="O229" s="19">
        <f>(G229-Settings!$D$19)/Settings!$E$19</f>
        <v>0.86353048193376769</v>
      </c>
      <c r="P229" s="19">
        <f>(H229-Settings!$D$20)/Settings!$E$20</f>
        <v>-0.129485536196565</v>
      </c>
      <c r="Q229" s="19">
        <f>(I229-Settings!$D$21)/Settings!$E$21</f>
        <v>0.14147383501799168</v>
      </c>
      <c r="R229" s="19">
        <f>(J229-Settings!$D$22)/Settings!$E$22</f>
        <v>1.0528515441751072</v>
      </c>
      <c r="S229" s="19">
        <f>(K229-Settings!$D$23)/Settings!$E$23</f>
        <v>0.86167509377706042</v>
      </c>
      <c r="T229" s="19">
        <f>(L229-Settings!$D$24)/Settings!$E$24</f>
        <v>0.3066157854804154</v>
      </c>
      <c r="U229" s="19">
        <f>(M229-Settings!$D$25)/Settings!$E$25</f>
        <v>0.73680253818281871</v>
      </c>
      <c r="V229" s="31">
        <f>Settings!$B$18*(N229-F$6)^2</f>
        <v>7.1403902022624852E-2</v>
      </c>
      <c r="W229" s="31">
        <f>Settings!$B$19*(O229-G$6)^2</f>
        <v>0.4422240171034913</v>
      </c>
      <c r="X229" s="31">
        <f>Settings!$B$20*(P229-H$6)^2</f>
        <v>0.9219054631905319</v>
      </c>
      <c r="Y229" s="31">
        <f>Settings!$B$21*(Q229-I$6)^2</f>
        <v>2.228128995525503E-3</v>
      </c>
      <c r="Z229" s="31">
        <f>Settings!$B$22*(R229-J$6)^2</f>
        <v>0.17841375054614766</v>
      </c>
      <c r="AA229" s="31">
        <f>Settings!$B$23*(S229-K$6)^2</f>
        <v>0.41157086291670331</v>
      </c>
      <c r="AB229" s="31">
        <f>Settings!$B$24*(T229-L$6)^2</f>
        <v>0.15230397677402741</v>
      </c>
      <c r="AC229" s="31">
        <f>Settings!$B$25*(U229-M$6)^2</f>
        <v>5.3865243159771019</v>
      </c>
      <c r="AD229" s="19">
        <f t="shared" si="12"/>
        <v>2.7507407034335594</v>
      </c>
      <c r="AE229" s="15">
        <f t="shared" si="13"/>
        <v>1.0887930402257764</v>
      </c>
      <c r="AF229" s="33">
        <f t="shared" si="14"/>
        <v>0.5528131923461187</v>
      </c>
      <c r="AG229" s="47">
        <f t="shared" si="15"/>
        <v>2.3843678001464123E-3</v>
      </c>
      <c r="AH229" s="18">
        <v>0.2018597278691121</v>
      </c>
      <c r="AI229" s="46">
        <v>1</v>
      </c>
      <c r="AJ229" s="18">
        <v>1.335791102574859</v>
      </c>
      <c r="AK229" s="46">
        <v>1</v>
      </c>
      <c r="AL229" s="18">
        <v>0.93374775088266304</v>
      </c>
      <c r="AM229" s="46">
        <v>1</v>
      </c>
    </row>
    <row r="230" spans="1:39" ht="20" customHeight="1" x14ac:dyDescent="0.45">
      <c r="A230" s="26">
        <v>220</v>
      </c>
      <c r="B230" s="16" t="s">
        <v>386</v>
      </c>
      <c r="C230" s="16" t="s">
        <v>229</v>
      </c>
      <c r="D230" s="46">
        <v>28</v>
      </c>
      <c r="E230" s="46">
        <v>1</v>
      </c>
      <c r="F230" s="13">
        <v>-1.280106684898478E-2</v>
      </c>
      <c r="G230" s="13">
        <v>8.8935236307790599E-2</v>
      </c>
      <c r="H230" s="13">
        <v>0.22065022585051561</v>
      </c>
      <c r="I230" s="13">
        <v>-5.3655692308382293E-3</v>
      </c>
      <c r="J230" s="13">
        <v>-0.67224790176187088</v>
      </c>
      <c r="K230" s="13">
        <v>14.66314814814816</v>
      </c>
      <c r="L230" s="13">
        <v>-0.60688769432786005</v>
      </c>
      <c r="M230" s="13">
        <v>-0.5798191735929773</v>
      </c>
      <c r="N230" s="19">
        <f>(F230-Settings!$D$18)/Settings!$E$18</f>
        <v>-0.73412428812429953</v>
      </c>
      <c r="O230" s="19">
        <f>(G230-Settings!$D$19)/Settings!$E$19</f>
        <v>0.39818651661533222</v>
      </c>
      <c r="P230" s="19">
        <f>(H230-Settings!$D$20)/Settings!$E$20</f>
        <v>1.5177908660654049</v>
      </c>
      <c r="Q230" s="19">
        <f>(I230-Settings!$D$21)/Settings!$E$21</f>
        <v>-2.9772930573630198E-2</v>
      </c>
      <c r="R230" s="19">
        <f>(J230-Settings!$D$22)/Settings!$E$22</f>
        <v>-2.475596936406947</v>
      </c>
      <c r="S230" s="19">
        <f>(K230-Settings!$D$23)/Settings!$E$23</f>
        <v>-0.20561002033194795</v>
      </c>
      <c r="T230" s="19">
        <f>(L230-Settings!$D$24)/Settings!$E$24</f>
        <v>-1.32405183070772</v>
      </c>
      <c r="U230" s="19">
        <f>(M230-Settings!$D$25)/Settings!$E$25</f>
        <v>-0.35506625039386686</v>
      </c>
      <c r="V230" s="31">
        <f>Settings!$B$18*(N230-F$6)^2</f>
        <v>0.21924816492915555</v>
      </c>
      <c r="W230" s="31">
        <f>Settings!$B$19*(O230-G$6)^2</f>
        <v>0.20874948923468489</v>
      </c>
      <c r="X230" s="31">
        <f>Settings!$B$20*(P230-H$6)^2</f>
        <v>4.9940932419245118E-2</v>
      </c>
      <c r="Y230" s="31">
        <f>Settings!$B$21*(Q230-I$6)^2</f>
        <v>8.6323261113566596E-4</v>
      </c>
      <c r="Z230" s="31">
        <f>Settings!$B$22*(R230-J$6)^2</f>
        <v>1.3353642408983968</v>
      </c>
      <c r="AA230" s="31">
        <f>Settings!$B$23*(S230-K$6)^2</f>
        <v>0.18126069975828174</v>
      </c>
      <c r="AB230" s="31">
        <f>Settings!$B$24*(T230-L$6)^2</f>
        <v>4.0841541736250759</v>
      </c>
      <c r="AC230" s="31">
        <f>Settings!$B$25*(U230-M$6)^2</f>
        <v>1.5104899205342952</v>
      </c>
      <c r="AD230" s="19">
        <f t="shared" si="12"/>
        <v>2.7550083219493677</v>
      </c>
      <c r="AE230" s="15">
        <f t="shared" si="13"/>
        <v>1.0904822410045161</v>
      </c>
      <c r="AF230" s="33">
        <f t="shared" si="14"/>
        <v>0.55179661097942334</v>
      </c>
      <c r="AG230" s="47">
        <f t="shared" si="15"/>
        <v>2.379983129319925E-3</v>
      </c>
      <c r="AH230" s="18">
        <v>1.050061628114578</v>
      </c>
      <c r="AI230" s="46">
        <v>1</v>
      </c>
      <c r="AJ230" s="18">
        <v>1.758820855641124</v>
      </c>
      <c r="AK230" s="46">
        <v>1</v>
      </c>
      <c r="AL230" s="18">
        <v>-0.87591986386467835</v>
      </c>
      <c r="AM230" s="46">
        <v>1</v>
      </c>
    </row>
    <row r="231" spans="1:39" ht="20" customHeight="1" x14ac:dyDescent="0.45">
      <c r="A231" s="26">
        <v>221</v>
      </c>
      <c r="B231" s="16" t="s">
        <v>567</v>
      </c>
      <c r="C231" s="16" t="s">
        <v>220</v>
      </c>
      <c r="D231" s="46">
        <v>28</v>
      </c>
      <c r="E231" s="46">
        <v>1</v>
      </c>
      <c r="F231" s="13">
        <v>-0.53137265071294226</v>
      </c>
      <c r="G231" s="13">
        <v>0.1801846221016109</v>
      </c>
      <c r="H231" s="13">
        <v>-3.237225058232907E-3</v>
      </c>
      <c r="I231" s="13">
        <v>-3.3946054281720303E-2</v>
      </c>
      <c r="J231" s="13">
        <v>0.25125944784549359</v>
      </c>
      <c r="K231" s="13">
        <v>12.85536231884058</v>
      </c>
      <c r="L231" s="13">
        <v>0.29571684147744998</v>
      </c>
      <c r="M231" s="13">
        <v>-0.80791919928968137</v>
      </c>
      <c r="N231" s="19">
        <f>(F231-Settings!$D$18)/Settings!$E$18</f>
        <v>-2.590059659877586</v>
      </c>
      <c r="O231" s="19">
        <f>(G231-Settings!$D$19)/Settings!$E$19</f>
        <v>0.7783430881406086</v>
      </c>
      <c r="P231" s="19">
        <f>(H231-Settings!$D$20)/Settings!$E$20</f>
        <v>-0.51067249231499212</v>
      </c>
      <c r="Q231" s="19">
        <f>(I231-Settings!$D$21)/Settings!$E$21</f>
        <v>-0.38123594503320374</v>
      </c>
      <c r="R231" s="19">
        <f>(J231-Settings!$D$22)/Settings!$E$22</f>
        <v>9.1430669778210984E-3</v>
      </c>
      <c r="S231" s="19">
        <f>(K231-Settings!$D$23)/Settings!$E$23</f>
        <v>-0.83341245755299276</v>
      </c>
      <c r="T231" s="19">
        <f>(L231-Settings!$D$24)/Settings!$E$24</f>
        <v>-0.70003194409730596</v>
      </c>
      <c r="U231" s="19">
        <f>(M231-Settings!$D$25)/Settings!$E$25</f>
        <v>-0.50889944818838218</v>
      </c>
      <c r="V231" s="31">
        <f>Settings!$B$18*(N231-F$6)^2</f>
        <v>1.6854244019768343</v>
      </c>
      <c r="W231" s="31">
        <f>Settings!$B$19*(O231-G$6)^2</f>
        <v>0.39300649413415578</v>
      </c>
      <c r="X231" s="31">
        <f>Settings!$B$20*(P231-H$6)^2</f>
        <v>1.2783266196927445</v>
      </c>
      <c r="Y231" s="31">
        <f>Settings!$B$21*(Q231-I$6)^2</f>
        <v>3.4804580932521256E-2</v>
      </c>
      <c r="Z231" s="31">
        <f>Settings!$B$22*(R231-J$6)^2</f>
        <v>1.9687059279916842E-3</v>
      </c>
      <c r="AA231" s="31">
        <f>Settings!$B$23*(S231-K$6)^2</f>
        <v>1.1099668911696363</v>
      </c>
      <c r="AB231" s="31">
        <f>Settings!$B$24*(T231-L$6)^2</f>
        <v>1.951355175157796</v>
      </c>
      <c r="AC231" s="31">
        <f>Settings!$B$25*(U231-M$6)^2</f>
        <v>1.1560264497945112</v>
      </c>
      <c r="AD231" s="19">
        <f t="shared" si="12"/>
        <v>2.7587822166285965</v>
      </c>
      <c r="AE231" s="15">
        <f t="shared" si="13"/>
        <v>1.0919760169377257</v>
      </c>
      <c r="AF231" s="33">
        <f t="shared" si="14"/>
        <v>0.55089788659733352</v>
      </c>
      <c r="AG231" s="47">
        <f t="shared" si="15"/>
        <v>2.3761067936833476E-3</v>
      </c>
      <c r="AH231" s="48"/>
      <c r="AI231" s="48"/>
      <c r="AJ231" s="48"/>
      <c r="AK231" s="48"/>
      <c r="AL231" s="18">
        <v>-0.19355872279888839</v>
      </c>
      <c r="AM231" s="46">
        <v>1</v>
      </c>
    </row>
    <row r="232" spans="1:39" ht="20" customHeight="1" x14ac:dyDescent="0.45">
      <c r="A232" s="26">
        <v>222</v>
      </c>
      <c r="B232" s="16" t="s">
        <v>586</v>
      </c>
      <c r="C232" s="16" t="s">
        <v>260</v>
      </c>
      <c r="D232" s="46">
        <v>28</v>
      </c>
      <c r="E232" s="46">
        <v>1</v>
      </c>
      <c r="F232" s="13">
        <v>0.28041074468273958</v>
      </c>
      <c r="G232" s="13">
        <v>-0.49340349549214058</v>
      </c>
      <c r="H232" s="13">
        <v>3.5336665710672377E-4</v>
      </c>
      <c r="I232" s="13">
        <v>7.0967755851531492E-2</v>
      </c>
      <c r="J232" s="13">
        <v>-0.15486463731648159</v>
      </c>
      <c r="K232" s="13">
        <v>13.351436781609189</v>
      </c>
      <c r="L232" s="13">
        <v>-0.30925173173032511</v>
      </c>
      <c r="M232" s="13">
        <v>-0.60369163151251681</v>
      </c>
      <c r="N232" s="19">
        <f>(F232-Settings!$D$18)/Settings!$E$18</f>
        <v>0.3152625070078196</v>
      </c>
      <c r="O232" s="19">
        <f>(G232-Settings!$D$19)/Settings!$E$19</f>
        <v>-2.0279108627977336</v>
      </c>
      <c r="P232" s="19">
        <f>(H232-Settings!$D$20)/Settings!$E$20</f>
        <v>-0.47814104090979831</v>
      </c>
      <c r="Q232" s="19">
        <f>(I232-Settings!$D$21)/Settings!$E$21</f>
        <v>0.90892144390635221</v>
      </c>
      <c r="R232" s="19">
        <f>(J232-Settings!$D$22)/Settings!$E$22</f>
        <v>-1.0835529047099335</v>
      </c>
      <c r="S232" s="19">
        <f>(K232-Settings!$D$23)/Settings!$E$23</f>
        <v>-0.66113720695622258</v>
      </c>
      <c r="T232" s="19">
        <f>(L232-Settings!$D$24)/Settings!$E$24</f>
        <v>-1.1182798095582973</v>
      </c>
      <c r="U232" s="19">
        <f>(M232-Settings!$D$25)/Settings!$E$25</f>
        <v>-0.37116610189436949</v>
      </c>
      <c r="V232" s="31">
        <f>Settings!$B$18*(N232-F$6)^2</f>
        <v>1.1248946807515391E-6</v>
      </c>
      <c r="W232" s="31">
        <f>Settings!$B$19*(O232-G$6)^2</f>
        <v>0.39450033801081164</v>
      </c>
      <c r="X232" s="31">
        <f>Settings!$B$20*(P232-H$6)^2</f>
        <v>1.2456402898536163</v>
      </c>
      <c r="Y232" s="31">
        <f>Settings!$B$21*(Q232-I$6)^2</f>
        <v>0.15242470445256323</v>
      </c>
      <c r="Z232" s="31">
        <f>Settings!$B$22*(R232-J$6)^2</f>
        <v>0.28413014484910215</v>
      </c>
      <c r="AA232" s="31">
        <f>Settings!$B$23*(S232-K$6)^2</f>
        <v>0.77664458892128074</v>
      </c>
      <c r="AB232" s="31">
        <f>Settings!$B$24*(T232-L$6)^2</f>
        <v>3.2947949931214837</v>
      </c>
      <c r="AC232" s="31">
        <f>Settings!$B$25*(U232-M$6)^2</f>
        <v>1.4711750499125182</v>
      </c>
      <c r="AD232" s="19">
        <f t="shared" si="12"/>
        <v>2.7603099887541718</v>
      </c>
      <c r="AE232" s="15">
        <f t="shared" si="13"/>
        <v>1.0925807368429139</v>
      </c>
      <c r="AF232" s="33">
        <f t="shared" si="14"/>
        <v>0.55053412631012122</v>
      </c>
      <c r="AG232" s="47">
        <f t="shared" si="15"/>
        <v>2.3745378399611687E-3</v>
      </c>
      <c r="AH232" s="18">
        <v>-7.1460248248011837E-2</v>
      </c>
      <c r="AI232" s="46">
        <v>1</v>
      </c>
      <c r="AJ232" s="18">
        <v>0.18002605713611439</v>
      </c>
      <c r="AK232" s="46">
        <v>1</v>
      </c>
      <c r="AL232" s="18">
        <v>4.0876930907389947E-2</v>
      </c>
      <c r="AM232" s="46">
        <v>1</v>
      </c>
    </row>
    <row r="233" spans="1:39" ht="20" customHeight="1" x14ac:dyDescent="0.45">
      <c r="A233" s="26">
        <v>223</v>
      </c>
      <c r="B233" s="16" t="s">
        <v>600</v>
      </c>
      <c r="C233" s="16" t="s">
        <v>260</v>
      </c>
      <c r="D233" s="46">
        <v>28</v>
      </c>
      <c r="E233" s="46">
        <v>1</v>
      </c>
      <c r="F233" s="13">
        <v>0.39295660009624961</v>
      </c>
      <c r="G233" s="13">
        <v>-0.19592183844037581</v>
      </c>
      <c r="H233" s="13">
        <v>6.1072294200913277E-4</v>
      </c>
      <c r="I233" s="13">
        <v>-0.23677423485142771</v>
      </c>
      <c r="J233" s="13">
        <v>0.17373660366993779</v>
      </c>
      <c r="K233" s="13">
        <v>13.38095238095238</v>
      </c>
      <c r="L233" s="13">
        <v>0.17275992845563851</v>
      </c>
      <c r="M233" s="13">
        <v>-0.47832914688877981</v>
      </c>
      <c r="N233" s="19">
        <f>(F233-Settings!$D$18)/Settings!$E$18</f>
        <v>0.71805710761008001</v>
      </c>
      <c r="O233" s="19">
        <f>(G233-Settings!$D$19)/Settings!$E$19</f>
        <v>-0.78856436361159077</v>
      </c>
      <c r="P233" s="19">
        <f>(H233-Settings!$D$20)/Settings!$E$20</f>
        <v>-0.47580934347943982</v>
      </c>
      <c r="Q233" s="19">
        <f>(I233-Settings!$D$21)/Settings!$E$21</f>
        <v>-2.8754764603172496</v>
      </c>
      <c r="R233" s="19">
        <f>(J233-Settings!$D$22)/Settings!$E$22</f>
        <v>-0.19943579509735657</v>
      </c>
      <c r="S233" s="19">
        <f>(K233-Settings!$D$23)/Settings!$E$23</f>
        <v>-0.65088711819941891</v>
      </c>
      <c r="T233" s="19">
        <f>(L233-Settings!$D$24)/Settings!$E$24</f>
        <v>-0.78503878361355162</v>
      </c>
      <c r="U233" s="19">
        <f>(M233-Settings!$D$25)/Settings!$E$25</f>
        <v>-0.28662024603910696</v>
      </c>
      <c r="V233" s="31">
        <f>Settings!$B$18*(N233-F$6)^2</f>
        <v>3.2831929572569196E-2</v>
      </c>
      <c r="W233" s="31">
        <f>Settings!$B$19*(O233-G$6)^2</f>
        <v>5.452347815736211E-3</v>
      </c>
      <c r="X233" s="31">
        <f>Settings!$B$20*(P233-H$6)^2</f>
        <v>1.2433137495475135</v>
      </c>
      <c r="Y233" s="31">
        <f>Settings!$B$21*(Q233-I$6)^2</f>
        <v>1.6952512049311004</v>
      </c>
      <c r="Z233" s="31">
        <f>Settings!$B$22*(R233-J$6)^2</f>
        <v>1.8947358583741036E-2</v>
      </c>
      <c r="AA233" s="31">
        <f>Settings!$B$23*(S233-K$6)^2</f>
        <v>0.75868337136037933</v>
      </c>
      <c r="AB233" s="31">
        <f>Settings!$B$24*(T233-L$6)^2</f>
        <v>2.1960750018977708</v>
      </c>
      <c r="AC233" s="31">
        <f>Settings!$B$25*(U233-M$6)^2</f>
        <v>1.6834177792321123</v>
      </c>
      <c r="AD233" s="19">
        <f t="shared" si="12"/>
        <v>2.7629644845601837</v>
      </c>
      <c r="AE233" s="15">
        <f t="shared" si="13"/>
        <v>1.0936314344078595</v>
      </c>
      <c r="AF233" s="33">
        <f t="shared" si="14"/>
        <v>0.54990218767475052</v>
      </c>
      <c r="AG233" s="47">
        <f t="shared" si="15"/>
        <v>2.3718121920303522E-3</v>
      </c>
      <c r="AH233" s="18">
        <v>0.2099245209503971</v>
      </c>
      <c r="AI233" s="46">
        <v>1</v>
      </c>
      <c r="AJ233" s="18">
        <v>0.65133913296169255</v>
      </c>
      <c r="AK233" s="46">
        <v>1</v>
      </c>
      <c r="AL233" s="18">
        <v>-0.64952309089023208</v>
      </c>
      <c r="AM233" s="46">
        <v>1</v>
      </c>
    </row>
    <row r="234" spans="1:39" ht="20" customHeight="1" x14ac:dyDescent="0.45">
      <c r="A234" s="26">
        <v>224</v>
      </c>
      <c r="B234" s="16" t="s">
        <v>390</v>
      </c>
      <c r="C234" s="16" t="s">
        <v>260</v>
      </c>
      <c r="D234" s="46">
        <v>28</v>
      </c>
      <c r="E234" s="46">
        <v>1</v>
      </c>
      <c r="F234" s="13">
        <v>0.1872377361140275</v>
      </c>
      <c r="G234" s="13">
        <v>0.21404146916077771</v>
      </c>
      <c r="H234" s="13">
        <v>0.35931724975160367</v>
      </c>
      <c r="I234" s="13">
        <v>9.239498161628123E-5</v>
      </c>
      <c r="J234" s="13">
        <v>0.2393111499919747</v>
      </c>
      <c r="K234" s="13">
        <v>19.38564814814815</v>
      </c>
      <c r="L234" s="13">
        <v>2.0762853617664292</v>
      </c>
      <c r="M234" s="13">
        <v>1.0829921074269599</v>
      </c>
      <c r="N234" s="19">
        <f>(F234-Settings!$D$18)/Settings!$E$18</f>
        <v>-1.819788240817577E-2</v>
      </c>
      <c r="O234" s="19">
        <f>(G234-Settings!$D$19)/Settings!$E$19</f>
        <v>0.91939502825723074</v>
      </c>
      <c r="P234" s="19">
        <f>(H234-Settings!$D$20)/Settings!$E$20</f>
        <v>2.7741407680242225</v>
      </c>
      <c r="Q234" s="19">
        <f>(I234-Settings!$D$21)/Settings!$E$21</f>
        <v>3.7345333917214452E-2</v>
      </c>
      <c r="R234" s="19">
        <f>(J234-Settings!$D$22)/Settings!$E$22</f>
        <v>-2.3004390929922656E-2</v>
      </c>
      <c r="S234" s="19">
        <f>(K234-Settings!$D$23)/Settings!$E$23</f>
        <v>1.4344056063598252</v>
      </c>
      <c r="T234" s="19">
        <f>(L234-Settings!$D$24)/Settings!$E$24</f>
        <v>0.53097246819656907</v>
      </c>
      <c r="U234" s="19">
        <f>(M234-Settings!$D$25)/Settings!$E$25</f>
        <v>0.76635219709115465</v>
      </c>
      <c r="V234" s="31">
        <f>Settings!$B$18*(N234-F$6)^2</f>
        <v>2.192395766272727E-2</v>
      </c>
      <c r="W234" s="31">
        <f>Settings!$B$19*(O234-G$6)^2</f>
        <v>0.47607605123186325</v>
      </c>
      <c r="X234" s="31">
        <f>Settings!$B$20*(P234-H$6)^2</f>
        <v>0.11450243021614455</v>
      </c>
      <c r="Y234" s="31">
        <f>Settings!$B$21*(Q234-I$6)^2</f>
        <v>4.0370764617550469E-7</v>
      </c>
      <c r="Z234" s="31">
        <f>Settings!$B$22*(R234-J$6)^2</f>
        <v>3.4511961414675943E-3</v>
      </c>
      <c r="AA234" s="31">
        <f>Settings!$B$23*(S234-K$6)^2</f>
        <v>1.4744477508819713</v>
      </c>
      <c r="AB234" s="31">
        <f>Settings!$B$24*(T234-L$6)^2</f>
        <v>2.7524382207599948E-2</v>
      </c>
      <c r="AC234" s="31">
        <f>Settings!$B$25*(U234-M$6)^2</f>
        <v>5.5245604366847898</v>
      </c>
      <c r="AD234" s="19">
        <f t="shared" si="12"/>
        <v>2.7645047673560286</v>
      </c>
      <c r="AE234" s="15">
        <f t="shared" si="13"/>
        <v>1.0942411062631536</v>
      </c>
      <c r="AF234" s="33">
        <f t="shared" si="14"/>
        <v>0.54953555699870049</v>
      </c>
      <c r="AG234" s="47">
        <f t="shared" si="15"/>
        <v>2.3702308578823559E-3</v>
      </c>
      <c r="AH234" s="18">
        <v>1.1745553656027461</v>
      </c>
      <c r="AI234" s="46">
        <v>1</v>
      </c>
      <c r="AJ234" s="48"/>
      <c r="AK234" s="48"/>
      <c r="AL234" s="48"/>
      <c r="AM234" s="48"/>
    </row>
    <row r="235" spans="1:39" ht="20" customHeight="1" x14ac:dyDescent="0.45">
      <c r="A235" s="26">
        <v>225</v>
      </c>
      <c r="B235" s="16" t="s">
        <v>508</v>
      </c>
      <c r="C235" s="16" t="s">
        <v>260</v>
      </c>
      <c r="D235" s="46">
        <v>28</v>
      </c>
      <c r="E235" s="46">
        <v>1</v>
      </c>
      <c r="F235" s="13">
        <v>0.21869270230215329</v>
      </c>
      <c r="G235" s="13">
        <v>-0.42830887688298042</v>
      </c>
      <c r="H235" s="13">
        <v>-3.4001517220857871E-3</v>
      </c>
      <c r="I235" s="13">
        <v>-1.225671102474273E-3</v>
      </c>
      <c r="J235" s="13">
        <v>-0.34837259799030629</v>
      </c>
      <c r="K235" s="13">
        <v>13.06543859649123</v>
      </c>
      <c r="L235" s="13">
        <v>-0.60090285100872187</v>
      </c>
      <c r="M235" s="13">
        <v>-1.370418952903951</v>
      </c>
      <c r="N235" s="19">
        <f>(F235-Settings!$D$18)/Settings!$E$18</f>
        <v>9.4377480728500315E-2</v>
      </c>
      <c r="O235" s="19">
        <f>(G235-Settings!$D$19)/Settings!$E$19</f>
        <v>-1.756718384953355</v>
      </c>
      <c r="P235" s="19">
        <f>(H235-Settings!$D$20)/Settings!$E$20</f>
        <v>-0.51214863921999842</v>
      </c>
      <c r="Q235" s="19">
        <f>(I235-Settings!$D$21)/Settings!$E$21</f>
        <v>2.1136669916352969E-2</v>
      </c>
      <c r="R235" s="19">
        <f>(J235-Settings!$D$22)/Settings!$E$22</f>
        <v>-1.6041951833708248</v>
      </c>
      <c r="S235" s="19">
        <f>(K235-Settings!$D$23)/Settings!$E$23</f>
        <v>-0.76045779833768168</v>
      </c>
      <c r="T235" s="19">
        <f>(L235-Settings!$D$24)/Settings!$E$24</f>
        <v>-1.3199141811599504</v>
      </c>
      <c r="U235" s="19">
        <f>(M235-Settings!$D$25)/Settings!$E$25</f>
        <v>-0.88825554686838504</v>
      </c>
      <c r="V235" s="31">
        <f>Settings!$B$18*(N235-F$6)^2</f>
        <v>9.5496237353024441E-3</v>
      </c>
      <c r="W235" s="31">
        <f>Settings!$B$19*(O235-G$6)^2</f>
        <v>0.25685805454152694</v>
      </c>
      <c r="X235" s="31">
        <f>Settings!$B$20*(P235-H$6)^2</f>
        <v>1.2798198344026535</v>
      </c>
      <c r="Y235" s="31">
        <f>Settings!$B$21*(Q235-I$6)^2</f>
        <v>4.3736464136089523E-5</v>
      </c>
      <c r="Z235" s="31">
        <f>Settings!$B$22*(R235-J$6)^2</f>
        <v>0.58656742814589524</v>
      </c>
      <c r="AA235" s="31">
        <f>Settings!$B$23*(S235-K$6)^2</f>
        <v>0.96156656029542875</v>
      </c>
      <c r="AB235" s="31">
        <f>Settings!$B$24*(T235-L$6)^2</f>
        <v>4.0674475015347005</v>
      </c>
      <c r="AC235" s="31">
        <f>Settings!$B$25*(U235-M$6)^2</f>
        <v>0.48418023216469785</v>
      </c>
      <c r="AD235" s="19">
        <f t="shared" si="12"/>
        <v>2.765146103062972</v>
      </c>
      <c r="AE235" s="15">
        <f t="shared" si="13"/>
        <v>1.0944949585631165</v>
      </c>
      <c r="AF235" s="33">
        <f t="shared" si="14"/>
        <v>0.54938291291533314</v>
      </c>
      <c r="AG235" s="47">
        <f t="shared" si="15"/>
        <v>2.3695724806180232E-3</v>
      </c>
      <c r="AH235" s="48"/>
      <c r="AI235" s="48"/>
      <c r="AJ235" s="48"/>
      <c r="AK235" s="48"/>
      <c r="AL235" s="48"/>
      <c r="AM235" s="48"/>
    </row>
    <row r="236" spans="1:39" ht="20" customHeight="1" x14ac:dyDescent="0.45">
      <c r="A236" s="26">
        <v>226</v>
      </c>
      <c r="B236" s="16" t="s">
        <v>529</v>
      </c>
      <c r="C236" s="16" t="s">
        <v>216</v>
      </c>
      <c r="D236" s="46">
        <v>28</v>
      </c>
      <c r="E236" s="46">
        <v>1</v>
      </c>
      <c r="F236" s="13">
        <v>0.37697161029970722</v>
      </c>
      <c r="G236" s="13">
        <v>-0.40240565584254911</v>
      </c>
      <c r="H236" s="13">
        <v>-3.6168113808905548E-2</v>
      </c>
      <c r="I236" s="13">
        <v>3.3265346888582223E-2</v>
      </c>
      <c r="J236" s="13">
        <v>0.15118927316025599</v>
      </c>
      <c r="K236" s="13">
        <v>16.148882113821159</v>
      </c>
      <c r="L236" s="13">
        <v>0.49636931822361602</v>
      </c>
      <c r="M236" s="13">
        <v>0.62756006061321001</v>
      </c>
      <c r="N236" s="19">
        <f>(F236-Settings!$D$18)/Settings!$E$18</f>
        <v>0.66084782560611022</v>
      </c>
      <c r="O236" s="19">
        <f>(G236-Settings!$D$19)/Settings!$E$19</f>
        <v>-1.6488022645704532</v>
      </c>
      <c r="P236" s="19">
        <f>(H236-Settings!$D$20)/Settings!$E$20</f>
        <v>-0.80903267694573522</v>
      </c>
      <c r="Q236" s="19">
        <f>(I236-Settings!$D$21)/Settings!$E$21</f>
        <v>0.44528332569684931</v>
      </c>
      <c r="R236" s="19">
        <f>(J236-Settings!$D$22)/Settings!$E$22</f>
        <v>-0.26010044937516319</v>
      </c>
      <c r="S236" s="19">
        <f>(K236-Settings!$D$23)/Settings!$E$23</f>
        <v>0.31035121223776352</v>
      </c>
      <c r="T236" s="19">
        <f>(L236-Settings!$D$24)/Settings!$E$24</f>
        <v>-0.56130991155674603</v>
      </c>
      <c r="U236" s="19">
        <f>(M236-Settings!$D$25)/Settings!$E$25</f>
        <v>0.45920375234429861</v>
      </c>
      <c r="V236" s="31">
        <f>Settings!$B$18*(N236-F$6)^2</f>
        <v>2.4214803054031189E-2</v>
      </c>
      <c r="W236" s="31">
        <f>Settings!$B$19*(O236-G$6)^2</f>
        <v>0.21026819391358398</v>
      </c>
      <c r="X236" s="31">
        <f>Settings!$B$20*(P236-H$6)^2</f>
        <v>1.5978522401782229</v>
      </c>
      <c r="Y236" s="31">
        <f>Settings!$B$21*(Q236-I$6)^2</f>
        <v>3.3514916336176551E-2</v>
      </c>
      <c r="Z236" s="31">
        <f>Settings!$B$22*(R236-J$6)^2</f>
        <v>2.7152271343673193E-2</v>
      </c>
      <c r="AA236" s="31">
        <f>Settings!$B$23*(S236-K$6)^2</f>
        <v>8.1385671272317679E-3</v>
      </c>
      <c r="AB236" s="31">
        <f>Settings!$B$24*(T236-L$6)^2</f>
        <v>1.5830348241658121</v>
      </c>
      <c r="AC236" s="31">
        <f>Settings!$B$25*(U236-M$6)^2</f>
        <v>4.1750336365043541</v>
      </c>
      <c r="AD236" s="19">
        <f t="shared" si="12"/>
        <v>2.7675276787456138</v>
      </c>
      <c r="AE236" s="15">
        <f t="shared" si="13"/>
        <v>1.0954376293953016</v>
      </c>
      <c r="AF236" s="33">
        <f t="shared" si="14"/>
        <v>0.54881613639665194</v>
      </c>
      <c r="AG236" s="47">
        <f t="shared" si="15"/>
        <v>2.3671278868569964E-3</v>
      </c>
      <c r="AH236" s="18">
        <v>1.2192442696631469</v>
      </c>
      <c r="AI236" s="46">
        <v>1</v>
      </c>
      <c r="AJ236" s="18">
        <v>0.60777116195988912</v>
      </c>
      <c r="AK236" s="46">
        <v>1</v>
      </c>
      <c r="AL236" s="48"/>
      <c r="AM236" s="48"/>
    </row>
    <row r="237" spans="1:39" ht="20" customHeight="1" x14ac:dyDescent="0.45">
      <c r="A237" s="26">
        <v>227</v>
      </c>
      <c r="B237" s="16" t="s">
        <v>759</v>
      </c>
      <c r="C237" s="16" t="s">
        <v>212</v>
      </c>
      <c r="D237" s="46">
        <v>28</v>
      </c>
      <c r="E237" s="46">
        <v>0</v>
      </c>
      <c r="F237" s="13">
        <v>0.30681208455605102</v>
      </c>
      <c r="G237" s="13">
        <v>-9.9054566130840183E-2</v>
      </c>
      <c r="H237" s="13">
        <v>0.21128435514961971</v>
      </c>
      <c r="I237" s="13">
        <v>3.8045918285843109E-3</v>
      </c>
      <c r="J237" s="13">
        <v>0.37904440233490477</v>
      </c>
      <c r="K237" s="13">
        <v>18.711890243902442</v>
      </c>
      <c r="L237" s="13">
        <v>3.9567620730957151</v>
      </c>
      <c r="M237" s="13">
        <v>1.0183789427275101</v>
      </c>
      <c r="N237" s="19">
        <f>(F237-Settings!$D$18)/Settings!$E$18</f>
        <v>0.40975125659849065</v>
      </c>
      <c r="O237" s="19">
        <f>(G237-Settings!$D$19)/Settings!$E$19</f>
        <v>-0.38500296082686875</v>
      </c>
      <c r="P237" s="19">
        <f>(H237-Settings!$D$20)/Settings!$E$20</f>
        <v>1.4329342764754902</v>
      </c>
      <c r="Q237" s="19">
        <f>(I237-Settings!$D$21)/Settings!$E$21</f>
        <v>8.2995360212427413E-2</v>
      </c>
      <c r="R237" s="19">
        <f>(J237-Settings!$D$22)/Settings!$E$22</f>
        <v>0.35295450322197719</v>
      </c>
      <c r="S237" s="19">
        <f>(K237-Settings!$D$23)/Settings!$E$23</f>
        <v>1.2004249834757463</v>
      </c>
      <c r="T237" s="19">
        <f>(L237-Settings!$D$24)/Settings!$E$24</f>
        <v>1.8310488777730629</v>
      </c>
      <c r="U237" s="19">
        <f>(M237-Settings!$D$25)/Settings!$E$25</f>
        <v>0.72277635918854755</v>
      </c>
      <c r="V237" s="31">
        <f>Settings!$B$18*(N237-F$6)^2</f>
        <v>1.8763853571004876E-3</v>
      </c>
      <c r="W237" s="31">
        <f>Settings!$B$19*(O237-G$6)^2</f>
        <v>1.1371690970532897E-2</v>
      </c>
      <c r="X237" s="31">
        <f>Settings!$B$20*(P237-H$6)^2</f>
        <v>6.8342350987299197E-2</v>
      </c>
      <c r="Y237" s="31">
        <f>Settings!$B$21*(Q237-I$6)^2</f>
        <v>4.4313164701885362E-4</v>
      </c>
      <c r="Z237" s="31">
        <f>Settings!$B$22*(R237-J$6)^2</f>
        <v>1.1965526016717016E-2</v>
      </c>
      <c r="AA237" s="31">
        <f>Settings!$B$23*(S237-K$6)^2</f>
        <v>0.96096412890422689</v>
      </c>
      <c r="AB237" s="31">
        <f>Settings!$B$24*(T237-L$6)^2</f>
        <v>1.286345379808473</v>
      </c>
      <c r="AC237" s="31">
        <f>Settings!$B$25*(U237-M$6)^2</f>
        <v>5.3216146492629983</v>
      </c>
      <c r="AD237" s="19">
        <f t="shared" si="12"/>
        <v>2.7681985555509501</v>
      </c>
      <c r="AE237" s="15">
        <f t="shared" si="13"/>
        <v>1.0957031745975765</v>
      </c>
      <c r="AF237" s="33">
        <f t="shared" si="14"/>
        <v>0.54865649612782574</v>
      </c>
      <c r="AG237" s="47">
        <f t="shared" si="15"/>
        <v>2.3664393339753614E-3</v>
      </c>
      <c r="AH237" s="18">
        <v>-0.69167689720382519</v>
      </c>
      <c r="AI237" s="46">
        <v>0</v>
      </c>
      <c r="AJ237" s="18">
        <v>-1.5502068144443459</v>
      </c>
      <c r="AK237" s="46">
        <v>0</v>
      </c>
      <c r="AL237" s="18">
        <v>-0.67971675786629415</v>
      </c>
      <c r="AM237" s="46">
        <v>0</v>
      </c>
    </row>
    <row r="238" spans="1:39" ht="20" customHeight="1" x14ac:dyDescent="0.45">
      <c r="A238" s="26">
        <v>228</v>
      </c>
      <c r="B238" s="16" t="s">
        <v>442</v>
      </c>
      <c r="C238" s="16" t="s">
        <v>220</v>
      </c>
      <c r="D238" s="46">
        <v>28</v>
      </c>
      <c r="E238" s="46">
        <v>1</v>
      </c>
      <c r="F238" s="13">
        <v>-0.36778514516700012</v>
      </c>
      <c r="G238" s="13">
        <v>0.35313278970042289</v>
      </c>
      <c r="H238" s="13">
        <v>4.4280733774548053E-2</v>
      </c>
      <c r="I238" s="13">
        <v>-0.21184282329402601</v>
      </c>
      <c r="J238" s="13">
        <v>2.2958508064002951E-2</v>
      </c>
      <c r="K238" s="13">
        <v>15.080451127819529</v>
      </c>
      <c r="L238" s="13">
        <v>-0.178726276542365</v>
      </c>
      <c r="M238" s="13">
        <v>-1.574963931090644</v>
      </c>
      <c r="N238" s="19">
        <f>(F238-Settings!$D$18)/Settings!$E$18</f>
        <v>-2.0045901753034951</v>
      </c>
      <c r="O238" s="19">
        <f>(G238-Settings!$D$19)/Settings!$E$19</f>
        <v>1.498867197689145</v>
      </c>
      <c r="P238" s="19">
        <f>(H238-Settings!$D$20)/Settings!$E$20</f>
        <v>-8.01506476734625E-2</v>
      </c>
      <c r="Q238" s="19">
        <f>(I238-Settings!$D$21)/Settings!$E$21</f>
        <v>-2.5688872248617716</v>
      </c>
      <c r="R238" s="19">
        <f>(J238-Settings!$D$22)/Settings!$E$22</f>
        <v>-0.60511136004605137</v>
      </c>
      <c r="S238" s="19">
        <f>(K238-Settings!$D$23)/Settings!$E$23</f>
        <v>-6.0690293973856606E-2</v>
      </c>
      <c r="T238" s="19">
        <f>(L238-Settings!$D$24)/Settings!$E$24</f>
        <v>-1.0280404228555782</v>
      </c>
      <c r="U238" s="19">
        <f>(M238-Settings!$D$25)/Settings!$E$25</f>
        <v>-1.026202958277743</v>
      </c>
      <c r="V238" s="31">
        <f>Settings!$B$18*(N238-F$6)^2</f>
        <v>1.0741437159453706</v>
      </c>
      <c r="W238" s="31">
        <f>Settings!$B$19*(O238-G$6)^2</f>
        <v>0.90084866424146792</v>
      </c>
      <c r="X238" s="31">
        <f>Settings!$B$20*(P238-H$6)^2</f>
        <v>0.88002382256942158</v>
      </c>
      <c r="Y238" s="31">
        <f>Settings!$B$21*(Q238-I$6)^2</f>
        <v>1.3570089090190431</v>
      </c>
      <c r="Z238" s="31">
        <f>Settings!$B$22*(R238-J$6)^2</f>
        <v>0.10180760013020528</v>
      </c>
      <c r="AA238" s="31">
        <f>Settings!$B$23*(S238-K$6)^2</f>
        <v>7.8864084101041287E-2</v>
      </c>
      <c r="AB238" s="31">
        <f>Settings!$B$24*(T238-L$6)^2</f>
        <v>2.9753408282287488</v>
      </c>
      <c r="AC238" s="31">
        <f>Settings!$B$25*(U238-M$6)^2</f>
        <v>0.31123365874121373</v>
      </c>
      <c r="AD238" s="19">
        <f t="shared" si="12"/>
        <v>2.7711498124382437</v>
      </c>
      <c r="AE238" s="15">
        <f t="shared" si="13"/>
        <v>1.0968713355786508</v>
      </c>
      <c r="AF238" s="33">
        <f t="shared" si="14"/>
        <v>0.54795431439209941</v>
      </c>
      <c r="AG238" s="47">
        <f t="shared" si="15"/>
        <v>2.3634107168155369E-3</v>
      </c>
      <c r="AH238" s="18">
        <v>-0.62906974439610397</v>
      </c>
      <c r="AI238" s="46">
        <v>1</v>
      </c>
      <c r="AJ238" s="18">
        <v>0.29134231879638123</v>
      </c>
      <c r="AK238" s="46">
        <v>1</v>
      </c>
      <c r="AL238" s="18">
        <v>0.18160059804679601</v>
      </c>
      <c r="AM238" s="46">
        <v>1</v>
      </c>
    </row>
    <row r="239" spans="1:39" ht="20" customHeight="1" x14ac:dyDescent="0.45">
      <c r="A239" s="26">
        <v>229</v>
      </c>
      <c r="B239" s="16" t="s">
        <v>658</v>
      </c>
      <c r="C239" s="16" t="s">
        <v>227</v>
      </c>
      <c r="D239" s="46">
        <v>28</v>
      </c>
      <c r="E239" s="46">
        <v>0</v>
      </c>
      <c r="F239" s="13">
        <v>0.25317011007365092</v>
      </c>
      <c r="G239" s="13">
        <v>-5.8726692699637331E-2</v>
      </c>
      <c r="H239" s="13">
        <v>-1.1521532664638101E-2</v>
      </c>
      <c r="I239" s="13">
        <v>6.11742097796239E-3</v>
      </c>
      <c r="J239" s="13">
        <v>0.67046424358411127</v>
      </c>
      <c r="K239" s="13">
        <v>13.538524590163931</v>
      </c>
      <c r="L239" s="13">
        <v>0.67456763975329859</v>
      </c>
      <c r="M239" s="13">
        <v>0.6375964940176313</v>
      </c>
      <c r="N239" s="19">
        <f>(F239-Settings!$D$18)/Settings!$E$18</f>
        <v>0.21776997387804922</v>
      </c>
      <c r="O239" s="19">
        <f>(G239-Settings!$D$19)/Settings!$E$19</f>
        <v>-0.21699190007132754</v>
      </c>
      <c r="P239" s="19">
        <f>(H239-Settings!$D$20)/Settings!$E$20</f>
        <v>-0.58572991228621696</v>
      </c>
      <c r="Q239" s="19">
        <f>(I239-Settings!$D$21)/Settings!$E$21</f>
        <v>0.11143693156166187</v>
      </c>
      <c r="R239" s="19">
        <f>(J239-Settings!$D$22)/Settings!$E$22</f>
        <v>1.1370333063195368</v>
      </c>
      <c r="S239" s="19">
        <f>(K239-Settings!$D$23)/Settings!$E$23</f>
        <v>-0.59616591429485777</v>
      </c>
      <c r="T239" s="19">
        <f>(L239-Settings!$D$24)/Settings!$E$24</f>
        <v>-0.43811166472331314</v>
      </c>
      <c r="U239" s="19">
        <f>(M239-Settings!$D$25)/Settings!$E$25</f>
        <v>0.46597243481304468</v>
      </c>
      <c r="V239" s="31">
        <f>Settings!$B$18*(N239-F$6)^2</f>
        <v>1.8095984894307142E-3</v>
      </c>
      <c r="W239" s="31">
        <f>Settings!$B$19*(O239-G$6)^2</f>
        <v>3.3042136630137102E-2</v>
      </c>
      <c r="X239" s="31">
        <f>Settings!$B$20*(P239-H$6)^2</f>
        <v>1.3553564478792997</v>
      </c>
      <c r="Y239" s="31">
        <f>Settings!$B$21*(Q239-I$6)^2</f>
        <v>1.140423010869398E-3</v>
      </c>
      <c r="Z239" s="31">
        <f>Settings!$B$22*(R239-J$6)^2</f>
        <v>0.21163472915258677</v>
      </c>
      <c r="AA239" s="31">
        <f>Settings!$B$23*(S239-K$6)^2</f>
        <v>0.66635078234125678</v>
      </c>
      <c r="AB239" s="31">
        <f>Settings!$B$24*(T239-L$6)^2</f>
        <v>1.2881997379107089</v>
      </c>
      <c r="AC239" s="31">
        <f>Settings!$B$25*(U239-M$6)^2</f>
        <v>4.2027402126858808</v>
      </c>
      <c r="AD239" s="19">
        <f t="shared" si="12"/>
        <v>2.7857268473596206</v>
      </c>
      <c r="AE239" s="15">
        <f t="shared" si="13"/>
        <v>1.1026411902762281</v>
      </c>
      <c r="AF239" s="33">
        <f t="shared" si="14"/>
        <v>0.54448831480812232</v>
      </c>
      <c r="AG239" s="47">
        <f t="shared" si="15"/>
        <v>2.3484613308063446E-3</v>
      </c>
      <c r="AH239" s="18">
        <v>3.9386853843792147E-2</v>
      </c>
      <c r="AI239" s="46">
        <v>0</v>
      </c>
      <c r="AJ239" s="18">
        <v>-0.37345243874935452</v>
      </c>
      <c r="AK239" s="46">
        <v>0</v>
      </c>
      <c r="AL239" s="18">
        <v>5.8372313351324763E-2</v>
      </c>
      <c r="AM239" s="46">
        <v>0</v>
      </c>
    </row>
    <row r="240" spans="1:39" ht="20" customHeight="1" x14ac:dyDescent="0.45">
      <c r="A240" s="26">
        <v>230</v>
      </c>
      <c r="B240" s="16" t="s">
        <v>760</v>
      </c>
      <c r="C240" s="16" t="s">
        <v>229</v>
      </c>
      <c r="D240" s="46">
        <v>28</v>
      </c>
      <c r="E240" s="46">
        <v>1</v>
      </c>
      <c r="F240" s="13">
        <v>-0.1814045488633087</v>
      </c>
      <c r="G240" s="13">
        <v>-0.1856723997330029</v>
      </c>
      <c r="H240" s="13">
        <v>-9.4145366040138091E-4</v>
      </c>
      <c r="I240" s="13">
        <v>-9.4332224522368623E-3</v>
      </c>
      <c r="J240" s="13">
        <v>0.62254837529105</v>
      </c>
      <c r="K240" s="13">
        <v>10.61124031007752</v>
      </c>
      <c r="L240" s="13">
        <v>1.2533268684496011</v>
      </c>
      <c r="M240" s="13">
        <v>-4.4514594636847269</v>
      </c>
      <c r="N240" s="19">
        <f>(F240-Settings!$D$18)/Settings!$E$18</f>
        <v>-1.3375456397910421</v>
      </c>
      <c r="O240" s="19">
        <f>(G240-Settings!$D$19)/Settings!$E$19</f>
        <v>-0.74586389560123811</v>
      </c>
      <c r="P240" s="19">
        <f>(H240-Settings!$D$20)/Settings!$E$20</f>
        <v>-0.48987236197799949</v>
      </c>
      <c r="Q240" s="19">
        <f>(I240-Settings!$D$21)/Settings!$E$21</f>
        <v>-7.9794113224091759E-2</v>
      </c>
      <c r="R240" s="19">
        <f>(J240-Settings!$D$22)/Settings!$E$22</f>
        <v>1.0081134067699515</v>
      </c>
      <c r="S240" s="19">
        <f>(K240-Settings!$D$23)/Settings!$E$23</f>
        <v>-1.6127444136301468</v>
      </c>
      <c r="T240" s="19">
        <f>(L240-Settings!$D$24)/Settings!$E$24</f>
        <v>-3.7983752731855731E-2</v>
      </c>
      <c r="U240" s="19">
        <f>(M240-Settings!$D$25)/Settings!$E$25</f>
        <v>-2.9661435824360294</v>
      </c>
      <c r="V240" s="31">
        <f>Settings!$B$18*(N240-F$6)^2</f>
        <v>0.54478816083300152</v>
      </c>
      <c r="W240" s="31">
        <f>Settings!$B$19*(O240-G$6)^2</f>
        <v>2.9968820153072019E-3</v>
      </c>
      <c r="X240" s="31">
        <f>Settings!$B$20*(P240-H$6)^2</f>
        <v>1.2573786597674008</v>
      </c>
      <c r="Y240" s="31">
        <f>Settings!$B$21*(Q240-I$6)^2</f>
        <v>2.6781632487000214E-3</v>
      </c>
      <c r="Z240" s="31">
        <f>Settings!$B$22*(R240-J$6)^2</f>
        <v>0.16191209134077234</v>
      </c>
      <c r="AA240" s="31">
        <f>Settings!$B$23*(S240-K$6)^2</f>
        <v>3.3594550273975039</v>
      </c>
      <c r="AB240" s="31">
        <f>Settings!$B$24*(T240-L$6)^2</f>
        <v>0.54002062947434404</v>
      </c>
      <c r="AC240" s="31">
        <f>Settings!$B$25*(U240-M$6)^2</f>
        <v>1.9100827387852564</v>
      </c>
      <c r="AD240" s="19">
        <f t="shared" si="12"/>
        <v>2.7891418667508265</v>
      </c>
      <c r="AE240" s="15">
        <f t="shared" si="13"/>
        <v>1.1039929168641758</v>
      </c>
      <c r="AF240" s="33">
        <f t="shared" si="14"/>
        <v>0.54367687942463028</v>
      </c>
      <c r="AG240" s="47">
        <f t="shared" si="15"/>
        <v>2.3449614859634843E-3</v>
      </c>
      <c r="AH240" s="18">
        <v>-1.225571484146931</v>
      </c>
      <c r="AI240" s="46">
        <v>1</v>
      </c>
      <c r="AJ240" s="18">
        <v>0.62756621318706696</v>
      </c>
      <c r="AK240" s="46">
        <v>1</v>
      </c>
      <c r="AL240" s="18">
        <v>-0.62002895043601824</v>
      </c>
      <c r="AM240" s="46">
        <v>1</v>
      </c>
    </row>
    <row r="241" spans="1:39" ht="20" customHeight="1" x14ac:dyDescent="0.45">
      <c r="A241" s="26">
        <v>231</v>
      </c>
      <c r="B241" s="16" t="s">
        <v>278</v>
      </c>
      <c r="C241" s="16" t="s">
        <v>234</v>
      </c>
      <c r="D241" s="46">
        <v>28</v>
      </c>
      <c r="E241" s="46">
        <v>1</v>
      </c>
      <c r="F241" s="13">
        <v>0.43626291793963939</v>
      </c>
      <c r="G241" s="13">
        <v>-0.1114984264725013</v>
      </c>
      <c r="H241" s="13">
        <v>1.8181791871958661E-2</v>
      </c>
      <c r="I241" s="13">
        <v>-7.8543964167784234E-4</v>
      </c>
      <c r="J241" s="13">
        <v>0.43327142407422281</v>
      </c>
      <c r="K241" s="13">
        <v>17.889044289044261</v>
      </c>
      <c r="L241" s="13">
        <v>1.8022419853904801</v>
      </c>
      <c r="M241" s="13">
        <v>1.234116793196198</v>
      </c>
      <c r="N241" s="19">
        <f>(F241-Settings!$D$18)/Settings!$E$18</f>
        <v>0.87304771952726312</v>
      </c>
      <c r="O241" s="19">
        <f>(G241-Settings!$D$19)/Settings!$E$19</f>
        <v>-0.43684566905850725</v>
      </c>
      <c r="P241" s="19">
        <f>(H241-Settings!$D$20)/Settings!$E$20</f>
        <v>-0.31661208008969383</v>
      </c>
      <c r="Q241" s="19">
        <f>(I241-Settings!$D$21)/Settings!$E$21</f>
        <v>2.6550331580806767E-2</v>
      </c>
      <c r="R241" s="19">
        <f>(J241-Settings!$D$22)/Settings!$E$22</f>
        <v>0.49885485825151177</v>
      </c>
      <c r="S241" s="19">
        <f>(K241-Settings!$D$23)/Settings!$E$23</f>
        <v>0.91466950982248363</v>
      </c>
      <c r="T241" s="19">
        <f>(L241-Settings!$D$24)/Settings!$E$24</f>
        <v>0.34151129237843542</v>
      </c>
      <c r="U241" s="19">
        <f>(M241-Settings!$D$25)/Settings!$E$25</f>
        <v>0.86827236832552857</v>
      </c>
      <c r="V241" s="31">
        <f>Settings!$B$18*(N241-F$6)^2</f>
        <v>6.2755130300904113E-2</v>
      </c>
      <c r="W241" s="31">
        <f>Settings!$B$19*(O241-G$6)^2</f>
        <v>6.9644644623025349E-3</v>
      </c>
      <c r="X241" s="31">
        <f>Settings!$B$20*(P241-H$6)^2</f>
        <v>1.0896115838946803</v>
      </c>
      <c r="Y241" s="31">
        <f>Settings!$B$21*(Q241-I$6)^2</f>
        <v>1.7575311253993804E-5</v>
      </c>
      <c r="Z241" s="31">
        <f>Settings!$B$22*(R241-J$6)^2</f>
        <v>3.0497616956595017E-2</v>
      </c>
      <c r="AA241" s="31">
        <f>Settings!$B$23*(S241-K$6)^2</f>
        <v>0.48237512263709009</v>
      </c>
      <c r="AB241" s="31">
        <f>Settings!$B$24*(T241-L$6)^2</f>
        <v>0.12628493295387705</v>
      </c>
      <c r="AC241" s="31">
        <f>Settings!$B$25*(U241-M$6)^2</f>
        <v>6.0140623161847069</v>
      </c>
      <c r="AD241" s="19">
        <f t="shared" si="12"/>
        <v>2.7950972689159514</v>
      </c>
      <c r="AE241" s="15">
        <f t="shared" si="13"/>
        <v>1.1063501730101439</v>
      </c>
      <c r="AF241" s="33">
        <f t="shared" si="14"/>
        <v>0.54226235076033569</v>
      </c>
      <c r="AG241" s="47">
        <f t="shared" si="15"/>
        <v>2.3388604076132837E-3</v>
      </c>
      <c r="AH241" s="18">
        <v>-0.181680654441529</v>
      </c>
      <c r="AI241" s="46">
        <v>1</v>
      </c>
      <c r="AJ241" s="18">
        <v>-0.3392588273133943</v>
      </c>
      <c r="AK241" s="46">
        <v>1</v>
      </c>
      <c r="AL241" s="18">
        <v>-0.33259059250881262</v>
      </c>
      <c r="AM241" s="46">
        <v>1</v>
      </c>
    </row>
    <row r="242" spans="1:39" ht="20" customHeight="1" x14ac:dyDescent="0.45">
      <c r="A242" s="26">
        <v>232</v>
      </c>
      <c r="B242" s="16" t="s">
        <v>373</v>
      </c>
      <c r="C242" s="16" t="s">
        <v>220</v>
      </c>
      <c r="D242" s="46">
        <v>28</v>
      </c>
      <c r="E242" s="46">
        <v>1</v>
      </c>
      <c r="F242" s="13">
        <v>0.56362178782354744</v>
      </c>
      <c r="G242" s="13">
        <v>-4.176553533762619E-2</v>
      </c>
      <c r="H242" s="13">
        <v>0.13853205042896011</v>
      </c>
      <c r="I242" s="13">
        <v>-8.2448147693603476E-5</v>
      </c>
      <c r="J242" s="13">
        <v>-0.25599817826217269</v>
      </c>
      <c r="K242" s="13">
        <v>16.301149425287349</v>
      </c>
      <c r="L242" s="13">
        <v>1.2216924043152679</v>
      </c>
      <c r="M242" s="13">
        <v>1.303922214210435</v>
      </c>
      <c r="N242" s="19">
        <f>(F242-Settings!$D$18)/Settings!$E$18</f>
        <v>1.3288571755002281</v>
      </c>
      <c r="O242" s="19">
        <f>(G242-Settings!$D$19)/Settings!$E$19</f>
        <v>-0.14632955669498968</v>
      </c>
      <c r="P242" s="19">
        <f>(H242-Settings!$D$20)/Settings!$E$20</f>
        <v>0.77378440557124006</v>
      </c>
      <c r="Q242" s="19">
        <f>(I242-Settings!$D$21)/Settings!$E$21</f>
        <v>3.5195234183938558E-2</v>
      </c>
      <c r="R242" s="19">
        <f>(J242-Settings!$D$22)/Settings!$E$22</f>
        <v>-1.3556574580505731</v>
      </c>
      <c r="S242" s="19">
        <f>(K242-Settings!$D$23)/Settings!$E$23</f>
        <v>0.36323014717453334</v>
      </c>
      <c r="T242" s="19">
        <f>(L242-Settings!$D$24)/Settings!$E$24</f>
        <v>-5.9854388141941647E-2</v>
      </c>
      <c r="U242" s="19">
        <f>(M242-Settings!$D$25)/Settings!$E$25</f>
        <v>0.91534992171559681</v>
      </c>
      <c r="V242" s="31">
        <f>Settings!$B$18*(N242-F$6)^2</f>
        <v>0.20643749061568042</v>
      </c>
      <c r="W242" s="31">
        <f>Settings!$B$19*(O242-G$6)^2</f>
        <v>4.5529369504951712E-2</v>
      </c>
      <c r="X242" s="31">
        <f>Settings!$B$20*(P242-H$6)^2</f>
        <v>0.30936342787254023</v>
      </c>
      <c r="Y242" s="31">
        <f>Settings!$B$21*(Q242-I$6)^2</f>
        <v>1.0638941936747312E-7</v>
      </c>
      <c r="Z242" s="31">
        <f>Settings!$B$22*(R242-J$6)^2</f>
        <v>0.42866803597471154</v>
      </c>
      <c r="AA242" s="31">
        <f>Settings!$B$23*(S242-K$6)^2</f>
        <v>2.047559014035186E-2</v>
      </c>
      <c r="AB242" s="31">
        <f>Settings!$B$24*(T242-L$6)^2</f>
        <v>0.57264270640263526</v>
      </c>
      <c r="AC242" s="31">
        <f>Settings!$B$25*(U242-M$6)^2</f>
        <v>6.2471806906385696</v>
      </c>
      <c r="AD242" s="19">
        <f t="shared" si="12"/>
        <v>2.7982668596005742</v>
      </c>
      <c r="AE242" s="15">
        <f t="shared" si="13"/>
        <v>1.1076047544665037</v>
      </c>
      <c r="AF242" s="33">
        <f t="shared" si="14"/>
        <v>0.54150978308874931</v>
      </c>
      <c r="AG242" s="47">
        <f t="shared" si="15"/>
        <v>2.3356144682102342E-3</v>
      </c>
      <c r="AH242" s="18">
        <v>1.070108764137335</v>
      </c>
      <c r="AI242" s="46">
        <v>1</v>
      </c>
      <c r="AJ242" s="48"/>
      <c r="AK242" s="48"/>
      <c r="AL242" s="48"/>
      <c r="AM242" s="48"/>
    </row>
    <row r="243" spans="1:39" ht="20" customHeight="1" x14ac:dyDescent="0.45">
      <c r="A243" s="26">
        <v>233</v>
      </c>
      <c r="B243" s="16" t="s">
        <v>378</v>
      </c>
      <c r="C243" s="16" t="s">
        <v>216</v>
      </c>
      <c r="D243" s="46">
        <v>28</v>
      </c>
      <c r="E243" s="46">
        <v>1</v>
      </c>
      <c r="F243" s="13">
        <v>0.17126267168502551</v>
      </c>
      <c r="G243" s="13">
        <v>5.225878569759803E-2</v>
      </c>
      <c r="H243" s="13">
        <v>0.24351563285906649</v>
      </c>
      <c r="I243" s="13">
        <v>1.8233749887249701E-2</v>
      </c>
      <c r="J243" s="13">
        <v>0.51472915987106027</v>
      </c>
      <c r="K243" s="13">
        <v>20.247663551401871</v>
      </c>
      <c r="L243" s="13">
        <v>2.613630405935687</v>
      </c>
      <c r="M243" s="13">
        <v>1.0043209263673789</v>
      </c>
      <c r="N243" s="19">
        <f>(F243-Settings!$D$18)/Settings!$E$18</f>
        <v>-7.5371642140449419E-2</v>
      </c>
      <c r="O243" s="19">
        <f>(G243-Settings!$D$19)/Settings!$E$19</f>
        <v>0.2453877487289276</v>
      </c>
      <c r="P243" s="19">
        <f>(H243-Settings!$D$20)/Settings!$E$20</f>
        <v>1.7249558505388041</v>
      </c>
      <c r="Q243" s="19">
        <f>(I243-Settings!$D$21)/Settings!$E$21</f>
        <v>0.26043515447706922</v>
      </c>
      <c r="R243" s="19">
        <f>(J243-Settings!$D$22)/Settings!$E$22</f>
        <v>0.71802073149074663</v>
      </c>
      <c r="S243" s="19">
        <f>(K243-Settings!$D$23)/Settings!$E$23</f>
        <v>1.7337637284953713</v>
      </c>
      <c r="T243" s="19">
        <f>(L243-Settings!$D$24)/Settings!$E$24</f>
        <v>0.90246848913557165</v>
      </c>
      <c r="U243" s="19">
        <f>(M243-Settings!$D$25)/Settings!$E$25</f>
        <v>0.71329547638407964</v>
      </c>
      <c r="V243" s="31">
        <f>Settings!$B$18*(N243-F$6)^2</f>
        <v>3.0149561844993129E-2</v>
      </c>
      <c r="W243" s="31">
        <f>Settings!$B$19*(O243-G$6)^2</f>
        <v>0.15097687386777781</v>
      </c>
      <c r="X243" s="31">
        <f>Settings!$B$20*(P243-H$6)^2</f>
        <v>1.7115882384053493E-2</v>
      </c>
      <c r="Y243" s="31">
        <f>Settings!$B$21*(Q243-I$6)^2</f>
        <v>1.0080999500977428E-2</v>
      </c>
      <c r="Z243" s="31">
        <f>Settings!$B$22*(R243-J$6)^2</f>
        <v>7.4337819311130052E-2</v>
      </c>
      <c r="AA243" s="31">
        <f>Settings!$B$23*(S243-K$6)^2</f>
        <v>2.2910652530537843</v>
      </c>
      <c r="AB243" s="31">
        <f>Settings!$B$24*(T243-L$6)^2</f>
        <v>4.2267775475825296E-2</v>
      </c>
      <c r="AC243" s="31">
        <f>Settings!$B$25*(U243-M$6)^2</f>
        <v>5.2779623501571988</v>
      </c>
      <c r="AD243" s="19">
        <f t="shared" si="12"/>
        <v>2.8096185711935595</v>
      </c>
      <c r="AE243" s="15">
        <f t="shared" si="13"/>
        <v>1.1120979677169074</v>
      </c>
      <c r="AF243" s="33">
        <f t="shared" si="14"/>
        <v>0.5388161047280059</v>
      </c>
      <c r="AG243" s="47">
        <f t="shared" si="15"/>
        <v>2.3239962216918221E-3</v>
      </c>
      <c r="AH243" s="18">
        <v>2.1936743156868669E-2</v>
      </c>
      <c r="AI243" s="46">
        <v>1</v>
      </c>
      <c r="AJ243" s="18">
        <v>-0.72143364439938562</v>
      </c>
      <c r="AK243" s="46">
        <v>1</v>
      </c>
      <c r="AL243" s="48"/>
      <c r="AM243" s="48"/>
    </row>
    <row r="244" spans="1:39" ht="20" customHeight="1" x14ac:dyDescent="0.45">
      <c r="A244" s="26">
        <v>234</v>
      </c>
      <c r="B244" s="16" t="s">
        <v>295</v>
      </c>
      <c r="C244" s="16" t="s">
        <v>216</v>
      </c>
      <c r="D244" s="46">
        <v>28</v>
      </c>
      <c r="E244" s="46">
        <v>1</v>
      </c>
      <c r="F244" s="13">
        <v>0.4814958212733364</v>
      </c>
      <c r="G244" s="13">
        <v>-4.2280735467243973E-2</v>
      </c>
      <c r="H244" s="13">
        <v>0.1148028809496347</v>
      </c>
      <c r="I244" s="13">
        <v>-4.4593429978896758E-6</v>
      </c>
      <c r="J244" s="13">
        <v>0.36141610296678689</v>
      </c>
      <c r="K244" s="13">
        <v>15.60132924335374</v>
      </c>
      <c r="L244" s="13">
        <v>1.6156181392635161</v>
      </c>
      <c r="M244" s="13">
        <v>1.5455610670922679</v>
      </c>
      <c r="N244" s="19">
        <f>(F244-Settings!$D$18)/Settings!$E$18</f>
        <v>1.0349334608140992</v>
      </c>
      <c r="O244" s="19">
        <f>(G244-Settings!$D$19)/Settings!$E$19</f>
        <v>-0.14847594610047474</v>
      </c>
      <c r="P244" s="19">
        <f>(H244-Settings!$D$20)/Settings!$E$20</f>
        <v>0.55879356701268124</v>
      </c>
      <c r="Q244" s="19">
        <f>(I244-Settings!$D$21)/Settings!$E$21</f>
        <v>3.6154286500358519E-2</v>
      </c>
      <c r="R244" s="19">
        <f>(J244-Settings!$D$22)/Settings!$E$22</f>
        <v>0.30552473382141149</v>
      </c>
      <c r="S244" s="19">
        <f>(K244-Settings!$D$23)/Settings!$E$23</f>
        <v>0.12019869471388743</v>
      </c>
      <c r="T244" s="19">
        <f>(L244-Settings!$D$24)/Settings!$E$24</f>
        <v>0.21248801952833418</v>
      </c>
      <c r="U244" s="19">
        <f>(M244-Settings!$D$25)/Settings!$E$25</f>
        <v>1.0783138553524878</v>
      </c>
      <c r="V244" s="31">
        <f>Settings!$B$18*(N244-F$6)^2</f>
        <v>0.10426908910032487</v>
      </c>
      <c r="W244" s="31">
        <f>Settings!$B$19*(O244-G$6)^2</f>
        <v>4.5120653760302977E-2</v>
      </c>
      <c r="X244" s="31">
        <f>Settings!$B$20*(P244-H$6)^2</f>
        <v>0.42556223136806914</v>
      </c>
      <c r="Y244" s="31">
        <f>Settings!$B$21*(Q244-I$6)^2</f>
        <v>1.055290330187137E-8</v>
      </c>
      <c r="Z244" s="31">
        <f>Settings!$B$22*(R244-J$6)^2</f>
        <v>7.7749733164702087E-3</v>
      </c>
      <c r="AA244" s="31">
        <f>Settings!$B$23*(S244-K$6)^2</f>
        <v>9.9877058101397916E-3</v>
      </c>
      <c r="AB244" s="31">
        <f>Settings!$B$24*(T244-L$6)^2</f>
        <v>0.23463288450199085</v>
      </c>
      <c r="AC244" s="31">
        <f>Settings!$B$25*(U244-M$6)^2</f>
        <v>7.0883738034621704</v>
      </c>
      <c r="AD244" s="19">
        <f t="shared" si="12"/>
        <v>2.8134891774933792</v>
      </c>
      <c r="AE244" s="15">
        <f t="shared" si="13"/>
        <v>1.1136300238628893</v>
      </c>
      <c r="AF244" s="33">
        <f t="shared" si="14"/>
        <v>0.53789822207050908</v>
      </c>
      <c r="AG244" s="47">
        <f t="shared" si="15"/>
        <v>2.320037253484931E-3</v>
      </c>
      <c r="AH244" s="18">
        <v>0.98633469142248198</v>
      </c>
      <c r="AI244" s="46">
        <v>1</v>
      </c>
      <c r="AJ244" s="18">
        <v>-1.088448444570757</v>
      </c>
      <c r="AK244" s="46">
        <v>1</v>
      </c>
      <c r="AL244" s="48"/>
      <c r="AM244" s="48"/>
    </row>
    <row r="245" spans="1:39" ht="20" customHeight="1" x14ac:dyDescent="0.45">
      <c r="A245" s="26">
        <v>235</v>
      </c>
      <c r="B245" s="16" t="s">
        <v>445</v>
      </c>
      <c r="C245" s="16" t="s">
        <v>260</v>
      </c>
      <c r="D245" s="46">
        <v>28</v>
      </c>
      <c r="E245" s="46">
        <v>1</v>
      </c>
      <c r="F245" s="13">
        <v>0.32111357600915691</v>
      </c>
      <c r="G245" s="13">
        <v>-7.4679827468014132E-2</v>
      </c>
      <c r="H245" s="13">
        <v>-5.3293509299688908E-2</v>
      </c>
      <c r="I245" s="13">
        <v>2.267738609909797E-2</v>
      </c>
      <c r="J245" s="13">
        <v>0.52823570112404206</v>
      </c>
      <c r="K245" s="13">
        <v>15.22598039215686</v>
      </c>
      <c r="L245" s="13">
        <v>2.694254677562431</v>
      </c>
      <c r="M245" s="13">
        <v>1.199596758680324</v>
      </c>
      <c r="N245" s="19">
        <f>(F245-Settings!$D$18)/Settings!$E$18</f>
        <v>0.46093540297780661</v>
      </c>
      <c r="O245" s="19">
        <f>(G245-Settings!$D$19)/Settings!$E$19</f>
        <v>-0.28345469284376423</v>
      </c>
      <c r="P245" s="19">
        <f>(H245-Settings!$D$20)/Settings!$E$20</f>
        <v>-0.96419205327444901</v>
      </c>
      <c r="Q245" s="19">
        <f>(I245-Settings!$D$21)/Settings!$E$21</f>
        <v>0.31507991559282617</v>
      </c>
      <c r="R245" s="19">
        <f>(J245-Settings!$D$22)/Settings!$E$22</f>
        <v>0.75436071662775595</v>
      </c>
      <c r="S245" s="19">
        <f>(K245-Settings!$D$23)/Settings!$E$23</f>
        <v>-1.0151327821568554E-2</v>
      </c>
      <c r="T245" s="19">
        <f>(L245-Settings!$D$24)/Settings!$E$24</f>
        <v>0.95820845812839317</v>
      </c>
      <c r="U245" s="19">
        <f>(M245-Settings!$D$25)/Settings!$E$25</f>
        <v>0.84499167258104457</v>
      </c>
      <c r="V245" s="31">
        <f>Settings!$B$18*(N245-F$6)^2</f>
        <v>4.3834343931486424E-3</v>
      </c>
      <c r="W245" s="31">
        <f>Settings!$B$19*(O245-G$6)^2</f>
        <v>2.3119779375900869E-2</v>
      </c>
      <c r="X245" s="31">
        <f>Settings!$B$20*(P245-H$6)^2</f>
        <v>1.7780920625660788</v>
      </c>
      <c r="Y245" s="31">
        <f>Settings!$B$21*(Q245-I$6)^2</f>
        <v>1.5585540141927316E-2</v>
      </c>
      <c r="Z245" s="31">
        <f>Settings!$B$22*(R245-J$6)^2</f>
        <v>8.3463997424680442E-2</v>
      </c>
      <c r="AA245" s="31">
        <f>Settings!$B$23*(S245-K$6)^2</f>
        <v>5.3032808284434338E-2</v>
      </c>
      <c r="AB245" s="31">
        <f>Settings!$B$24*(T245-L$6)^2</f>
        <v>6.829402305234919E-2</v>
      </c>
      <c r="AC245" s="31">
        <f>Settings!$B$25*(U245-M$6)^2</f>
        <v>5.9004190818051692</v>
      </c>
      <c r="AD245" s="19">
        <f t="shared" si="12"/>
        <v>2.8153846499268425</v>
      </c>
      <c r="AE245" s="15">
        <f t="shared" si="13"/>
        <v>1.114380286216196</v>
      </c>
      <c r="AF245" s="33">
        <f t="shared" si="14"/>
        <v>0.53744883664205134</v>
      </c>
      <c r="AG245" s="47">
        <f t="shared" si="15"/>
        <v>2.3180989854401286E-3</v>
      </c>
      <c r="AH245" s="18">
        <v>-4.6885407183573591E-2</v>
      </c>
      <c r="AI245" s="46">
        <v>1</v>
      </c>
      <c r="AJ245" s="18">
        <v>-0.86658377827455579</v>
      </c>
      <c r="AK245" s="46">
        <v>1</v>
      </c>
      <c r="AL245" s="18">
        <v>4.1055427180679338E-2</v>
      </c>
      <c r="AM245" s="46">
        <v>1</v>
      </c>
    </row>
    <row r="246" spans="1:39" ht="20" customHeight="1" x14ac:dyDescent="0.45">
      <c r="A246" s="26">
        <v>236</v>
      </c>
      <c r="B246" s="16" t="s">
        <v>761</v>
      </c>
      <c r="C246" s="16" t="s">
        <v>246</v>
      </c>
      <c r="D246" s="46">
        <v>28</v>
      </c>
      <c r="E246" s="46">
        <v>1</v>
      </c>
      <c r="F246" s="13">
        <v>0.57029865926176937</v>
      </c>
      <c r="G246" s="13">
        <v>0.36369108487816992</v>
      </c>
      <c r="H246" s="13">
        <v>1.037872171185595E-2</v>
      </c>
      <c r="I246" s="13">
        <v>-2.1887808854305601E-4</v>
      </c>
      <c r="J246" s="13">
        <v>5.5412656059661662E-2</v>
      </c>
      <c r="K246" s="13">
        <v>11.179113924050631</v>
      </c>
      <c r="L246" s="13">
        <v>0.82346342586362042</v>
      </c>
      <c r="M246" s="13">
        <v>-0.4081646686260042</v>
      </c>
      <c r="N246" s="19">
        <f>(F246-Settings!$D$18)/Settings!$E$18</f>
        <v>1.3527532821524897</v>
      </c>
      <c r="O246" s="19">
        <f>(G246-Settings!$D$19)/Settings!$E$19</f>
        <v>1.5428544011207763</v>
      </c>
      <c r="P246" s="19">
        <f>(H246-Settings!$D$20)/Settings!$E$20</f>
        <v>-0.38730939625633792</v>
      </c>
      <c r="Q246" s="19">
        <f>(I246-Settings!$D$21)/Settings!$E$21</f>
        <v>3.3517513242949486E-2</v>
      </c>
      <c r="R246" s="19">
        <f>(J246-Settings!$D$22)/Settings!$E$22</f>
        <v>-0.51779194690346242</v>
      </c>
      <c r="S246" s="19">
        <f>(K246-Settings!$D$23)/Settings!$E$23</f>
        <v>-1.4155349692888368</v>
      </c>
      <c r="T246" s="19">
        <f>(L246-Settings!$D$24)/Settings!$E$24</f>
        <v>-0.3351718634265769</v>
      </c>
      <c r="U246" s="19">
        <f>(M246-Settings!$D$25)/Settings!$E$25</f>
        <v>-0.23930054044162316</v>
      </c>
      <c r="V246" s="31">
        <f>Settings!$B$18*(N246-F$6)^2</f>
        <v>0.21626275069459322</v>
      </c>
      <c r="W246" s="31">
        <f>Settings!$B$19*(O246-G$6)^2</f>
        <v>0.93857761241000692</v>
      </c>
      <c r="X246" s="31">
        <f>Settings!$B$20*(P246-H$6)^2</f>
        <v>1.1566172609482466</v>
      </c>
      <c r="Y246" s="31">
        <f>Settings!$B$21*(Q246-I$6)^2</f>
        <v>1.1587952477932765E-6</v>
      </c>
      <c r="Z246" s="31">
        <f>Settings!$B$22*(R246-J$6)^2</f>
        <v>7.8412658688140444E-2</v>
      </c>
      <c r="AA246" s="31">
        <f>Settings!$B$23*(S246-K$6)^2</f>
        <v>2.675423461283394</v>
      </c>
      <c r="AB246" s="31">
        <f>Settings!$B$24*(T246-L$6)^2</f>
        <v>1.0651252828362798</v>
      </c>
      <c r="AC246" s="31">
        <f>Settings!$B$25*(U246-M$6)^2</f>
        <v>1.8084483432322616</v>
      </c>
      <c r="AD246" s="19">
        <f t="shared" si="12"/>
        <v>2.8175997815318219</v>
      </c>
      <c r="AE246" s="15">
        <f t="shared" si="13"/>
        <v>1.1152570754648792</v>
      </c>
      <c r="AF246" s="33">
        <f t="shared" si="14"/>
        <v>0.53692375801044168</v>
      </c>
      <c r="AG246" s="47">
        <f t="shared" si="15"/>
        <v>2.31583424103987E-3</v>
      </c>
      <c r="AH246" s="18">
        <v>-5.1902930239404288E-2</v>
      </c>
      <c r="AI246" s="46">
        <v>1</v>
      </c>
      <c r="AJ246" s="48"/>
      <c r="AK246" s="48"/>
      <c r="AL246" s="48"/>
      <c r="AM246" s="48"/>
    </row>
    <row r="247" spans="1:39" ht="20" customHeight="1" x14ac:dyDescent="0.45">
      <c r="A247" s="26">
        <v>237</v>
      </c>
      <c r="B247" s="16" t="s">
        <v>558</v>
      </c>
      <c r="C247" s="16" t="s">
        <v>216</v>
      </c>
      <c r="D247" s="46">
        <v>28</v>
      </c>
      <c r="E247" s="46">
        <v>1</v>
      </c>
      <c r="F247" s="13">
        <v>0.20345850479879651</v>
      </c>
      <c r="G247" s="13">
        <v>-0.61091119367949343</v>
      </c>
      <c r="H247" s="13">
        <v>1.451946322223029E-4</v>
      </c>
      <c r="I247" s="13">
        <v>2.7067093221607431E-2</v>
      </c>
      <c r="J247" s="13">
        <v>-0.15841801366788019</v>
      </c>
      <c r="K247" s="13">
        <v>12.750560224089639</v>
      </c>
      <c r="L247" s="13">
        <v>-0.59704167676026676</v>
      </c>
      <c r="M247" s="13">
        <v>-1.437178769749246</v>
      </c>
      <c r="N247" s="19">
        <f>(F247-Settings!$D$18)/Settings!$E$18</f>
        <v>3.9855237538690698E-2</v>
      </c>
      <c r="O247" s="19">
        <f>(G247-Settings!$D$19)/Settings!$E$19</f>
        <v>-2.5174629105415582</v>
      </c>
      <c r="P247" s="19">
        <f>(H247-Settings!$D$20)/Settings!$E$20</f>
        <v>-0.48002711948635063</v>
      </c>
      <c r="Q247" s="19">
        <f>(I247-Settings!$D$21)/Settings!$E$21</f>
        <v>0.36906149411135514</v>
      </c>
      <c r="R247" s="19">
        <f>(J247-Settings!$D$22)/Settings!$E$22</f>
        <v>-1.0931134310784083</v>
      </c>
      <c r="S247" s="19">
        <f>(K247-Settings!$D$23)/Settings!$E$23</f>
        <v>-0.86980781448291866</v>
      </c>
      <c r="T247" s="19">
        <f>(L247-Settings!$D$24)/Settings!$E$24</f>
        <v>-1.3172447402020071</v>
      </c>
      <c r="U247" s="19">
        <f>(M247-Settings!$D$25)/Settings!$E$25</f>
        <v>-0.93327911088649418</v>
      </c>
      <c r="V247" s="31">
        <f>Settings!$B$18*(N247-F$6)^2</f>
        <v>1.4909695663419532E-2</v>
      </c>
      <c r="W247" s="31">
        <f>Settings!$B$19*(O247-G$6)^2</f>
        <v>0.71745465475615655</v>
      </c>
      <c r="X247" s="31">
        <f>Settings!$B$20*(P247-H$6)^2</f>
        <v>1.2475237879133667</v>
      </c>
      <c r="Y247" s="31">
        <f>Settings!$B$21*(Q247-I$6)^2</f>
        <v>2.2196040546355093E-2</v>
      </c>
      <c r="Z247" s="31">
        <f>Settings!$B$22*(R247-J$6)^2</f>
        <v>0.28870654242276861</v>
      </c>
      <c r="AA247" s="31">
        <f>Settings!$B$23*(S247-K$6)^2</f>
        <v>1.18798014518951</v>
      </c>
      <c r="AB247" s="31">
        <f>Settings!$B$24*(T247-L$6)^2</f>
        <v>4.0566872163817775</v>
      </c>
      <c r="AC247" s="31">
        <f>Settings!$B$25*(U247-M$6)^2</f>
        <v>0.42354980581687107</v>
      </c>
      <c r="AD247" s="19">
        <f t="shared" si="12"/>
        <v>2.8211713681891473</v>
      </c>
      <c r="AE247" s="15">
        <f t="shared" si="13"/>
        <v>1.1166707742152575</v>
      </c>
      <c r="AF247" s="33">
        <f t="shared" si="14"/>
        <v>0.53607735516147847</v>
      </c>
      <c r="AG247" s="47">
        <f t="shared" si="15"/>
        <v>2.3121835761733983E-3</v>
      </c>
      <c r="AH247" s="18">
        <v>0.15994334266252741</v>
      </c>
      <c r="AI247" s="46">
        <v>1</v>
      </c>
      <c r="AJ247" s="18">
        <v>1.395865720102063</v>
      </c>
      <c r="AK247" s="46">
        <v>1</v>
      </c>
      <c r="AL247" s="48"/>
      <c r="AM247" s="48"/>
    </row>
    <row r="248" spans="1:39" ht="20" customHeight="1" x14ac:dyDescent="0.45">
      <c r="A248" s="26">
        <v>238</v>
      </c>
      <c r="B248" s="16" t="s">
        <v>762</v>
      </c>
      <c r="C248" s="16" t="s">
        <v>271</v>
      </c>
      <c r="D248" s="46">
        <v>28</v>
      </c>
      <c r="E248" s="46">
        <v>0</v>
      </c>
      <c r="F248" s="13">
        <v>0.40729304048383608</v>
      </c>
      <c r="G248" s="13">
        <v>0.25533732662263892</v>
      </c>
      <c r="H248" s="13">
        <v>2.432277492975078E-4</v>
      </c>
      <c r="I248" s="13">
        <v>0.1278202417276896</v>
      </c>
      <c r="J248" s="13">
        <v>-0.20930616341653799</v>
      </c>
      <c r="K248" s="13">
        <v>12.13488372093021</v>
      </c>
      <c r="L248" s="13">
        <v>0.64983341609142187</v>
      </c>
      <c r="M248" s="13">
        <v>-0.19053190482757409</v>
      </c>
      <c r="N248" s="19">
        <f>(F248-Settings!$D$18)/Settings!$E$18</f>
        <v>0.76936633404724308</v>
      </c>
      <c r="O248" s="19">
        <f>(G248-Settings!$D$19)/Settings!$E$19</f>
        <v>1.0914388338601484</v>
      </c>
      <c r="P248" s="19">
        <f>(H248-Settings!$D$20)/Settings!$E$20</f>
        <v>-0.47913892059406027</v>
      </c>
      <c r="Q248" s="19">
        <f>(I248-Settings!$D$21)/Settings!$E$21</f>
        <v>1.6080539474304019</v>
      </c>
      <c r="R248" s="19">
        <f>(J248-Settings!$D$22)/Settings!$E$22</f>
        <v>-1.2300303938210253</v>
      </c>
      <c r="S248" s="19">
        <f>(K248-Settings!$D$23)/Settings!$E$23</f>
        <v>-1.0836181027133927</v>
      </c>
      <c r="T248" s="19">
        <f>(L248-Settings!$D$24)/Settings!$E$24</f>
        <v>-0.45521178646279681</v>
      </c>
      <c r="U248" s="19">
        <f>(M248-Settings!$D$25)/Settings!$E$25</f>
        <v>-9.2526580650461765E-2</v>
      </c>
      <c r="V248" s="31">
        <f>Settings!$B$18*(N248-F$6)^2</f>
        <v>4.1673962591713062E-2</v>
      </c>
      <c r="W248" s="31">
        <f>Settings!$B$19*(O248-G$6)^2</f>
        <v>0.5881708487992463</v>
      </c>
      <c r="X248" s="31">
        <f>Settings!$B$20*(P248-H$6)^2</f>
        <v>1.246636626984184</v>
      </c>
      <c r="Y248" s="31">
        <f>Settings!$B$21*(Q248-I$6)^2</f>
        <v>0.49431814882116137</v>
      </c>
      <c r="Z248" s="31">
        <f>Settings!$B$22*(R248-J$6)^2</f>
        <v>0.35825650079680377</v>
      </c>
      <c r="AA248" s="31">
        <f>Settings!$B$23*(S248-K$6)^2</f>
        <v>1.6997779020246848</v>
      </c>
      <c r="AB248" s="31">
        <f>Settings!$B$24*(T248-L$6)^2</f>
        <v>1.3273090478176262</v>
      </c>
      <c r="AC248" s="31">
        <f>Settings!$B$25*(U248-M$6)^2</f>
        <v>2.2247499572999363</v>
      </c>
      <c r="AD248" s="19">
        <f t="shared" si="12"/>
        <v>2.8250474323691197</v>
      </c>
      <c r="AE248" s="15">
        <f t="shared" si="13"/>
        <v>1.1182049906891529</v>
      </c>
      <c r="AF248" s="33">
        <f t="shared" si="14"/>
        <v>0.53515909599546252</v>
      </c>
      <c r="AG248" s="47">
        <f t="shared" si="15"/>
        <v>2.3082229840277121E-3</v>
      </c>
      <c r="AH248" s="18">
        <v>-1.4844020434617191E-2</v>
      </c>
      <c r="AI248" s="46">
        <v>1</v>
      </c>
      <c r="AJ248" s="48"/>
      <c r="AK248" s="48"/>
      <c r="AL248" s="48"/>
      <c r="AM248" s="48"/>
    </row>
    <row r="249" spans="1:39" ht="20" customHeight="1" x14ac:dyDescent="0.45">
      <c r="A249" s="26">
        <v>239</v>
      </c>
      <c r="B249" s="16" t="s">
        <v>465</v>
      </c>
      <c r="C249" s="16" t="s">
        <v>220</v>
      </c>
      <c r="D249" s="46">
        <v>28</v>
      </c>
      <c r="E249" s="46">
        <v>1</v>
      </c>
      <c r="F249" s="13">
        <v>1.5377524800043689E-2</v>
      </c>
      <c r="G249" s="13">
        <v>-4.9504714704239977E-2</v>
      </c>
      <c r="H249" s="13">
        <v>0.26778475960725079</v>
      </c>
      <c r="I249" s="13">
        <v>2.3866388491050008E-2</v>
      </c>
      <c r="J249" s="13">
        <v>0.64346661239741565</v>
      </c>
      <c r="K249" s="13">
        <v>19.057785888077881</v>
      </c>
      <c r="L249" s="13">
        <v>2.3989509288867188</v>
      </c>
      <c r="M249" s="13">
        <v>1.33356398955833</v>
      </c>
      <c r="N249" s="19">
        <f>(F249-Settings!$D$18)/Settings!$E$18</f>
        <v>-0.63327486521927689</v>
      </c>
      <c r="O249" s="19">
        <f>(G249-Settings!$D$19)/Settings!$E$19</f>
        <v>-0.17857196434339606</v>
      </c>
      <c r="P249" s="19">
        <f>(H249-Settings!$D$20)/Settings!$E$20</f>
        <v>1.9448388057860189</v>
      </c>
      <c r="Q249" s="19">
        <f>(I249-Settings!$D$21)/Settings!$E$21</f>
        <v>0.32970144367855081</v>
      </c>
      <c r="R249" s="19">
        <f>(J249-Settings!$D$22)/Settings!$E$22</f>
        <v>1.0643949085474658</v>
      </c>
      <c r="S249" s="19">
        <f>(K249-Settings!$D$23)/Settings!$E$23</f>
        <v>1.3205465846726416</v>
      </c>
      <c r="T249" s="19">
        <f>(L249-Settings!$D$24)/Settings!$E$24</f>
        <v>0.75404882403145579</v>
      </c>
      <c r="U249" s="19">
        <f>(M249-Settings!$D$25)/Settings!$E$25</f>
        <v>0.9353406651455709</v>
      </c>
      <c r="V249" s="31">
        <f>Settings!$B$18*(N249-F$6)^2</f>
        <v>0.17904593475657449</v>
      </c>
      <c r="W249" s="31">
        <f>Settings!$B$19*(O249-G$6)^2</f>
        <v>3.9583839741508822E-2</v>
      </c>
      <c r="X249" s="31">
        <f>Settings!$B$20*(P249-H$6)^2</f>
        <v>1.055797324798552E-3</v>
      </c>
      <c r="Y249" s="31">
        <f>Settings!$B$21*(Q249-I$6)^2</f>
        <v>1.7260968983373214E-2</v>
      </c>
      <c r="Z249" s="31">
        <f>Settings!$B$22*(R249-J$6)^2</f>
        <v>0.18280145535498182</v>
      </c>
      <c r="AA249" s="31">
        <f>Settings!$B$23*(S249-K$6)^2</f>
        <v>1.2109008031805768</v>
      </c>
      <c r="AB249" s="31">
        <f>Settings!$B$24*(T249-L$6)^2</f>
        <v>3.2685938456252428E-3</v>
      </c>
      <c r="AC249" s="31">
        <f>Settings!$B$25*(U249-M$6)^2</f>
        <v>6.3475114910323684</v>
      </c>
      <c r="AD249" s="19">
        <f t="shared" si="12"/>
        <v>2.8251422768101091</v>
      </c>
      <c r="AE249" s="15">
        <f t="shared" si="13"/>
        <v>1.1182425318383877</v>
      </c>
      <c r="AF249" s="33">
        <f t="shared" si="14"/>
        <v>0.53513663080652019</v>
      </c>
      <c r="AG249" s="47">
        <f t="shared" si="15"/>
        <v>2.3081260882338345E-3</v>
      </c>
      <c r="AH249" s="18">
        <v>0.93894959007534817</v>
      </c>
      <c r="AI249" s="46">
        <v>1</v>
      </c>
      <c r="AJ249" s="18">
        <v>-0.76439278256576637</v>
      </c>
      <c r="AK249" s="46">
        <v>1</v>
      </c>
      <c r="AL249" s="18">
        <v>-1.128323634106815</v>
      </c>
      <c r="AM249" s="46">
        <v>1</v>
      </c>
    </row>
    <row r="250" spans="1:39" ht="20" customHeight="1" x14ac:dyDescent="0.45">
      <c r="A250" s="26">
        <v>240</v>
      </c>
      <c r="B250" s="16" t="s">
        <v>326</v>
      </c>
      <c r="C250" s="16" t="s">
        <v>236</v>
      </c>
      <c r="D250" s="46">
        <v>28</v>
      </c>
      <c r="E250" s="46">
        <v>0</v>
      </c>
      <c r="F250" s="13">
        <v>-0.207729479157307</v>
      </c>
      <c r="G250" s="13">
        <v>0.1220320233231158</v>
      </c>
      <c r="H250" s="13">
        <v>7.1373748766290782E-2</v>
      </c>
      <c r="I250" s="13">
        <v>0.1598515386758235</v>
      </c>
      <c r="J250" s="13">
        <v>0.43901321007746291</v>
      </c>
      <c r="K250" s="13">
        <v>17.75446009389676</v>
      </c>
      <c r="L250" s="13">
        <v>1.3619604419637019</v>
      </c>
      <c r="M250" s="13">
        <v>0.83210280533600545</v>
      </c>
      <c r="N250" s="19">
        <f>(F250-Settings!$D$18)/Settings!$E$18</f>
        <v>-1.4317609242605984</v>
      </c>
      <c r="O250" s="19">
        <f>(G250-Settings!$D$19)/Settings!$E$19</f>
        <v>0.53607194971487648</v>
      </c>
      <c r="P250" s="19">
        <f>(H250-Settings!$D$20)/Settings!$E$20</f>
        <v>0.16531727808893409</v>
      </c>
      <c r="Q250" s="19">
        <f>(I250-Settings!$D$21)/Settings!$E$21</f>
        <v>2.001952657070861</v>
      </c>
      <c r="R250" s="19">
        <f>(J250-Settings!$D$22)/Settings!$E$22</f>
        <v>0.5143034038198725</v>
      </c>
      <c r="S250" s="19">
        <f>(K250-Settings!$D$23)/Settings!$E$23</f>
        <v>0.86793151444977079</v>
      </c>
      <c r="T250" s="19">
        <f>(L250-Settings!$D$24)/Settings!$E$24</f>
        <v>3.712057871920553E-2</v>
      </c>
      <c r="U250" s="19">
        <f>(M250-Settings!$D$25)/Settings!$E$25</f>
        <v>0.59714965748072879</v>
      </c>
      <c r="V250" s="31">
        <f>Settings!$B$18*(N250-F$6)^2</f>
        <v>0.6087620044053107</v>
      </c>
      <c r="W250" s="31">
        <f>Settings!$B$19*(O250-G$6)^2</f>
        <v>0.26889965454903836</v>
      </c>
      <c r="X250" s="31">
        <f>Settings!$B$20*(P250-H$6)^2</f>
        <v>0.68611278934816189</v>
      </c>
      <c r="Y250" s="31">
        <f>Settings!$B$21*(Q250-I$6)^2</f>
        <v>0.77305327900794008</v>
      </c>
      <c r="Z250" s="31">
        <f>Settings!$B$22*(R250-J$6)^2</f>
        <v>3.2958394154745191E-2</v>
      </c>
      <c r="AA250" s="31">
        <f>Settings!$B$23*(S250-K$6)^2</f>
        <v>0.41963746753743786</v>
      </c>
      <c r="AB250" s="31">
        <f>Settings!$B$24*(T250-L$6)^2</f>
        <v>0.4352788079645919</v>
      </c>
      <c r="AC250" s="31">
        <f>Settings!$B$25*(U250-M$6)^2</f>
        <v>4.7577896600934704</v>
      </c>
      <c r="AD250" s="19">
        <f t="shared" si="12"/>
        <v>2.8253304332521347</v>
      </c>
      <c r="AE250" s="15">
        <f t="shared" si="13"/>
        <v>1.1183170075693409</v>
      </c>
      <c r="AF250" s="33">
        <f t="shared" si="14"/>
        <v>0.53509206396691411</v>
      </c>
      <c r="AG250" s="47">
        <f t="shared" si="15"/>
        <v>2.3079338646422448E-3</v>
      </c>
      <c r="AH250" s="18">
        <v>-0.21641419222880121</v>
      </c>
      <c r="AI250" s="46">
        <v>0</v>
      </c>
      <c r="AJ250" s="18">
        <v>-0.39070394733546809</v>
      </c>
      <c r="AK250" s="46">
        <v>1</v>
      </c>
      <c r="AL250" s="18">
        <v>0.47079934192450451</v>
      </c>
      <c r="AM250" s="46">
        <v>1</v>
      </c>
    </row>
    <row r="251" spans="1:39" ht="20" customHeight="1" x14ac:dyDescent="0.45">
      <c r="A251" s="26">
        <v>241</v>
      </c>
      <c r="B251" s="16" t="s">
        <v>650</v>
      </c>
      <c r="C251" s="16" t="s">
        <v>218</v>
      </c>
      <c r="D251" s="46">
        <v>28</v>
      </c>
      <c r="E251" s="46">
        <v>0</v>
      </c>
      <c r="F251" s="13">
        <v>0.19806492479888729</v>
      </c>
      <c r="G251" s="13">
        <v>0.13852354570237979</v>
      </c>
      <c r="H251" s="13">
        <v>-9.5190804319429834E-2</v>
      </c>
      <c r="I251" s="13">
        <v>8.2636845198329781E-5</v>
      </c>
      <c r="J251" s="13">
        <v>-0.56813808833410473</v>
      </c>
      <c r="K251" s="13">
        <v>12.713733333333341</v>
      </c>
      <c r="L251" s="13">
        <v>4.8777868479285107E-2</v>
      </c>
      <c r="M251" s="13">
        <v>-1.1094552111057341</v>
      </c>
      <c r="N251" s="19">
        <f>(F251-Settings!$D$18)/Settings!$E$18</f>
        <v>2.0551950945882178E-2</v>
      </c>
      <c r="O251" s="19">
        <f>(G251-Settings!$D$19)/Settings!$E$19</f>
        <v>0.60477773389515699</v>
      </c>
      <c r="P251" s="19">
        <f>(H251-Settings!$D$20)/Settings!$E$20</f>
        <v>-1.3437896029264695</v>
      </c>
      <c r="Q251" s="19">
        <f>(I251-Settings!$D$21)/Settings!$E$21</f>
        <v>3.7225335112615603E-2</v>
      </c>
      <c r="R251" s="19">
        <f>(J251-Settings!$D$22)/Settings!$E$22</f>
        <v>-2.1954845818286346</v>
      </c>
      <c r="S251" s="19">
        <f>(K251-Settings!$D$23)/Settings!$E$23</f>
        <v>-0.88259694657880017</v>
      </c>
      <c r="T251" s="19">
        <f>(L251-Settings!$D$24)/Settings!$E$24</f>
        <v>-0.87075436329335243</v>
      </c>
      <c r="U251" s="19">
        <f>(M251-Settings!$D$25)/Settings!$E$25</f>
        <v>-0.71225869291528188</v>
      </c>
      <c r="V251" s="31">
        <f>Settings!$B$18*(N251-F$6)^2</f>
        <v>1.7092413370621794E-2</v>
      </c>
      <c r="W251" s="31">
        <f>Settings!$B$19*(O251-G$6)^2</f>
        <v>0.301710181824066</v>
      </c>
      <c r="X251" s="31">
        <f>Settings!$B$20*(P251-H$6)^2</f>
        <v>2.2596474291509323</v>
      </c>
      <c r="Y251" s="31">
        <f>Settings!$B$21*(Q251-I$6)^2</f>
        <v>3.3839213860646005E-7</v>
      </c>
      <c r="Z251" s="31">
        <f>Settings!$B$22*(R251-J$6)^2</f>
        <v>1.0615377879778511</v>
      </c>
      <c r="AA251" s="31">
        <f>Settings!$B$23*(S251-K$6)^2</f>
        <v>1.2160226087485146</v>
      </c>
      <c r="AB251" s="31">
        <f>Settings!$B$24*(T251-L$6)^2</f>
        <v>2.4574687387646161</v>
      </c>
      <c r="AC251" s="31">
        <f>Settings!$B$25*(U251-M$6)^2</f>
        <v>0.76008311982600374</v>
      </c>
      <c r="AD251" s="19">
        <f t="shared" si="12"/>
        <v>2.8414015235539565</v>
      </c>
      <c r="AE251" s="15">
        <f t="shared" si="13"/>
        <v>1.1246782364731129</v>
      </c>
      <c r="AF251" s="33">
        <f t="shared" si="14"/>
        <v>0.53128824656641704</v>
      </c>
      <c r="AG251" s="47">
        <f t="shared" si="15"/>
        <v>2.291527418752467E-3</v>
      </c>
      <c r="AH251" s="18">
        <v>0.40446041318587422</v>
      </c>
      <c r="AI251" s="46">
        <v>0</v>
      </c>
      <c r="AJ251" s="18">
        <v>-9.934704680357842E-2</v>
      </c>
      <c r="AK251" s="46">
        <v>0</v>
      </c>
      <c r="AL251" s="48"/>
      <c r="AM251" s="48"/>
    </row>
    <row r="252" spans="1:39" ht="20" customHeight="1" x14ac:dyDescent="0.45">
      <c r="A252" s="26">
        <v>242</v>
      </c>
      <c r="B252" s="16" t="s">
        <v>391</v>
      </c>
      <c r="C252" s="16" t="s">
        <v>271</v>
      </c>
      <c r="D252" s="46">
        <v>28</v>
      </c>
      <c r="E252" s="46">
        <v>0</v>
      </c>
      <c r="F252" s="13">
        <v>0.35032812866818452</v>
      </c>
      <c r="G252" s="13">
        <v>8.2201070362219117E-2</v>
      </c>
      <c r="H252" s="13">
        <v>2.479819188239208E-2</v>
      </c>
      <c r="I252" s="13">
        <v>1.5719749389291889E-4</v>
      </c>
      <c r="J252" s="13">
        <v>0.5425154115933114</v>
      </c>
      <c r="K252" s="13">
        <v>15.95658436213988</v>
      </c>
      <c r="L252" s="13">
        <v>2.2553557384225349</v>
      </c>
      <c r="M252" s="13">
        <v>1.4462057723101109</v>
      </c>
      <c r="N252" s="19">
        <f>(F252-Settings!$D$18)/Settings!$E$18</f>
        <v>0.56549246575751833</v>
      </c>
      <c r="O252" s="19">
        <f>(G252-Settings!$D$19)/Settings!$E$19</f>
        <v>0.37013112297427059</v>
      </c>
      <c r="P252" s="19">
        <f>(H252-Settings!$D$20)/Settings!$E$20</f>
        <v>-0.25666622367355185</v>
      </c>
      <c r="Q252" s="19">
        <f>(I252-Settings!$D$21)/Settings!$E$21</f>
        <v>3.8142230340377066E-2</v>
      </c>
      <c r="R252" s="19">
        <f>(J252-Settings!$D$22)/Settings!$E$22</f>
        <v>0.79278094994244586</v>
      </c>
      <c r="S252" s="19">
        <f>(K252-Settings!$D$23)/Settings!$E$23</f>
        <v>0.24357062616365185</v>
      </c>
      <c r="T252" s="19">
        <f>(L252-Settings!$D$24)/Settings!$E$24</f>
        <v>0.65477361443890314</v>
      </c>
      <c r="U252" s="19">
        <f>(M252-Settings!$D$25)/Settings!$E$25</f>
        <v>1.0113075379815346</v>
      </c>
      <c r="V252" s="31">
        <f>Settings!$B$18*(N252-F$6)^2</f>
        <v>1.2761509216298353E-2</v>
      </c>
      <c r="W252" s="31">
        <f>Settings!$B$19*(O252-G$6)^2</f>
        <v>0.19744190994566527</v>
      </c>
      <c r="X252" s="31">
        <f>Settings!$B$20*(P252-H$6)^2</f>
        <v>1.0343622553100846</v>
      </c>
      <c r="Y252" s="31">
        <f>Settings!$B$21*(Q252-I$6)^2</f>
        <v>9.8359352554403498E-7</v>
      </c>
      <c r="Z252" s="31">
        <f>Settings!$B$22*(R252-J$6)^2</f>
        <v>9.3687056004745708E-2</v>
      </c>
      <c r="AA252" s="31">
        <f>Settings!$B$23*(S252-K$6)^2</f>
        <v>5.4912523401434103E-4</v>
      </c>
      <c r="AB252" s="31">
        <f>Settings!$B$24*(T252-L$6)^2</f>
        <v>1.7727124685255429E-3</v>
      </c>
      <c r="AC252" s="31">
        <f>Settings!$B$25*(U252-M$6)^2</f>
        <v>6.7360684101990982</v>
      </c>
      <c r="AD252" s="19">
        <f t="shared" si="12"/>
        <v>2.8419436943704492</v>
      </c>
      <c r="AE252" s="15">
        <f t="shared" si="13"/>
        <v>1.1248928375116165</v>
      </c>
      <c r="AF252" s="33">
        <f t="shared" si="14"/>
        <v>0.53116001960912218</v>
      </c>
      <c r="AG252" s="47">
        <f t="shared" si="15"/>
        <v>2.2909743562852217E-3</v>
      </c>
      <c r="AH252" s="18">
        <v>0.51751017723071779</v>
      </c>
      <c r="AI252" s="46">
        <v>1</v>
      </c>
      <c r="AJ252" s="18">
        <v>-0.3835540765439891</v>
      </c>
      <c r="AK252" s="46">
        <v>1</v>
      </c>
      <c r="AL252" s="18">
        <v>-0.9888449746726411</v>
      </c>
      <c r="AM252" s="46">
        <v>1</v>
      </c>
    </row>
    <row r="253" spans="1:39" ht="20" customHeight="1" x14ac:dyDescent="0.45">
      <c r="A253" s="26">
        <v>243</v>
      </c>
      <c r="B253" s="16" t="s">
        <v>477</v>
      </c>
      <c r="C253" s="16" t="s">
        <v>234</v>
      </c>
      <c r="D253" s="46">
        <v>28</v>
      </c>
      <c r="E253" s="46">
        <v>1</v>
      </c>
      <c r="F253" s="13">
        <v>0.28146204038936667</v>
      </c>
      <c r="G253" s="13">
        <v>0.44372639462221558</v>
      </c>
      <c r="H253" s="13">
        <v>-1.4720944398521521E-3</v>
      </c>
      <c r="I253" s="13">
        <v>-8.367014256672152E-2</v>
      </c>
      <c r="J253" s="13">
        <v>0.1896693279818438</v>
      </c>
      <c r="K253" s="13">
        <v>15.776419753086371</v>
      </c>
      <c r="L253" s="13">
        <v>1.1403445173604101</v>
      </c>
      <c r="M253" s="13">
        <v>0.8274045566361703</v>
      </c>
      <c r="N253" s="19">
        <f>(F253-Settings!$D$18)/Settings!$E$18</f>
        <v>0.31902502880580047</v>
      </c>
      <c r="O253" s="19">
        <f>(G253-Settings!$D$19)/Settings!$E$19</f>
        <v>1.8762917025181571</v>
      </c>
      <c r="P253" s="19">
        <f>(H253-Settings!$D$20)/Settings!$E$20</f>
        <v>-0.49468006948107446</v>
      </c>
      <c r="Q253" s="19">
        <f>(I253-Settings!$D$21)/Settings!$E$21</f>
        <v>-0.99270835107486155</v>
      </c>
      <c r="R253" s="19">
        <f>(J253-Settings!$D$22)/Settings!$E$22</f>
        <v>-0.15656805021419423</v>
      </c>
      <c r="S253" s="19">
        <f>(K253-Settings!$D$23)/Settings!$E$23</f>
        <v>0.18100360144696151</v>
      </c>
      <c r="T253" s="19">
        <f>(L253-Settings!$D$24)/Settings!$E$24</f>
        <v>-0.11609463199167629</v>
      </c>
      <c r="U253" s="19">
        <f>(M253-Settings!$D$25)/Settings!$E$25</f>
        <v>0.59398110623080236</v>
      </c>
      <c r="V253" s="31">
        <f>Settings!$B$18*(N253-F$6)^2</f>
        <v>7.5254832407901856E-6</v>
      </c>
      <c r="W253" s="31">
        <f>Settings!$B$19*(O253-G$6)^2</f>
        <v>1.2497447861501803</v>
      </c>
      <c r="X253" s="31">
        <f>Settings!$B$20*(P253-H$6)^2</f>
        <v>1.2622051589772059</v>
      </c>
      <c r="Y253" s="31">
        <f>Settings!$B$21*(Q253-I$6)^2</f>
        <v>0.21161714187969172</v>
      </c>
      <c r="Z253" s="31">
        <f>Settings!$B$22*(R253-J$6)^2</f>
        <v>1.4037123273760072E-2</v>
      </c>
      <c r="AA253" s="31">
        <f>Settings!$B$23*(S253-K$6)^2</f>
        <v>1.531438916055751E-3</v>
      </c>
      <c r="AB253" s="31">
        <f>Settings!$B$24*(T253-L$6)^2</f>
        <v>0.66092321025928313</v>
      </c>
      <c r="AC253" s="31">
        <f>Settings!$B$25*(U253-M$6)^2</f>
        <v>4.7439769849043323</v>
      </c>
      <c r="AD253" s="19">
        <f t="shared" si="12"/>
        <v>2.8537770357622105</v>
      </c>
      <c r="AE253" s="15">
        <f t="shared" si="13"/>
        <v>1.1295766885681275</v>
      </c>
      <c r="AF253" s="33">
        <f t="shared" si="14"/>
        <v>0.52836299144975052</v>
      </c>
      <c r="AG253" s="47">
        <f t="shared" si="15"/>
        <v>2.2789103462875497E-3</v>
      </c>
      <c r="AH253" s="18">
        <v>-0.1642770490684955</v>
      </c>
      <c r="AI253" s="46">
        <v>1</v>
      </c>
      <c r="AJ253" s="18">
        <v>0.29240995381984258</v>
      </c>
      <c r="AK253" s="46">
        <v>1</v>
      </c>
      <c r="AL253" s="18">
        <v>0.56588907069065231</v>
      </c>
      <c r="AM253" s="46">
        <v>1</v>
      </c>
    </row>
    <row r="254" spans="1:39" ht="20" customHeight="1" x14ac:dyDescent="0.45">
      <c r="A254" s="26">
        <v>244</v>
      </c>
      <c r="B254" s="16" t="s">
        <v>503</v>
      </c>
      <c r="C254" s="16" t="s">
        <v>220</v>
      </c>
      <c r="D254" s="46">
        <v>28</v>
      </c>
      <c r="E254" s="46">
        <v>1</v>
      </c>
      <c r="F254" s="13">
        <v>0.61003210109496087</v>
      </c>
      <c r="G254" s="13">
        <v>0.29460005418291912</v>
      </c>
      <c r="H254" s="13">
        <v>-7.6896561179194953E-2</v>
      </c>
      <c r="I254" s="13">
        <v>1.8849247782377611E-4</v>
      </c>
      <c r="J254" s="13">
        <v>-1.8282791065101368E-2</v>
      </c>
      <c r="K254" s="13">
        <v>12.666805555555561</v>
      </c>
      <c r="L254" s="13">
        <v>0.87286228358868079</v>
      </c>
      <c r="M254" s="13">
        <v>5.4515587985785367E-2</v>
      </c>
      <c r="N254" s="19">
        <f>(F254-Settings!$D$18)/Settings!$E$18</f>
        <v>1.4949567935563608</v>
      </c>
      <c r="O254" s="19">
        <f>(G254-Settings!$D$19)/Settings!$E$19</f>
        <v>1.2550123611578843</v>
      </c>
      <c r="P254" s="19">
        <f>(H254-Settings!$D$20)/Settings!$E$20</f>
        <v>-1.1780402421264606</v>
      </c>
      <c r="Q254" s="19">
        <f>(I254-Settings!$D$21)/Settings!$E$21</f>
        <v>3.852707438239459E-2</v>
      </c>
      <c r="R254" s="19">
        <f>(J254-Settings!$D$22)/Settings!$E$22</f>
        <v>-0.71607301701739046</v>
      </c>
      <c r="S254" s="19">
        <f>(K254-Settings!$D$23)/Settings!$E$23</f>
        <v>-0.89889388440441764</v>
      </c>
      <c r="T254" s="19">
        <f>(L254-Settings!$D$24)/Settings!$E$24</f>
        <v>-0.30101973104362462</v>
      </c>
      <c r="U254" s="19">
        <f>(M254-Settings!$D$25)/Settings!$E$25</f>
        <v>7.2736177719987166E-2</v>
      </c>
      <c r="V254" s="31">
        <f>Settings!$B$18*(N254-F$6)^2</f>
        <v>0.27945595071687562</v>
      </c>
      <c r="W254" s="31">
        <f>Settings!$B$19*(O254-G$6)^2</f>
        <v>0.70572647566477575</v>
      </c>
      <c r="X254" s="31">
        <f>Settings!$B$20*(P254-H$6)^2</f>
        <v>2.0422896602806637</v>
      </c>
      <c r="Y254" s="31">
        <f>Settings!$B$21*(Q254-I$6)^2</f>
        <v>1.3545941336137689E-6</v>
      </c>
      <c r="Z254" s="31">
        <f>Settings!$B$22*(R254-J$6)^2</f>
        <v>0.13593717855483956</v>
      </c>
      <c r="AA254" s="31">
        <f>Settings!$B$23*(S254-K$6)^2</f>
        <v>1.2522305787393591</v>
      </c>
      <c r="AB254" s="31">
        <f>Settings!$B$24*(T254-L$6)^2</f>
        <v>0.99579829805560394</v>
      </c>
      <c r="AC254" s="31">
        <f>Settings!$B$25*(U254-M$6)^2</f>
        <v>2.7450602349419198</v>
      </c>
      <c r="AD254" s="19">
        <f t="shared" si="12"/>
        <v>2.855958636175981</v>
      </c>
      <c r="AE254" s="15">
        <f t="shared" si="13"/>
        <v>1.1304402055634233</v>
      </c>
      <c r="AF254" s="33">
        <f t="shared" si="14"/>
        <v>0.52784767607649841</v>
      </c>
      <c r="AG254" s="47">
        <f t="shared" si="15"/>
        <v>2.2766877123129728E-3</v>
      </c>
      <c r="AH254" s="18">
        <v>-0.3512827655151648</v>
      </c>
      <c r="AI254" s="46">
        <v>1</v>
      </c>
      <c r="AJ254" s="18">
        <v>-0.76028932413883832</v>
      </c>
      <c r="AK254" s="46">
        <v>1</v>
      </c>
      <c r="AL254" s="18">
        <v>7.5732727334894057E-2</v>
      </c>
      <c r="AM254" s="46">
        <v>1</v>
      </c>
    </row>
    <row r="255" spans="1:39" ht="20" customHeight="1" x14ac:dyDescent="0.45">
      <c r="A255" s="26">
        <v>245</v>
      </c>
      <c r="B255" s="16" t="s">
        <v>616</v>
      </c>
      <c r="C255" s="16" t="s">
        <v>234</v>
      </c>
      <c r="D255" s="46">
        <v>28</v>
      </c>
      <c r="E255" s="46">
        <v>1</v>
      </c>
      <c r="F255" s="13">
        <v>0.3857361813632354</v>
      </c>
      <c r="G255" s="13">
        <v>0.39763021880750382</v>
      </c>
      <c r="H255" s="13">
        <v>-1.930332271868461E-3</v>
      </c>
      <c r="I255" s="13">
        <v>3.847050128926974E-3</v>
      </c>
      <c r="J255" s="13">
        <v>-0.2108562174284655</v>
      </c>
      <c r="K255" s="13">
        <v>12.922184684684661</v>
      </c>
      <c r="L255" s="13">
        <v>0.65273409239617819</v>
      </c>
      <c r="M255" s="13">
        <v>0.22965761061424031</v>
      </c>
      <c r="N255" s="19">
        <f>(F255-Settings!$D$18)/Settings!$E$18</f>
        <v>0.69221567907359727</v>
      </c>
      <c r="O255" s="19">
        <f>(G255-Settings!$D$19)/Settings!$E$19</f>
        <v>1.6842491588264936</v>
      </c>
      <c r="P255" s="19">
        <f>(H255-Settings!$D$20)/Settings!$E$20</f>
        <v>-0.49883179235743874</v>
      </c>
      <c r="Q255" s="19">
        <f>(I255-Settings!$D$21)/Settings!$E$21</f>
        <v>8.3517482989584474E-2</v>
      </c>
      <c r="R255" s="19">
        <f>(J255-Settings!$D$22)/Settings!$E$22</f>
        <v>-1.2342008871175658</v>
      </c>
      <c r="S255" s="19">
        <f>(K255-Settings!$D$23)/Settings!$E$23</f>
        <v>-0.81020658689194314</v>
      </c>
      <c r="T255" s="19">
        <f>(L255-Settings!$D$24)/Settings!$E$24</f>
        <v>-0.45320639027101656</v>
      </c>
      <c r="U255" s="19">
        <f>(M255-Settings!$D$25)/Settings!$E$25</f>
        <v>0.1908539084253717</v>
      </c>
      <c r="V255" s="31">
        <f>Settings!$B$18*(N255-F$6)^2</f>
        <v>2.8777456119696433E-2</v>
      </c>
      <c r="W255" s="31">
        <f>Settings!$B$19*(O255-G$6)^2</f>
        <v>1.0650979159435754</v>
      </c>
      <c r="X255" s="31">
        <f>Settings!$B$20*(P255-H$6)^2</f>
        <v>1.2663805489521069</v>
      </c>
      <c r="Y255" s="31">
        <f>Settings!$B$21*(Q255-I$6)^2</f>
        <v>4.5301685979823916E-4</v>
      </c>
      <c r="Z255" s="31">
        <f>Settings!$B$22*(R255-J$6)^2</f>
        <v>0.36049267471332214</v>
      </c>
      <c r="AA255" s="31">
        <f>Settings!$B$23*(S255-K$6)^2</f>
        <v>1.0616083292008966</v>
      </c>
      <c r="AB255" s="31">
        <f>Settings!$B$24*(T255-L$6)^2</f>
        <v>1.3226922796731588</v>
      </c>
      <c r="AC255" s="31">
        <f>Settings!$B$25*(U255-M$6)^2</f>
        <v>3.1504122209772629</v>
      </c>
      <c r="AD255" s="19">
        <f t="shared" si="12"/>
        <v>2.873310711085701</v>
      </c>
      <c r="AE255" s="15">
        <f t="shared" si="13"/>
        <v>1.1373084713987298</v>
      </c>
      <c r="AF255" s="33">
        <f t="shared" si="14"/>
        <v>0.52375289539653713</v>
      </c>
      <c r="AG255" s="47">
        <f t="shared" si="15"/>
        <v>2.2590262973229912E-3</v>
      </c>
      <c r="AH255" s="18">
        <v>-0.31752893905835738</v>
      </c>
      <c r="AI255" s="46">
        <v>1</v>
      </c>
      <c r="AJ255" s="18">
        <v>-9.5541662403422323E-2</v>
      </c>
      <c r="AK255" s="46">
        <v>1</v>
      </c>
      <c r="AL255" s="48"/>
      <c r="AM255" s="48"/>
    </row>
    <row r="256" spans="1:39" ht="20" customHeight="1" x14ac:dyDescent="0.45">
      <c r="A256" s="26">
        <v>246</v>
      </c>
      <c r="B256" s="16" t="s">
        <v>524</v>
      </c>
      <c r="C256" s="16" t="s">
        <v>229</v>
      </c>
      <c r="D256" s="46">
        <v>28</v>
      </c>
      <c r="E256" s="46">
        <v>1</v>
      </c>
      <c r="F256" s="13">
        <v>-0.28399631745944798</v>
      </c>
      <c r="G256" s="13">
        <v>0.32761830584613483</v>
      </c>
      <c r="H256" s="13">
        <v>-1.9141436495790792E-2</v>
      </c>
      <c r="I256" s="13">
        <v>9.7114234674624822E-2</v>
      </c>
      <c r="J256" s="13">
        <v>-0.27212970552400162</v>
      </c>
      <c r="K256" s="13">
        <v>14.574593495934939</v>
      </c>
      <c r="L256" s="13">
        <v>0.18740778719523241</v>
      </c>
      <c r="M256" s="13">
        <v>-0.23811337124369919</v>
      </c>
      <c r="N256" s="19">
        <f>(F256-Settings!$D$18)/Settings!$E$18</f>
        <v>-1.7047151841952599</v>
      </c>
      <c r="O256" s="19">
        <f>(G256-Settings!$D$19)/Settings!$E$19</f>
        <v>1.3925706059707157</v>
      </c>
      <c r="P256" s="19">
        <f>(H256-Settings!$D$20)/Settings!$E$20</f>
        <v>-0.65476770629002412</v>
      </c>
      <c r="Q256" s="19">
        <f>(I256-Settings!$D$21)/Settings!$E$21</f>
        <v>1.2304527352160555</v>
      </c>
      <c r="R256" s="19">
        <f>(J256-Settings!$D$22)/Settings!$E$22</f>
        <v>-1.3990600916302625</v>
      </c>
      <c r="S256" s="19">
        <f>(K256-Settings!$D$23)/Settings!$E$23</f>
        <v>-0.2363630141796848</v>
      </c>
      <c r="T256" s="19">
        <f>(L256-Settings!$D$24)/Settings!$E$24</f>
        <v>-0.77491191765268919</v>
      </c>
      <c r="U256" s="19">
        <f>(M256-Settings!$D$25)/Settings!$E$25</f>
        <v>-0.12461605154020845</v>
      </c>
      <c r="V256" s="31">
        <f>Settings!$B$18*(N256-F$6)^2</f>
        <v>0.81414687009045361</v>
      </c>
      <c r="W256" s="31">
        <f>Settings!$B$19*(O256-G$6)^2</f>
        <v>0.81287029290186286</v>
      </c>
      <c r="X256" s="31">
        <f>Settings!$B$20*(P256-H$6)^2</f>
        <v>1.4281980655505873</v>
      </c>
      <c r="Y256" s="31">
        <f>Settings!$B$21*(Q256-I$6)^2</f>
        <v>0.28537950213855706</v>
      </c>
      <c r="Z256" s="31">
        <f>Settings!$B$22*(R256-J$6)^2</f>
        <v>0.45446163787463362</v>
      </c>
      <c r="AA256" s="31">
        <f>Settings!$B$23*(S256-K$6)^2</f>
        <v>0.20839244998289264</v>
      </c>
      <c r="AB256" s="31">
        <f>Settings!$B$24*(T256-L$6)^2</f>
        <v>2.1661632261167019</v>
      </c>
      <c r="AC256" s="31">
        <f>Settings!$B$25*(U256-M$6)^2</f>
        <v>2.1300529764996647</v>
      </c>
      <c r="AD256" s="19">
        <f t="shared" si="12"/>
        <v>2.8809139211637951</v>
      </c>
      <c r="AE256" s="15">
        <f t="shared" si="13"/>
        <v>1.1403179597907362</v>
      </c>
      <c r="AF256" s="33">
        <f t="shared" si="14"/>
        <v>0.52196093831655854</v>
      </c>
      <c r="AG256" s="47">
        <f t="shared" si="15"/>
        <v>2.2512973125232397E-3</v>
      </c>
      <c r="AH256" s="18">
        <v>-0.14382890283951019</v>
      </c>
      <c r="AI256" s="46">
        <v>1</v>
      </c>
      <c r="AJ256" s="18">
        <v>0.56477258459699309</v>
      </c>
      <c r="AK256" s="46">
        <v>1</v>
      </c>
      <c r="AL256" s="18">
        <v>0.81209768207959943</v>
      </c>
      <c r="AM256" s="46">
        <v>1</v>
      </c>
    </row>
    <row r="257" spans="1:39" ht="20" customHeight="1" x14ac:dyDescent="0.45">
      <c r="A257" s="26">
        <v>247</v>
      </c>
      <c r="B257" s="16" t="s">
        <v>640</v>
      </c>
      <c r="C257" s="16" t="s">
        <v>229</v>
      </c>
      <c r="D257" s="46">
        <v>28</v>
      </c>
      <c r="E257" s="46">
        <v>1</v>
      </c>
      <c r="F257" s="13">
        <v>0.43081301624499901</v>
      </c>
      <c r="G257" s="13">
        <v>-0.29958646170491399</v>
      </c>
      <c r="H257" s="13">
        <v>-7.2608100291600544E-2</v>
      </c>
      <c r="I257" s="13">
        <v>3.9108541427975443E-2</v>
      </c>
      <c r="J257" s="13">
        <v>0.1578838803305109</v>
      </c>
      <c r="K257" s="13">
        <v>16.72548309178746</v>
      </c>
      <c r="L257" s="13">
        <v>0.3755385914255856</v>
      </c>
      <c r="M257" s="13">
        <v>0.65138491398595855</v>
      </c>
      <c r="N257" s="19">
        <f>(F257-Settings!$D$18)/Settings!$E$18</f>
        <v>0.85354286110001321</v>
      </c>
      <c r="O257" s="19">
        <f>(G257-Settings!$D$19)/Settings!$E$19</f>
        <v>-1.2204443968399912</v>
      </c>
      <c r="P257" s="19">
        <f>(H257-Settings!$D$20)/Settings!$E$20</f>
        <v>-1.1391859618216738</v>
      </c>
      <c r="Q257" s="19">
        <f>(I257-Settings!$D$21)/Settings!$E$21</f>
        <v>0.51713888599376867</v>
      </c>
      <c r="R257" s="19">
        <f>(J257-Settings!$D$22)/Settings!$E$22</f>
        <v>-0.24208829359757125</v>
      </c>
      <c r="S257" s="19">
        <f>(K257-Settings!$D$23)/Settings!$E$23</f>
        <v>0.51059146935380251</v>
      </c>
      <c r="T257" s="19">
        <f>(L257-Settings!$D$24)/Settings!$E$24</f>
        <v>-0.64484680223754431</v>
      </c>
      <c r="U257" s="19">
        <f>(M257-Settings!$D$25)/Settings!$E$25</f>
        <v>0.47527149880824959</v>
      </c>
      <c r="V257" s="31">
        <f>Settings!$B$18*(N257-F$6)^2</f>
        <v>5.8460906492897306E-2</v>
      </c>
      <c r="W257" s="31">
        <f>Settings!$B$19*(O257-G$6)^2</f>
        <v>7.1279728720232305E-2</v>
      </c>
      <c r="X257" s="31">
        <f>Settings!$B$20*(P257-H$6)^2</f>
        <v>1.9929274956395844</v>
      </c>
      <c r="Y257" s="31">
        <f>Settings!$B$21*(Q257-I$6)^2</f>
        <v>4.6313441424067216E-2</v>
      </c>
      <c r="Z257" s="31">
        <f>Settings!$B$22*(R257-J$6)^2</f>
        <v>2.4562469161024909E-2</v>
      </c>
      <c r="AA257" s="31">
        <f>Settings!$B$23*(S257-K$6)^2</f>
        <v>8.4363679762882407E-2</v>
      </c>
      <c r="AB257" s="31">
        <f>Settings!$B$24*(T257-L$6)^2</f>
        <v>1.8002233157527094</v>
      </c>
      <c r="AC257" s="31">
        <f>Settings!$B$25*(U257-M$6)^2</f>
        <v>4.2409539372775154</v>
      </c>
      <c r="AD257" s="19">
        <f t="shared" si="12"/>
        <v>2.8842824019556259</v>
      </c>
      <c r="AE257" s="15">
        <f t="shared" si="13"/>
        <v>1.1416512655573257</v>
      </c>
      <c r="AF257" s="33">
        <f t="shared" si="14"/>
        <v>0.52116749254868733</v>
      </c>
      <c r="AG257" s="47">
        <f t="shared" si="15"/>
        <v>2.2478750596423968E-3</v>
      </c>
      <c r="AH257" s="18">
        <v>-1.1046944749550649</v>
      </c>
      <c r="AI257" s="46">
        <v>1</v>
      </c>
      <c r="AJ257" s="18">
        <v>-0.49408040945489679</v>
      </c>
      <c r="AK257" s="46">
        <v>1</v>
      </c>
      <c r="AL257" s="18">
        <v>1.2198984540040341</v>
      </c>
      <c r="AM257" s="46">
        <v>1</v>
      </c>
    </row>
    <row r="258" spans="1:39" ht="20" customHeight="1" x14ac:dyDescent="0.45">
      <c r="A258" s="26">
        <v>248</v>
      </c>
      <c r="B258" s="16" t="s">
        <v>523</v>
      </c>
      <c r="C258" s="16" t="s">
        <v>246</v>
      </c>
      <c r="D258" s="46">
        <v>28</v>
      </c>
      <c r="E258" s="46">
        <v>1</v>
      </c>
      <c r="F258" s="13">
        <v>0.86899061570348557</v>
      </c>
      <c r="G258" s="13">
        <v>1.400641437181166E-2</v>
      </c>
      <c r="H258" s="13">
        <v>2.5803991515473471E-4</v>
      </c>
      <c r="I258" s="13">
        <v>1.140549133912974E-2</v>
      </c>
      <c r="J258" s="13">
        <v>-0.1053394386704182</v>
      </c>
      <c r="K258" s="13">
        <v>14.204487179487179</v>
      </c>
      <c r="L258" s="13">
        <v>0.81003387385229231</v>
      </c>
      <c r="M258" s="13">
        <v>0.72893025977757142</v>
      </c>
      <c r="N258" s="19">
        <f>(F258-Settings!$D$18)/Settings!$E$18</f>
        <v>2.4217531742942895</v>
      </c>
      <c r="O258" s="19">
        <f>(G258-Settings!$D$19)/Settings!$E$19</f>
        <v>8.6023494280350679E-2</v>
      </c>
      <c r="P258" s="19">
        <f>(H258-Settings!$D$20)/Settings!$E$20</f>
        <v>-0.47900471952304141</v>
      </c>
      <c r="Q258" s="19">
        <f>(I258-Settings!$D$21)/Settings!$E$21</f>
        <v>0.1764659591132024</v>
      </c>
      <c r="R258" s="19">
        <f>(J258-Settings!$D$22)/Settings!$E$22</f>
        <v>-0.9503030260773816</v>
      </c>
      <c r="S258" s="19">
        <f>(K258-Settings!$D$23)/Settings!$E$23</f>
        <v>-0.36489242498151825</v>
      </c>
      <c r="T258" s="19">
        <f>(L258-Settings!$D$24)/Settings!$E$24</f>
        <v>-0.3444564473067816</v>
      </c>
      <c r="U258" s="19">
        <f>(M258-Settings!$D$25)/Settings!$E$25</f>
        <v>0.52756894367161344</v>
      </c>
      <c r="V258" s="31">
        <f>Settings!$B$18*(N258-F$6)^2</f>
        <v>0.88946001013717901</v>
      </c>
      <c r="W258" s="31">
        <f>Settings!$B$19*(O258-G$6)^2</f>
        <v>0.1006713992239831</v>
      </c>
      <c r="X258" s="31">
        <f>Settings!$B$20*(P258-H$6)^2</f>
        <v>1.2465026101840682</v>
      </c>
      <c r="Y258" s="31">
        <f>Settings!$B$21*(Q258-I$6)^2</f>
        <v>3.9503757801077786E-3</v>
      </c>
      <c r="Z258" s="31">
        <f>Settings!$B$22*(R258-J$6)^2</f>
        <v>0.22415247721045484</v>
      </c>
      <c r="AA258" s="31">
        <f>Settings!$B$23*(S258-K$6)^2</f>
        <v>0.34225966779200717</v>
      </c>
      <c r="AB258" s="31">
        <f>Settings!$B$24*(T258-L$6)^2</f>
        <v>1.084375778651449</v>
      </c>
      <c r="AC258" s="31">
        <f>Settings!$B$25*(U258-M$6)^2</f>
        <v>4.4590872464956268</v>
      </c>
      <c r="AD258" s="19">
        <f t="shared" si="12"/>
        <v>2.8897161738611761</v>
      </c>
      <c r="AE258" s="15">
        <f t="shared" si="13"/>
        <v>1.1438020509896103</v>
      </c>
      <c r="AF258" s="33">
        <f t="shared" si="14"/>
        <v>0.51988816079962941</v>
      </c>
      <c r="AG258" s="47">
        <f t="shared" si="15"/>
        <v>2.2423571062534535E-3</v>
      </c>
      <c r="AH258" s="18">
        <v>-8.9534201441671346E-2</v>
      </c>
      <c r="AI258" s="46">
        <v>1</v>
      </c>
      <c r="AJ258" s="48"/>
      <c r="AK258" s="48"/>
      <c r="AL258" s="48"/>
      <c r="AM258" s="48"/>
    </row>
    <row r="259" spans="1:39" ht="20" customHeight="1" x14ac:dyDescent="0.45">
      <c r="A259" s="26">
        <v>249</v>
      </c>
      <c r="B259" s="16" t="s">
        <v>546</v>
      </c>
      <c r="C259" s="16" t="s">
        <v>246</v>
      </c>
      <c r="D259" s="46">
        <v>28</v>
      </c>
      <c r="E259" s="46">
        <v>1</v>
      </c>
      <c r="F259" s="13">
        <v>0.13802091354849799</v>
      </c>
      <c r="G259" s="13">
        <v>-0.42674201184540489</v>
      </c>
      <c r="H259" s="13">
        <v>-6.9770010960290216E-3</v>
      </c>
      <c r="I259" s="13">
        <v>6.0667398945040227E-3</v>
      </c>
      <c r="J259" s="13">
        <v>0.42219333361556433</v>
      </c>
      <c r="K259" s="13">
        <v>14.256428571428589</v>
      </c>
      <c r="L259" s="13">
        <v>0.36178770153213241</v>
      </c>
      <c r="M259" s="13">
        <v>0.77453408980664962</v>
      </c>
      <c r="N259" s="19">
        <f>(F259-Settings!$D$18)/Settings!$E$18</f>
        <v>-0.19434182227479715</v>
      </c>
      <c r="O259" s="19">
        <f>(G259-Settings!$D$19)/Settings!$E$19</f>
        <v>-1.7501906255000099</v>
      </c>
      <c r="P259" s="19">
        <f>(H259-Settings!$D$20)/Settings!$E$20</f>
        <v>-0.54455558236951385</v>
      </c>
      <c r="Q259" s="19">
        <f>(I259-Settings!$D$21)/Settings!$E$21</f>
        <v>0.11081369069165413</v>
      </c>
      <c r="R259" s="19">
        <f>(J259-Settings!$D$22)/Settings!$E$22</f>
        <v>0.46904873430951305</v>
      </c>
      <c r="S259" s="19">
        <f>(K259-Settings!$D$23)/Settings!$E$23</f>
        <v>-0.34685437427616411</v>
      </c>
      <c r="T259" s="19">
        <f>(L259-Settings!$D$24)/Settings!$E$24</f>
        <v>-0.65435354457232442</v>
      </c>
      <c r="U259" s="19">
        <f>(M259-Settings!$D$25)/Settings!$E$25</f>
        <v>0.5583246745560051</v>
      </c>
      <c r="V259" s="31">
        <f>Settings!$B$18*(N259-F$6)^2</f>
        <v>5.1457008893864592E-2</v>
      </c>
      <c r="W259" s="31">
        <f>Settings!$B$19*(O259-G$6)^2</f>
        <v>0.25390750352266583</v>
      </c>
      <c r="X259" s="31">
        <f>Settings!$B$20*(P259-H$6)^2</f>
        <v>1.3128210891525087</v>
      </c>
      <c r="Y259" s="31">
        <f>Settings!$B$21*(Q259-I$6)^2</f>
        <v>1.1216757435361295E-3</v>
      </c>
      <c r="Z259" s="31">
        <f>Settings!$B$22*(R259-J$6)^2</f>
        <v>2.6019614455242614E-2</v>
      </c>
      <c r="AA259" s="31">
        <f>Settings!$B$23*(S259-K$6)^2</f>
        <v>0.32147945081083967</v>
      </c>
      <c r="AB259" s="31">
        <f>Settings!$B$24*(T259-L$6)^2</f>
        <v>1.8258245427743625</v>
      </c>
      <c r="AC259" s="31">
        <f>Settings!$B$25*(U259-M$6)^2</f>
        <v>4.5899241532139294</v>
      </c>
      <c r="AD259" s="19">
        <f t="shared" si="12"/>
        <v>2.895264243306118</v>
      </c>
      <c r="AE259" s="15">
        <f t="shared" si="13"/>
        <v>1.1459980774601539</v>
      </c>
      <c r="AF259" s="33">
        <f t="shared" si="14"/>
        <v>0.51858268377167682</v>
      </c>
      <c r="AG259" s="47">
        <f t="shared" si="15"/>
        <v>2.2367263842801399E-3</v>
      </c>
      <c r="AH259" s="18">
        <v>0.72470345333705932</v>
      </c>
      <c r="AI259" s="46">
        <v>1</v>
      </c>
      <c r="AJ259" s="48"/>
      <c r="AK259" s="48"/>
      <c r="AL259" s="48"/>
      <c r="AM259" s="48"/>
    </row>
    <row r="260" spans="1:39" ht="20" customHeight="1" x14ac:dyDescent="0.45">
      <c r="A260" s="26">
        <v>250</v>
      </c>
      <c r="B260" s="16" t="s">
        <v>269</v>
      </c>
      <c r="C260" s="16" t="s">
        <v>218</v>
      </c>
      <c r="D260" s="46">
        <v>28</v>
      </c>
      <c r="E260" s="46">
        <v>0</v>
      </c>
      <c r="F260" s="13">
        <v>0.10930908988697551</v>
      </c>
      <c r="G260" s="13">
        <v>-0.13019861265709079</v>
      </c>
      <c r="H260" s="13">
        <v>0.1064498749587325</v>
      </c>
      <c r="I260" s="13">
        <v>-4.1832395316928674E-6</v>
      </c>
      <c r="J260" s="13">
        <v>0.65403823925766946</v>
      </c>
      <c r="K260" s="13">
        <v>20.22500000000003</v>
      </c>
      <c r="L260" s="13">
        <v>5.5324327904161006</v>
      </c>
      <c r="M260" s="13">
        <v>-1.3633757114736711</v>
      </c>
      <c r="N260" s="19">
        <f>(F260-Settings!$D$18)/Settings!$E$18</f>
        <v>-0.29709964931173322</v>
      </c>
      <c r="O260" s="19">
        <f>(G260-Settings!$D$19)/Settings!$E$19</f>
        <v>-0.51475302815986923</v>
      </c>
      <c r="P260" s="19">
        <f>(H260-Settings!$D$20)/Settings!$E$20</f>
        <v>0.48311372646733974</v>
      </c>
      <c r="Q260" s="19">
        <f>(I260-Settings!$D$21)/Settings!$E$21</f>
        <v>3.6157681829596618E-2</v>
      </c>
      <c r="R260" s="19">
        <f>(J260-Settings!$D$22)/Settings!$E$22</f>
        <v>1.0928383683333542</v>
      </c>
      <c r="S260" s="19">
        <f>(K260-Settings!$D$23)/Settings!$E$23</f>
        <v>1.7258931983830681</v>
      </c>
      <c r="T260" s="19">
        <f>(L260-Settings!$D$24)/Settings!$E$24</f>
        <v>2.9203962312963361</v>
      </c>
      <c r="U260" s="19">
        <f>(M260-Settings!$D$25)/Settings!$E$25</f>
        <v>-0.88350550640368364</v>
      </c>
      <c r="V260" s="31">
        <f>Settings!$B$18*(N260-F$6)^2</f>
        <v>7.4417696436581679E-2</v>
      </c>
      <c r="W260" s="31">
        <f>Settings!$B$19*(O260-G$6)^2</f>
        <v>2.3631398454655624E-3</v>
      </c>
      <c r="X260" s="31">
        <f>Settings!$B$20*(P260-H$6)^2</f>
        <v>0.47086544910822004</v>
      </c>
      <c r="Y260" s="31">
        <f>Settings!$B$21*(Q260-I$6)^2</f>
        <v>1.0867178977841487E-8</v>
      </c>
      <c r="Z260" s="31">
        <f>Settings!$B$22*(R260-J$6)^2</f>
        <v>0.19384046458324444</v>
      </c>
      <c r="AA260" s="31">
        <f>Settings!$B$23*(S260-K$6)^2</f>
        <v>2.26730111203192</v>
      </c>
      <c r="AB260" s="31">
        <f>Settings!$B$24*(T260-L$6)^2</f>
        <v>4.9440368534158727</v>
      </c>
      <c r="AC260" s="31">
        <f>Settings!$B$25*(U260-M$6)^2</f>
        <v>0.4908132421187123</v>
      </c>
      <c r="AD260" s="19">
        <f t="shared" si="12"/>
        <v>2.9057938619948929</v>
      </c>
      <c r="AE260" s="15">
        <f t="shared" si="13"/>
        <v>1.1501658914348623</v>
      </c>
      <c r="AF260" s="33">
        <f t="shared" si="14"/>
        <v>0.51610719702204055</v>
      </c>
      <c r="AG260" s="47">
        <f t="shared" si="15"/>
        <v>2.2260492315326233E-3</v>
      </c>
      <c r="AH260" s="18">
        <v>-0.51162166563461486</v>
      </c>
      <c r="AI260" s="46">
        <v>0</v>
      </c>
      <c r="AJ260" s="18">
        <v>0.86130728363010167</v>
      </c>
      <c r="AK260" s="46">
        <v>0</v>
      </c>
      <c r="AL260" s="18">
        <v>-1.480052043940753</v>
      </c>
      <c r="AM260" s="46">
        <v>0</v>
      </c>
    </row>
    <row r="261" spans="1:39" ht="20" customHeight="1" x14ac:dyDescent="0.45">
      <c r="A261" s="26">
        <v>251</v>
      </c>
      <c r="B261" s="16" t="s">
        <v>369</v>
      </c>
      <c r="C261" s="16" t="s">
        <v>234</v>
      </c>
      <c r="D261" s="46">
        <v>28</v>
      </c>
      <c r="E261" s="46">
        <v>1</v>
      </c>
      <c r="F261" s="13">
        <v>-0.1162763608302779</v>
      </c>
      <c r="G261" s="13">
        <v>0.24465411911542559</v>
      </c>
      <c r="H261" s="13">
        <v>-9.8541279857921077E-2</v>
      </c>
      <c r="I261" s="13">
        <v>-0.1240481946331759</v>
      </c>
      <c r="J261" s="13">
        <v>0.41648004556319951</v>
      </c>
      <c r="K261" s="13">
        <v>15.299766899766871</v>
      </c>
      <c r="L261" s="13">
        <v>0.69414861682859974</v>
      </c>
      <c r="M261" s="13">
        <v>0.33580624106033902</v>
      </c>
      <c r="N261" s="19">
        <f>(F261-Settings!$D$18)/Settings!$E$18</f>
        <v>-1.1044559148044701</v>
      </c>
      <c r="O261" s="19">
        <f>(G261-Settings!$D$19)/Settings!$E$19</f>
        <v>1.0469312297430984</v>
      </c>
      <c r="P261" s="19">
        <f>(H261-Settings!$D$20)/Settings!$E$20</f>
        <v>-1.3741455555955151</v>
      </c>
      <c r="Q261" s="19">
        <f>(I261-Settings!$D$21)/Settings!$E$21</f>
        <v>-1.4892496754091622</v>
      </c>
      <c r="R261" s="19">
        <f>(J261-Settings!$D$22)/Settings!$E$22</f>
        <v>0.45367686381968247</v>
      </c>
      <c r="S261" s="19">
        <f>(K261-Settings!$D$23)/Settings!$E$23</f>
        <v>1.5473029090962905E-2</v>
      </c>
      <c r="T261" s="19">
        <f>(L261-Settings!$D$24)/Settings!$E$24</f>
        <v>-0.42457426422338246</v>
      </c>
      <c r="U261" s="19">
        <f>(M261-Settings!$D$25)/Settings!$E$25</f>
        <v>0.26244172702888163</v>
      </c>
      <c r="V261" s="31">
        <f>Settings!$B$18*(N261-F$6)^2</f>
        <v>0.40177440423280208</v>
      </c>
      <c r="W261" s="31">
        <f>Settings!$B$19*(O261-G$6)^2</f>
        <v>0.55803674216912691</v>
      </c>
      <c r="X261" s="31">
        <f>Settings!$B$20*(P261-H$6)^2</f>
        <v>2.300645729802274</v>
      </c>
      <c r="Y261" s="31">
        <f>Settings!$B$21*(Q261-I$6)^2</f>
        <v>0.46523130261595419</v>
      </c>
      <c r="Z261" s="31">
        <f>Settings!$B$22*(R261-J$6)^2</f>
        <v>2.3849074562652891E-2</v>
      </c>
      <c r="AA261" s="31">
        <f>Settings!$B$23*(S261-K$6)^2</f>
        <v>4.1887424843045536E-2</v>
      </c>
      <c r="AB261" s="31">
        <f>Settings!$B$24*(T261-L$6)^2</f>
        <v>1.2576534012962646</v>
      </c>
      <c r="AC261" s="31">
        <f>Settings!$B$25*(U261-M$6)^2</f>
        <v>3.4096652110212746</v>
      </c>
      <c r="AD261" s="19">
        <f t="shared" si="12"/>
        <v>2.908391873620781</v>
      </c>
      <c r="AE261" s="15">
        <f t="shared" si="13"/>
        <v>1.1511942315372796</v>
      </c>
      <c r="AF261" s="33">
        <f t="shared" si="14"/>
        <v>0.51549685348151009</v>
      </c>
      <c r="AG261" s="47">
        <f t="shared" si="15"/>
        <v>2.2234167265468216E-3</v>
      </c>
      <c r="AH261" s="18">
        <v>1.0797013278267971</v>
      </c>
      <c r="AI261" s="46">
        <v>1</v>
      </c>
      <c r="AJ261" s="18">
        <v>-0.43393852290565998</v>
      </c>
      <c r="AK261" s="46">
        <v>1</v>
      </c>
      <c r="AL261" s="18">
        <v>-0.34055355621970962</v>
      </c>
      <c r="AM261" s="46">
        <v>1</v>
      </c>
    </row>
    <row r="262" spans="1:39" ht="20" customHeight="1" x14ac:dyDescent="0.45">
      <c r="A262" s="26">
        <v>252</v>
      </c>
      <c r="B262" s="16" t="s">
        <v>413</v>
      </c>
      <c r="C262" s="16" t="s">
        <v>216</v>
      </c>
      <c r="D262" s="46">
        <v>28</v>
      </c>
      <c r="E262" s="46">
        <v>1</v>
      </c>
      <c r="F262" s="13">
        <v>0.1140119347662511</v>
      </c>
      <c r="G262" s="13">
        <v>0.25196161105449261</v>
      </c>
      <c r="H262" s="13">
        <v>0.146112356148488</v>
      </c>
      <c r="I262" s="13">
        <v>-0.22731173021737799</v>
      </c>
      <c r="J262" s="13">
        <v>0.26060236781339019</v>
      </c>
      <c r="K262" s="13">
        <v>19.330607966456981</v>
      </c>
      <c r="L262" s="13">
        <v>1.4639972490936659</v>
      </c>
      <c r="M262" s="13">
        <v>0.63808689314339162</v>
      </c>
      <c r="N262" s="19">
        <f>(F262-Settings!$D$18)/Settings!$E$18</f>
        <v>-0.28026846065638616</v>
      </c>
      <c r="O262" s="19">
        <f>(G262-Settings!$D$19)/Settings!$E$19</f>
        <v>1.0773751725470668</v>
      </c>
      <c r="P262" s="19">
        <f>(H262-Settings!$D$20)/Settings!$E$20</f>
        <v>0.842463433069082</v>
      </c>
      <c r="Q262" s="19">
        <f>(I262-Settings!$D$21)/Settings!$E$21</f>
        <v>-2.7591131306851597</v>
      </c>
      <c r="R262" s="19">
        <f>(J262-Settings!$D$22)/Settings!$E$22</f>
        <v>3.4280633021583413E-2</v>
      </c>
      <c r="S262" s="19">
        <f>(K262-Settings!$D$23)/Settings!$E$23</f>
        <v>1.4152914172503555</v>
      </c>
      <c r="T262" s="19">
        <f>(L262-Settings!$D$24)/Settings!$E$24</f>
        <v>0.10766420473646161</v>
      </c>
      <c r="U262" s="19">
        <f>(M262-Settings!$D$25)/Settings!$E$25</f>
        <v>0.46630316544527906</v>
      </c>
      <c r="V262" s="31">
        <f>Settings!$B$18*(N262-F$6)^2</f>
        <v>7.0367607747660363E-2</v>
      </c>
      <c r="W262" s="31">
        <f>Settings!$B$19*(O262-G$6)^2</f>
        <v>0.57856334253998132</v>
      </c>
      <c r="X262" s="31">
        <f>Settings!$B$20*(P262-H$6)^2</f>
        <v>0.27614004387866059</v>
      </c>
      <c r="Y262" s="31">
        <f>Settings!$B$21*(Q262-I$6)^2</f>
        <v>1.5624471621927398</v>
      </c>
      <c r="Z262" s="31">
        <f>Settings!$B$22*(R262-J$6)^2</f>
        <v>1.0974803148258894E-3</v>
      </c>
      <c r="AA262" s="31">
        <f>Settings!$B$23*(S262-K$6)^2</f>
        <v>1.4283935913954255</v>
      </c>
      <c r="AB262" s="31">
        <f>Settings!$B$24*(T262-L$6)^2</f>
        <v>0.34717196150427243</v>
      </c>
      <c r="AC262" s="31">
        <f>Settings!$B$25*(U262-M$6)^2</f>
        <v>4.2040963564142366</v>
      </c>
      <c r="AD262" s="19">
        <f t="shared" si="12"/>
        <v>2.9100305060235714</v>
      </c>
      <c r="AE262" s="15">
        <f t="shared" si="13"/>
        <v>1.1518428319500411</v>
      </c>
      <c r="AF262" s="33">
        <f t="shared" si="14"/>
        <v>0.5151119853076247</v>
      </c>
      <c r="AG262" s="47">
        <f t="shared" si="15"/>
        <v>2.2217567312829258E-3</v>
      </c>
      <c r="AH262" s="18">
        <v>-0.72671233685612846</v>
      </c>
      <c r="AI262" s="46">
        <v>1</v>
      </c>
      <c r="AJ262" s="18">
        <v>-0.87557613426279568</v>
      </c>
      <c r="AK262" s="46">
        <v>1</v>
      </c>
      <c r="AL262" s="48"/>
      <c r="AM262" s="48"/>
    </row>
    <row r="263" spans="1:39" ht="20" customHeight="1" x14ac:dyDescent="0.45">
      <c r="A263" s="26">
        <v>253</v>
      </c>
      <c r="B263" s="16" t="s">
        <v>439</v>
      </c>
      <c r="C263" s="16" t="s">
        <v>229</v>
      </c>
      <c r="D263" s="46">
        <v>28</v>
      </c>
      <c r="E263" s="46">
        <v>1</v>
      </c>
      <c r="F263" s="13">
        <v>-0.4070378938140139</v>
      </c>
      <c r="G263" s="13">
        <v>0.31888918294429242</v>
      </c>
      <c r="H263" s="13">
        <v>-4.4263613341363759E-3</v>
      </c>
      <c r="I263" s="13">
        <v>-0.19784557489601359</v>
      </c>
      <c r="J263" s="13">
        <v>7.1800987011543652E-2</v>
      </c>
      <c r="K263" s="13">
        <v>17.799585921325029</v>
      </c>
      <c r="L263" s="13">
        <v>-0.17100692847014071</v>
      </c>
      <c r="M263" s="13">
        <v>-1.2622862588811261</v>
      </c>
      <c r="N263" s="19">
        <f>(F263-Settings!$D$18)/Settings!$E$18</f>
        <v>-2.1450733157596558</v>
      </c>
      <c r="O263" s="19">
        <f>(G263-Settings!$D$19)/Settings!$E$19</f>
        <v>1.3562039673800161</v>
      </c>
      <c r="P263" s="19">
        <f>(H263-Settings!$D$20)/Settings!$E$20</f>
        <v>-0.5214462956434075</v>
      </c>
      <c r="Q263" s="19">
        <f>(I263-Settings!$D$21)/Settings!$E$21</f>
        <v>-2.3967587565258901</v>
      </c>
      <c r="R263" s="19">
        <f>(J263-Settings!$D$22)/Settings!$E$22</f>
        <v>-0.47369837090521766</v>
      </c>
      <c r="S263" s="19">
        <f>(K263-Settings!$D$23)/Settings!$E$23</f>
        <v>0.88360267636607726</v>
      </c>
      <c r="T263" s="19">
        <f>(L263-Settings!$D$24)/Settings!$E$24</f>
        <v>-1.0227036152973956</v>
      </c>
      <c r="U263" s="19">
        <f>(M263-Settings!$D$25)/Settings!$E$25</f>
        <v>-0.81532965369121746</v>
      </c>
      <c r="V263" s="31">
        <f>Settings!$B$18*(N263-F$6)^2</f>
        <v>1.2083176268080535</v>
      </c>
      <c r="W263" s="31">
        <f>Settings!$B$19*(O263-G$6)^2</f>
        <v>0.78380839760782761</v>
      </c>
      <c r="X263" s="31">
        <f>Settings!$B$20*(P263-H$6)^2</f>
        <v>1.2892450282977803</v>
      </c>
      <c r="Y263" s="31">
        <f>Settings!$B$21*(Q263-I$6)^2</f>
        <v>1.1835896443478464</v>
      </c>
      <c r="Z263" s="31">
        <f>Settings!$B$22*(R263-J$6)^2</f>
        <v>6.7757837783772021E-2</v>
      </c>
      <c r="AA263" s="31">
        <f>Settings!$B$23*(S263-K$6)^2</f>
        <v>0.44018643188134476</v>
      </c>
      <c r="AB263" s="31">
        <f>Settings!$B$24*(T263-L$6)^2</f>
        <v>2.9569582028599699</v>
      </c>
      <c r="AC263" s="31">
        <f>Settings!$B$25*(U263-M$6)^2</f>
        <v>0.59098655493694996</v>
      </c>
      <c r="AD263" s="19">
        <f t="shared" si="12"/>
        <v>2.919049455648798</v>
      </c>
      <c r="AE263" s="15">
        <f t="shared" si="13"/>
        <v>1.1554126957215831</v>
      </c>
      <c r="AF263" s="33">
        <f t="shared" si="14"/>
        <v>0.51299496497796182</v>
      </c>
      <c r="AG263" s="47">
        <f t="shared" si="15"/>
        <v>2.2126256989989804E-3</v>
      </c>
      <c r="AH263" s="18">
        <v>3.1873818917387407E-2</v>
      </c>
      <c r="AI263" s="46">
        <v>1</v>
      </c>
      <c r="AJ263" s="18">
        <v>0.70781425219316585</v>
      </c>
      <c r="AK263" s="46">
        <v>1</v>
      </c>
      <c r="AL263" s="18">
        <v>0.38203760470111248</v>
      </c>
      <c r="AM263" s="46">
        <v>1</v>
      </c>
    </row>
    <row r="264" spans="1:39" ht="20" customHeight="1" x14ac:dyDescent="0.45">
      <c r="A264" s="26">
        <v>254</v>
      </c>
      <c r="B264" s="16" t="s">
        <v>539</v>
      </c>
      <c r="C264" s="16" t="s">
        <v>260</v>
      </c>
      <c r="D264" s="46">
        <v>28</v>
      </c>
      <c r="E264" s="46">
        <v>1</v>
      </c>
      <c r="F264" s="13">
        <v>-4.6253497516827377E-2</v>
      </c>
      <c r="G264" s="13">
        <v>0.69514612157887035</v>
      </c>
      <c r="H264" s="13">
        <v>5.1349945814088423E-2</v>
      </c>
      <c r="I264" s="13">
        <v>8.3778780426269128E-2</v>
      </c>
      <c r="J264" s="13">
        <v>-0.1234716546639447</v>
      </c>
      <c r="K264" s="13">
        <v>15.591807909604521</v>
      </c>
      <c r="L264" s="13">
        <v>0.59760005773767588</v>
      </c>
      <c r="M264" s="13">
        <v>0.1768218983789677</v>
      </c>
      <c r="N264" s="19">
        <f>(F264-Settings!$D$18)/Settings!$E$18</f>
        <v>-0.85384845211524651</v>
      </c>
      <c r="O264" s="19">
        <f>(G264-Settings!$D$19)/Settings!$E$19</f>
        <v>2.9237383300453299</v>
      </c>
      <c r="P264" s="19">
        <f>(H264-Settings!$D$20)/Settings!$E$20</f>
        <v>-1.6102227198686963E-2</v>
      </c>
      <c r="Q264" s="19">
        <f>(I264-Settings!$D$21)/Settings!$E$21</f>
        <v>1.0664625530700682</v>
      </c>
      <c r="R264" s="19">
        <f>(J264-Settings!$D$22)/Settings!$E$22</f>
        <v>-0.99908860688329881</v>
      </c>
      <c r="S264" s="19">
        <f>(K264-Settings!$D$23)/Settings!$E$23</f>
        <v>0.11689215450516999</v>
      </c>
      <c r="T264" s="19">
        <f>(L264-Settings!$D$24)/Settings!$E$24</f>
        <v>-0.49132356417295925</v>
      </c>
      <c r="U264" s="19">
        <f>(M264-Settings!$D$25)/Settings!$E$25</f>
        <v>0.15522091563601478</v>
      </c>
      <c r="V264" s="31">
        <f>Settings!$B$18*(N264-F$6)^2</f>
        <v>0.27225614771985812</v>
      </c>
      <c r="W264" s="31">
        <f>Settings!$B$19*(O264-G$6)^2</f>
        <v>2.5165133665679282</v>
      </c>
      <c r="X264" s="31">
        <f>Settings!$B$20*(P264-H$6)^2</f>
        <v>0.82710389512756477</v>
      </c>
      <c r="Y264" s="31">
        <f>Settings!$B$21*(Q264-I$6)^2</f>
        <v>0.21240170228558486</v>
      </c>
      <c r="Z264" s="31">
        <f>Settings!$B$22*(R264-J$6)^2</f>
        <v>0.24528743379483414</v>
      </c>
      <c r="AA264" s="31">
        <f>Settings!$B$23*(S264-K$6)^2</f>
        <v>1.0659540422683723E-2</v>
      </c>
      <c r="AB264" s="31">
        <f>Settings!$B$24*(T264-L$6)^2</f>
        <v>1.4118210715429071</v>
      </c>
      <c r="AC264" s="31">
        <f>Settings!$B$25*(U264-M$6)^2</f>
        <v>3.0251890783453268</v>
      </c>
      <c r="AD264" s="19">
        <f t="shared" si="12"/>
        <v>2.9191149747494856</v>
      </c>
      <c r="AE264" s="15">
        <f t="shared" si="13"/>
        <v>1.1554386293694698</v>
      </c>
      <c r="AF264" s="33">
        <f t="shared" si="14"/>
        <v>0.51297959362075551</v>
      </c>
      <c r="AG264" s="47">
        <f t="shared" si="15"/>
        <v>2.2125593999857245E-3</v>
      </c>
      <c r="AH264" s="18">
        <v>-0.29136522267789577</v>
      </c>
      <c r="AI264" s="46">
        <v>1</v>
      </c>
      <c r="AJ264" s="18">
        <v>-0.3293101156471327</v>
      </c>
      <c r="AK264" s="46">
        <v>1</v>
      </c>
      <c r="AL264" s="18">
        <v>-0.28108642917539067</v>
      </c>
      <c r="AM264" s="46">
        <v>1</v>
      </c>
    </row>
    <row r="265" spans="1:39" ht="20" customHeight="1" x14ac:dyDescent="0.45">
      <c r="A265" s="26">
        <v>255</v>
      </c>
      <c r="B265" s="16" t="s">
        <v>576</v>
      </c>
      <c r="C265" s="16" t="s">
        <v>246</v>
      </c>
      <c r="D265" s="46">
        <v>28</v>
      </c>
      <c r="E265" s="46">
        <v>1</v>
      </c>
      <c r="F265" s="13">
        <v>0.58807178286744455</v>
      </c>
      <c r="G265" s="13">
        <v>6.839396418285211E-2</v>
      </c>
      <c r="H265" s="13">
        <v>3.1455093920893379E-2</v>
      </c>
      <c r="I265" s="13">
        <v>8.8278604800116386E-2</v>
      </c>
      <c r="J265" s="13">
        <v>0.22380055422869349</v>
      </c>
      <c r="K265" s="13">
        <v>14.82428861788622</v>
      </c>
      <c r="L265" s="13">
        <v>2.4835835221061249</v>
      </c>
      <c r="M265" s="13">
        <v>1.44768508663101</v>
      </c>
      <c r="N265" s="19">
        <f>(F265-Settings!$D$18)/Settings!$E$18</f>
        <v>1.4163621835900382</v>
      </c>
      <c r="O265" s="19">
        <f>(G265-Settings!$D$19)/Settings!$E$19</f>
        <v>0.31260895882849188</v>
      </c>
      <c r="P265" s="19">
        <f>(H265-Settings!$D$20)/Settings!$E$20</f>
        <v>-0.19635341109464907</v>
      </c>
      <c r="Q265" s="19">
        <f>(I265-Settings!$D$21)/Settings!$E$21</f>
        <v>1.121798277294322</v>
      </c>
      <c r="R265" s="19">
        <f>(J265-Settings!$D$22)/Settings!$E$22</f>
        <v>-6.4736379078950995E-2</v>
      </c>
      <c r="S265" s="19">
        <f>(K265-Settings!$D$23)/Settings!$E$23</f>
        <v>-0.14964964162091118</v>
      </c>
      <c r="T265" s="19">
        <f>(L265-Settings!$D$24)/Settings!$E$24</f>
        <v>0.8125599649899925</v>
      </c>
      <c r="U265" s="19">
        <f>(M265-Settings!$D$25)/Settings!$E$25</f>
        <v>1.0123052040354161</v>
      </c>
      <c r="V265" s="31">
        <f>Settings!$B$18*(N265-F$6)^2</f>
        <v>0.2435297704241155</v>
      </c>
      <c r="W265" s="31">
        <f>Settings!$B$19*(O265-G$6)^2</f>
        <v>0.1752424245890068</v>
      </c>
      <c r="X265" s="31">
        <f>Settings!$B$20*(P265-H$6)^2</f>
        <v>0.98022534788284776</v>
      </c>
      <c r="Y265" s="31">
        <f>Settings!$B$21*(Q265-I$6)^2</f>
        <v>0.23582433676586928</v>
      </c>
      <c r="Z265" s="31">
        <f>Settings!$B$22*(R265-J$6)^2</f>
        <v>5.9923072391684261E-3</v>
      </c>
      <c r="AA265" s="31">
        <f>Settings!$B$23*(S265-K$6)^2</f>
        <v>0.136742311829983</v>
      </c>
      <c r="AB265" s="31">
        <f>Settings!$B$24*(T265-L$6)^2</f>
        <v>1.3382500600648542E-2</v>
      </c>
      <c r="AC265" s="31">
        <f>Settings!$B$25*(U265-M$6)^2</f>
        <v>6.741248077900174</v>
      </c>
      <c r="AD265" s="19">
        <f t="shared" si="12"/>
        <v>2.9209907697957234</v>
      </c>
      <c r="AE265" s="15">
        <f t="shared" si="13"/>
        <v>1.1561811030561697</v>
      </c>
      <c r="AF265" s="33">
        <f t="shared" si="14"/>
        <v>0.51253956470131745</v>
      </c>
      <c r="AG265" s="47">
        <f t="shared" si="15"/>
        <v>2.2106614879945355E-3</v>
      </c>
      <c r="AH265" s="18">
        <v>-0.54326050909205303</v>
      </c>
      <c r="AI265" s="46">
        <v>1</v>
      </c>
      <c r="AJ265" s="48"/>
      <c r="AK265" s="48"/>
      <c r="AL265" s="48"/>
      <c r="AM265" s="48"/>
    </row>
    <row r="266" spans="1:39" ht="20" customHeight="1" x14ac:dyDescent="0.45">
      <c r="A266" s="26">
        <v>256</v>
      </c>
      <c r="B266" s="16" t="s">
        <v>362</v>
      </c>
      <c r="C266" s="16" t="s">
        <v>214</v>
      </c>
      <c r="D266" s="46">
        <v>28</v>
      </c>
      <c r="E266" s="46">
        <v>1</v>
      </c>
      <c r="F266" s="13">
        <v>0.20647991969129709</v>
      </c>
      <c r="G266" s="13">
        <v>-0.1299231965837335</v>
      </c>
      <c r="H266" s="13">
        <v>6.0225941699076913E-2</v>
      </c>
      <c r="I266" s="13">
        <v>7.4736184105614029E-2</v>
      </c>
      <c r="J266" s="13">
        <v>0.52863475792027859</v>
      </c>
      <c r="K266" s="13">
        <v>14.874279835390929</v>
      </c>
      <c r="L266" s="13">
        <v>0.87381517239445428</v>
      </c>
      <c r="M266" s="13">
        <v>1.3651179697485289</v>
      </c>
      <c r="N266" s="19">
        <f>(F266-Settings!$D$18)/Settings!$E$18</f>
        <v>5.0668693088937462E-2</v>
      </c>
      <c r="O266" s="19">
        <f>(G266-Settings!$D$19)/Settings!$E$19</f>
        <v>-0.51360560969475166</v>
      </c>
      <c r="P266" s="19">
        <f>(H266-Settings!$D$20)/Settings!$E$20</f>
        <v>6.4316002357075935E-2</v>
      </c>
      <c r="Q266" s="19">
        <f>(I266-Settings!$D$21)/Settings!$E$21</f>
        <v>0.95526296510854747</v>
      </c>
      <c r="R266" s="19">
        <f>(J266-Settings!$D$22)/Settings!$E$22</f>
        <v>0.75543439772585774</v>
      </c>
      <c r="S266" s="19">
        <f>(K266-Settings!$D$23)/Settings!$E$23</f>
        <v>-0.13228884164101251</v>
      </c>
      <c r="T266" s="19">
        <f>(L266-Settings!$D$24)/Settings!$E$24</f>
        <v>-0.30036094689071696</v>
      </c>
      <c r="U266" s="19">
        <f>(M266-Settings!$D$25)/Settings!$E$25</f>
        <v>0.95662102081838152</v>
      </c>
      <c r="V266" s="31">
        <f>Settings!$B$18*(N266-F$6)^2</f>
        <v>1.3752098185435102E-2</v>
      </c>
      <c r="W266" s="31">
        <f>Settings!$B$19*(O266-G$6)^2</f>
        <v>2.4132929336361055E-3</v>
      </c>
      <c r="X266" s="31">
        <f>Settings!$B$20*(P266-H$6)^2</f>
        <v>0.76298198381811522</v>
      </c>
      <c r="Y266" s="31">
        <f>Settings!$B$21*(Q266-I$6)^2</f>
        <v>0.16903661281870938</v>
      </c>
      <c r="Z266" s="31">
        <f>Settings!$B$22*(R266-J$6)^2</f>
        <v>8.3741668504002609E-2</v>
      </c>
      <c r="AA266" s="31">
        <f>Settings!$B$23*(S266-K$6)^2</f>
        <v>0.12420411825203458</v>
      </c>
      <c r="AB266" s="31">
        <f>Settings!$B$24*(T266-L$6)^2</f>
        <v>0.99448393467472285</v>
      </c>
      <c r="AC266" s="31">
        <f>Settings!$B$25*(U266-M$6)^2</f>
        <v>6.4551929421253407</v>
      </c>
      <c r="AD266" s="19">
        <f t="shared" si="12"/>
        <v>2.933565518496561</v>
      </c>
      <c r="AE266" s="15">
        <f t="shared" si="13"/>
        <v>1.1611584165670252</v>
      </c>
      <c r="AF266" s="33">
        <f t="shared" si="14"/>
        <v>0.50959222383951441</v>
      </c>
      <c r="AG266" s="47">
        <f t="shared" si="15"/>
        <v>2.1979491563348759E-3</v>
      </c>
      <c r="AH266" s="48"/>
      <c r="AI266" s="48"/>
      <c r="AJ266" s="48"/>
      <c r="AK266" s="48"/>
      <c r="AL266" s="48"/>
      <c r="AM266" s="48"/>
    </row>
    <row r="267" spans="1:39" ht="20" customHeight="1" x14ac:dyDescent="0.45">
      <c r="A267" s="26">
        <v>257</v>
      </c>
      <c r="B267" s="16" t="s">
        <v>314</v>
      </c>
      <c r="C267" s="16" t="s">
        <v>271</v>
      </c>
      <c r="D267" s="46">
        <v>28</v>
      </c>
      <c r="E267" s="46">
        <v>0</v>
      </c>
      <c r="F267" s="13">
        <v>0.1938805392453406</v>
      </c>
      <c r="G267" s="13">
        <v>-0.23674763935058421</v>
      </c>
      <c r="H267" s="13">
        <v>-0.1664846205253345</v>
      </c>
      <c r="I267" s="13">
        <v>1.9837615898707069E-4</v>
      </c>
      <c r="J267" s="13">
        <v>0.40268882471975359</v>
      </c>
      <c r="K267" s="13">
        <v>15.49252873563219</v>
      </c>
      <c r="L267" s="13">
        <v>0.35804526463520508</v>
      </c>
      <c r="M267" s="13">
        <v>0.37221360502660528</v>
      </c>
      <c r="N267" s="19">
        <f>(F267-Settings!$D$18)/Settings!$E$18</f>
        <v>5.5762958974210405E-3</v>
      </c>
      <c r="O267" s="19">
        <f>(G267-Settings!$D$19)/Settings!$E$19</f>
        <v>-0.95864985370865841</v>
      </c>
      <c r="P267" s="19">
        <f>(H267-Settings!$D$20)/Settings!$E$20</f>
        <v>-1.9897252874223668</v>
      </c>
      <c r="Q267" s="19">
        <f>(I267-Settings!$D$21)/Settings!$E$21</f>
        <v>3.8648617049337593E-2</v>
      </c>
      <c r="R267" s="19">
        <f>(J267-Settings!$D$22)/Settings!$E$22</f>
        <v>0.41657093484164781</v>
      </c>
      <c r="S267" s="19">
        <f>(K267-Settings!$D$23)/Settings!$E$23</f>
        <v>8.2414780927684728E-2</v>
      </c>
      <c r="T267" s="19">
        <f>(L267-Settings!$D$24)/Settings!$E$24</f>
        <v>-0.6569408959044154</v>
      </c>
      <c r="U267" s="19">
        <f>(M267-Settings!$D$25)/Settings!$E$25</f>
        <v>0.28699525877484711</v>
      </c>
      <c r="V267" s="31">
        <f>Settings!$B$18*(N267-F$6)^2</f>
        <v>1.8888454381347456E-2</v>
      </c>
      <c r="W267" s="31">
        <f>Settings!$B$19*(O267-G$6)^2</f>
        <v>2.2471376680759565E-2</v>
      </c>
      <c r="X267" s="31">
        <f>Settings!$B$20*(P267-H$6)^2</f>
        <v>3.2115635930761957</v>
      </c>
      <c r="Y267" s="31">
        <f>Settings!$B$21*(Q267-I$6)^2</f>
        <v>1.4840742415271058E-6</v>
      </c>
      <c r="Z267" s="31">
        <f>Settings!$B$22*(R267-J$6)^2</f>
        <v>1.8999088179068289E-2</v>
      </c>
      <c r="AA267" s="31">
        <f>Settings!$B$23*(S267-K$6)^2</f>
        <v>1.8967466053675431E-2</v>
      </c>
      <c r="AB267" s="31">
        <f>Settings!$B$24*(T267-L$6)^2</f>
        <v>1.8328234545290274</v>
      </c>
      <c r="AC267" s="31">
        <f>Settings!$B$25*(U267-M$6)^2</f>
        <v>3.5009456487773294</v>
      </c>
      <c r="AD267" s="19">
        <f t="shared" ref="AD267:AD330" si="16">SQRT(SUM(V267:AC267))</f>
        <v>2.9367772414249682</v>
      </c>
      <c r="AE267" s="15">
        <f t="shared" ref="AE267:AE330" si="17">AD267/Yardstick</f>
        <v>1.1624296747293152</v>
      </c>
      <c r="AF267" s="33">
        <f t="shared" ref="AF267:AF330" si="18">EXP(-(AD267^2)/(2*Yardstick^2))</f>
        <v>0.50884014214369833</v>
      </c>
      <c r="AG267" s="47">
        <f t="shared" ref="AG267:AG330" si="19">AF267/$E$7</f>
        <v>2.1947053130196089E-3</v>
      </c>
      <c r="AH267" s="18">
        <v>0.30006361118146568</v>
      </c>
      <c r="AI267" s="46">
        <v>1</v>
      </c>
      <c r="AJ267" s="18">
        <v>-0.36374290488128858</v>
      </c>
      <c r="AK267" s="46">
        <v>1</v>
      </c>
      <c r="AL267" s="18">
        <v>-0.14425088056084329</v>
      </c>
      <c r="AM267" s="46">
        <v>1</v>
      </c>
    </row>
    <row r="268" spans="1:39" ht="20" customHeight="1" x14ac:dyDescent="0.45">
      <c r="A268" s="26">
        <v>258</v>
      </c>
      <c r="B268" s="16" t="s">
        <v>328</v>
      </c>
      <c r="C268" s="16" t="s">
        <v>224</v>
      </c>
      <c r="D268" s="46">
        <v>28</v>
      </c>
      <c r="E268" s="46">
        <v>0</v>
      </c>
      <c r="F268" s="13">
        <v>0.36900943555417748</v>
      </c>
      <c r="G268" s="13">
        <v>0.26382374367605671</v>
      </c>
      <c r="H268" s="13">
        <v>-1.7079262864542069E-3</v>
      </c>
      <c r="I268" s="13">
        <v>3.8159389099889397E-2</v>
      </c>
      <c r="J268" s="13">
        <v>0.32729950538342201</v>
      </c>
      <c r="K268" s="13">
        <v>16.049128540305031</v>
      </c>
      <c r="L268" s="13">
        <v>0.9025156595589876</v>
      </c>
      <c r="M268" s="13">
        <v>1.1652255699963241</v>
      </c>
      <c r="N268" s="19">
        <f>(F268-Settings!$D$18)/Settings!$E$18</f>
        <v>0.63235169854067885</v>
      </c>
      <c r="O268" s="19">
        <f>(G268-Settings!$D$19)/Settings!$E$19</f>
        <v>1.1267943289519238</v>
      </c>
      <c r="P268" s="19">
        <f>(H268-Settings!$D$20)/Settings!$E$20</f>
        <v>-0.49681675136132158</v>
      </c>
      <c r="Q268" s="19">
        <f>(I268-Settings!$D$21)/Settings!$E$21</f>
        <v>0.50546686790812223</v>
      </c>
      <c r="R268" s="19">
        <f>(J268-Settings!$D$22)/Settings!$E$22</f>
        <v>0.21373242179400015</v>
      </c>
      <c r="S268" s="19">
        <f>(K268-Settings!$D$23)/Settings!$E$23</f>
        <v>0.27570909061049031</v>
      </c>
      <c r="T268" s="19">
        <f>(L268-Settings!$D$24)/Settings!$E$24</f>
        <v>-0.28051873024364837</v>
      </c>
      <c r="U268" s="19">
        <f>(M268-Settings!$D$25)/Settings!$E$25</f>
        <v>0.82181136012334732</v>
      </c>
      <c r="V268" s="31">
        <f>Settings!$B$18*(N268-F$6)^2</f>
        <v>2.0411039110923859E-2</v>
      </c>
      <c r="W268" s="31">
        <f>Settings!$B$19*(O268-G$6)^2</f>
        <v>0.61267319193036451</v>
      </c>
      <c r="X268" s="31">
        <f>Settings!$B$20*(P268-H$6)^2</f>
        <v>1.2643531600162978</v>
      </c>
      <c r="Y268" s="31">
        <f>Settings!$B$21*(Q268-I$6)^2</f>
        <v>4.4093991797942107E-2</v>
      </c>
      <c r="Z268" s="31">
        <f>Settings!$B$22*(R268-J$6)^2</f>
        <v>2.2207693227272096E-3</v>
      </c>
      <c r="AA268" s="31">
        <f>Settings!$B$23*(S268-K$6)^2</f>
        <v>3.0882344859127324E-3</v>
      </c>
      <c r="AB268" s="31">
        <f>Settings!$B$24*(T268-L$6)^2</f>
        <v>0.95530281725766752</v>
      </c>
      <c r="AC268" s="31">
        <f>Settings!$B$25*(U268-M$6)^2</f>
        <v>5.7883428427375625</v>
      </c>
      <c r="AD268" s="19">
        <f t="shared" si="16"/>
        <v>2.9479630334621563</v>
      </c>
      <c r="AE268" s="15">
        <f t="shared" si="17"/>
        <v>1.1668572140114806</v>
      </c>
      <c r="AF268" s="33">
        <f t="shared" si="18"/>
        <v>0.50622305891002295</v>
      </c>
      <c r="AG268" s="47">
        <f t="shared" si="19"/>
        <v>2.1834174329923685E-3</v>
      </c>
      <c r="AH268" s="18">
        <v>-0.1012734000577112</v>
      </c>
      <c r="AI268" s="46">
        <v>0</v>
      </c>
      <c r="AJ268" s="18">
        <v>0.54368930642048052</v>
      </c>
      <c r="AK268" s="46">
        <v>0</v>
      </c>
      <c r="AL268" s="18">
        <v>0.56611319935357352</v>
      </c>
      <c r="AM268" s="46">
        <v>1</v>
      </c>
    </row>
    <row r="269" spans="1:39" ht="20" customHeight="1" x14ac:dyDescent="0.45">
      <c r="A269" s="26">
        <v>259</v>
      </c>
      <c r="B269" s="16" t="s">
        <v>235</v>
      </c>
      <c r="C269" s="16" t="s">
        <v>234</v>
      </c>
      <c r="D269" s="46">
        <v>28</v>
      </c>
      <c r="E269" s="46">
        <v>1</v>
      </c>
      <c r="F269" s="13">
        <v>0.29054713061313547</v>
      </c>
      <c r="G269" s="13">
        <v>3.9867178125770952E-2</v>
      </c>
      <c r="H269" s="13">
        <v>0.10030873497997871</v>
      </c>
      <c r="I269" s="13">
        <v>1.123817866299114E-4</v>
      </c>
      <c r="J269" s="13">
        <v>0.56916457449448477</v>
      </c>
      <c r="K269" s="13">
        <v>19.596509009009051</v>
      </c>
      <c r="L269" s="13">
        <v>4.9371260406562154</v>
      </c>
      <c r="M269" s="13">
        <v>0.1730641593624993</v>
      </c>
      <c r="N269" s="19">
        <f>(F269-Settings!$D$18)/Settings!$E$18</f>
        <v>0.35154000036715372</v>
      </c>
      <c r="O269" s="19">
        <f>(G269-Settings!$D$19)/Settings!$E$19</f>
        <v>0.19376273219636192</v>
      </c>
      <c r="P269" s="19">
        <f>(H269-Settings!$D$20)/Settings!$E$20</f>
        <v>0.42747381732984968</v>
      </c>
      <c r="Q269" s="19">
        <f>(I269-Settings!$D$21)/Settings!$E$21</f>
        <v>3.7591117805311526E-2</v>
      </c>
      <c r="R269" s="19">
        <f>(J269-Settings!$D$22)/Settings!$E$22</f>
        <v>0.86448177738622856</v>
      </c>
      <c r="S269" s="19">
        <f>(K269-Settings!$D$23)/Settings!$E$23</f>
        <v>1.5076327332776778</v>
      </c>
      <c r="T269" s="19">
        <f>(L269-Settings!$D$24)/Settings!$E$24</f>
        <v>2.5088281128709862</v>
      </c>
      <c r="U269" s="19">
        <f>(M269-Settings!$D$25)/Settings!$E$25</f>
        <v>0.15268665459147995</v>
      </c>
      <c r="V269" s="31">
        <f>Settings!$B$18*(N269-F$6)^2</f>
        <v>2.9875044061919242E-4</v>
      </c>
      <c r="W269" s="31">
        <f>Settings!$B$19*(O269-G$6)^2</f>
        <v>0.13356833366928586</v>
      </c>
      <c r="X269" s="31">
        <f>Settings!$B$20*(P269-H$6)^2</f>
        <v>0.50563375267496891</v>
      </c>
      <c r="Y269" s="31">
        <f>Settings!$B$21*(Q269-I$6)^2</f>
        <v>5.5546883902997772E-7</v>
      </c>
      <c r="Z269" s="31">
        <f>Settings!$B$22*(R269-J$6)^2</f>
        <v>0.11434474506268547</v>
      </c>
      <c r="AA269" s="31">
        <f>Settings!$B$23*(S269-K$6)^2</f>
        <v>1.6576447356966082</v>
      </c>
      <c r="AB269" s="31">
        <f>Settings!$B$24*(T269-L$6)^2</f>
        <v>3.2831660869231274</v>
      </c>
      <c r="AC269" s="31">
        <f>Settings!$B$25*(U269-M$6)^2</f>
        <v>3.0163797845282772</v>
      </c>
      <c r="AD269" s="19">
        <f t="shared" si="16"/>
        <v>2.9514465511786607</v>
      </c>
      <c r="AE269" s="15">
        <f t="shared" si="17"/>
        <v>1.1682360534784282</v>
      </c>
      <c r="AF269" s="33">
        <f t="shared" si="18"/>
        <v>0.50540876659514455</v>
      </c>
      <c r="AG269" s="47">
        <f t="shared" si="19"/>
        <v>2.1799052657677357E-3</v>
      </c>
      <c r="AH269" s="18">
        <v>-0.59375803635265711</v>
      </c>
      <c r="AI269" s="46">
        <v>1</v>
      </c>
      <c r="AJ269" s="18">
        <v>-1.9216071664489061</v>
      </c>
      <c r="AK269" s="46">
        <v>1</v>
      </c>
      <c r="AL269" s="18">
        <v>9.0991419878508673E-2</v>
      </c>
      <c r="AM269" s="46">
        <v>1</v>
      </c>
    </row>
    <row r="270" spans="1:39" ht="20" customHeight="1" x14ac:dyDescent="0.45">
      <c r="A270" s="26">
        <v>260</v>
      </c>
      <c r="B270" s="16" t="s">
        <v>763</v>
      </c>
      <c r="C270" s="16" t="s">
        <v>216</v>
      </c>
      <c r="D270" s="46">
        <v>28</v>
      </c>
      <c r="E270" s="46">
        <v>1</v>
      </c>
      <c r="F270" s="13">
        <v>0.66055271754599987</v>
      </c>
      <c r="G270" s="13">
        <v>-0.17031613921420469</v>
      </c>
      <c r="H270" s="13">
        <v>8.1719151645311114E-2</v>
      </c>
      <c r="I270" s="13">
        <v>4.168916168352782E-5</v>
      </c>
      <c r="J270" s="13">
        <v>8.7370302432800695E-2</v>
      </c>
      <c r="K270" s="13">
        <v>15.83897435897436</v>
      </c>
      <c r="L270" s="13">
        <v>1.226109809351539</v>
      </c>
      <c r="M270" s="13">
        <v>1.549812200876755</v>
      </c>
      <c r="N270" s="19">
        <f>(F270-Settings!$D$18)/Settings!$E$18</f>
        <v>1.675766930462864</v>
      </c>
      <c r="O270" s="19">
        <f>(G270-Settings!$D$19)/Settings!$E$19</f>
        <v>-0.68188775702792359</v>
      </c>
      <c r="P270" s="19">
        <f>(H270-Settings!$D$20)/Settings!$E$20</f>
        <v>0.25904861757490166</v>
      </c>
      <c r="Q270" s="19">
        <f>(I270-Settings!$D$21)/Settings!$E$21</f>
        <v>3.6721788855173597E-2</v>
      </c>
      <c r="R270" s="19">
        <f>(J270-Settings!$D$22)/Settings!$E$22</f>
        <v>-0.43180839475184946</v>
      </c>
      <c r="S270" s="19">
        <f>(K270-Settings!$D$23)/Settings!$E$23</f>
        <v>0.20272737723898851</v>
      </c>
      <c r="T270" s="19">
        <f>(L270-Settings!$D$24)/Settings!$E$24</f>
        <v>-5.6800394415456833E-2</v>
      </c>
      <c r="U270" s="19">
        <f>(M270-Settings!$D$25)/Settings!$E$25</f>
        <v>1.08118086732376</v>
      </c>
      <c r="V270" s="31">
        <f>Settings!$B$18*(N270-F$6)^2</f>
        <v>0.37148620954963901</v>
      </c>
      <c r="W270" s="31">
        <f>Settings!$B$19*(O270-G$6)^2</f>
        <v>6.8292251549546856E-4</v>
      </c>
      <c r="X270" s="31">
        <f>Settings!$B$20*(P270-H$6)^2</f>
        <v>0.61842704608229282</v>
      </c>
      <c r="Y270" s="31">
        <f>Settings!$B$21*(Q270-I$6)^2</f>
        <v>1.2710800319112445E-7</v>
      </c>
      <c r="Z270" s="31">
        <f>Settings!$B$22*(R270-J$6)^2</f>
        <v>5.8355866994565887E-2</v>
      </c>
      <c r="AA270" s="31">
        <f>Settings!$B$23*(S270-K$6)^2</f>
        <v>3.0310209777855259E-4</v>
      </c>
      <c r="AB270" s="31">
        <f>Settings!$B$24*(T270-L$6)^2</f>
        <v>0.56802992619468218</v>
      </c>
      <c r="AC270" s="31">
        <f>Settings!$B$25*(U270-M$6)^2</f>
        <v>7.1036482886112466</v>
      </c>
      <c r="AD270" s="19">
        <f t="shared" si="16"/>
        <v>2.9531226674748385</v>
      </c>
      <c r="AE270" s="15">
        <f t="shared" si="17"/>
        <v>1.1688994906957599</v>
      </c>
      <c r="AF270" s="33">
        <f t="shared" si="18"/>
        <v>0.50501708950550173</v>
      </c>
      <c r="AG270" s="47">
        <f t="shared" si="19"/>
        <v>2.1782159026093855E-3</v>
      </c>
      <c r="AH270" s="18">
        <v>0.17339806458162599</v>
      </c>
      <c r="AI270" s="46">
        <v>1</v>
      </c>
      <c r="AJ270" s="18">
        <v>0.60252684511788801</v>
      </c>
      <c r="AK270" s="46">
        <v>1</v>
      </c>
      <c r="AL270" s="48"/>
      <c r="AM270" s="48"/>
    </row>
    <row r="271" spans="1:39" ht="20" customHeight="1" x14ac:dyDescent="0.45">
      <c r="A271" s="26">
        <v>261</v>
      </c>
      <c r="B271" s="16" t="s">
        <v>312</v>
      </c>
      <c r="C271" s="16" t="s">
        <v>271</v>
      </c>
      <c r="D271" s="46">
        <v>28</v>
      </c>
      <c r="E271" s="46">
        <v>0</v>
      </c>
      <c r="F271" s="13">
        <v>0.24798660366585559</v>
      </c>
      <c r="G271" s="13">
        <v>-0.26045046409431799</v>
      </c>
      <c r="H271" s="13">
        <v>1.5225034516244809E-2</v>
      </c>
      <c r="I271" s="13">
        <v>1.6448227969154119E-3</v>
      </c>
      <c r="J271" s="13">
        <v>0.47469307492666613</v>
      </c>
      <c r="K271" s="13">
        <v>16.074534161490678</v>
      </c>
      <c r="L271" s="13">
        <v>1.5180875539276451</v>
      </c>
      <c r="M271" s="13">
        <v>1.5896649098066471</v>
      </c>
      <c r="N271" s="19">
        <f>(F271-Settings!$D$18)/Settings!$E$18</f>
        <v>0.19921852757577563</v>
      </c>
      <c r="O271" s="19">
        <f>(G271-Settings!$D$19)/Settings!$E$19</f>
        <v>-1.057398842665169</v>
      </c>
      <c r="P271" s="19">
        <f>(H271-Settings!$D$20)/Settings!$E$20</f>
        <v>-0.34340087031149047</v>
      </c>
      <c r="Q271" s="19">
        <f>(I271-Settings!$D$21)/Settings!$E$21</f>
        <v>5.6436016203555948E-2</v>
      </c>
      <c r="R271" s="19">
        <f>(J271-Settings!$D$22)/Settings!$E$22</f>
        <v>0.61030176002555903</v>
      </c>
      <c r="S271" s="19">
        <f>(K271-Settings!$D$23)/Settings!$E$23</f>
        <v>0.28453187848773209</v>
      </c>
      <c r="T271" s="19">
        <f>(L271-Settings!$D$24)/Settings!$E$24</f>
        <v>0.1450597911203782</v>
      </c>
      <c r="U271" s="19">
        <f>(M271-Settings!$D$25)/Settings!$E$25</f>
        <v>1.1080579780857336</v>
      </c>
      <c r="V271" s="31">
        <f>Settings!$B$18*(N271-F$6)^2</f>
        <v>2.5842820952660947E-3</v>
      </c>
      <c r="W271" s="31">
        <f>Settings!$B$19*(O271-G$6)^2</f>
        <v>3.7661786617975188E-2</v>
      </c>
      <c r="X271" s="31">
        <f>Settings!$B$20*(P271-H$6)^2</f>
        <v>1.1147662784447998</v>
      </c>
      <c r="Y271" s="31">
        <f>Settings!$B$21*(Q271-I$6)^2</f>
        <v>8.4143793029157828E-5</v>
      </c>
      <c r="Z271" s="31">
        <f>Settings!$B$22*(R271-J$6)^2</f>
        <v>5.0389581807675665E-2</v>
      </c>
      <c r="AA271" s="31">
        <f>Settings!$B$23*(S271-K$6)^2</f>
        <v>4.1466739916768101E-3</v>
      </c>
      <c r="AB271" s="31">
        <f>Settings!$B$24*(T271-L$6)^2</f>
        <v>0.30450245996969677</v>
      </c>
      <c r="AC271" s="31">
        <f>Settings!$B$25*(U271-M$6)^2</f>
        <v>7.2476400215148846</v>
      </c>
      <c r="AD271" s="19">
        <f t="shared" si="16"/>
        <v>2.9600295992160288</v>
      </c>
      <c r="AE271" s="15">
        <f t="shared" si="17"/>
        <v>1.1716333794987779</v>
      </c>
      <c r="AF271" s="33">
        <f t="shared" si="18"/>
        <v>0.50340393071510547</v>
      </c>
      <c r="AG271" s="47">
        <f t="shared" si="19"/>
        <v>2.1712581021632346E-3</v>
      </c>
      <c r="AH271" s="18">
        <v>0.13387519846428761</v>
      </c>
      <c r="AI271" s="46">
        <v>1</v>
      </c>
      <c r="AJ271" s="18">
        <v>-1.0543443786057849</v>
      </c>
      <c r="AK271" s="46">
        <v>1</v>
      </c>
      <c r="AL271" s="18">
        <v>-0.53977197991623238</v>
      </c>
      <c r="AM271" s="46">
        <v>1</v>
      </c>
    </row>
    <row r="272" spans="1:39" ht="20" customHeight="1" x14ac:dyDescent="0.45">
      <c r="A272" s="26">
        <v>262</v>
      </c>
      <c r="B272" s="16" t="s">
        <v>356</v>
      </c>
      <c r="C272" s="16" t="s">
        <v>214</v>
      </c>
      <c r="D272" s="46">
        <v>28</v>
      </c>
      <c r="E272" s="46">
        <v>1</v>
      </c>
      <c r="F272" s="13">
        <v>0.38966375168551609</v>
      </c>
      <c r="G272" s="13">
        <v>-2.3618499251312829E-2</v>
      </c>
      <c r="H272" s="13">
        <v>0.1175168669018669</v>
      </c>
      <c r="I272" s="13">
        <v>-4.5582452444753126E-6</v>
      </c>
      <c r="J272" s="13">
        <v>0.46919632391605959</v>
      </c>
      <c r="K272" s="13">
        <v>21.49901960784317</v>
      </c>
      <c r="L272" s="13">
        <v>4.5781509286615174</v>
      </c>
      <c r="M272" s="13">
        <v>-0.30923919951608791</v>
      </c>
      <c r="N272" s="19">
        <f>(F272-Settings!$D$18)/Settings!$E$18</f>
        <v>0.70627220841879468</v>
      </c>
      <c r="O272" s="19">
        <f>(G272-Settings!$D$19)/Settings!$E$19</f>
        <v>-7.0726691405505623E-2</v>
      </c>
      <c r="P272" s="19">
        <f>(H272-Settings!$D$20)/Settings!$E$20</f>
        <v>0.58338280163443745</v>
      </c>
      <c r="Q272" s="19">
        <f>(I272-Settings!$D$21)/Settings!$E$21</f>
        <v>3.6153070269015354E-2</v>
      </c>
      <c r="R272" s="19">
        <f>(J272-Settings!$D$22)/Settings!$E$22</f>
        <v>0.59551249264126971</v>
      </c>
      <c r="S272" s="19">
        <f>(K272-Settings!$D$23)/Settings!$E$23</f>
        <v>2.1683309041690881</v>
      </c>
      <c r="T272" s="19">
        <f>(L272-Settings!$D$24)/Settings!$E$24</f>
        <v>2.2606489825910447</v>
      </c>
      <c r="U272" s="19">
        <f>(M272-Settings!$D$25)/Settings!$E$25</f>
        <v>-0.17258410229121368</v>
      </c>
      <c r="V272" s="31">
        <f>Settings!$B$18*(N272-F$6)^2</f>
        <v>3.0949769223508602E-2</v>
      </c>
      <c r="W272" s="31">
        <f>Settings!$B$19*(O272-G$6)^2</f>
        <v>6.1101290052347081E-2</v>
      </c>
      <c r="X272" s="31">
        <f>Settings!$B$20*(P272-H$6)^2</f>
        <v>0.41133581241198347</v>
      </c>
      <c r="Y272" s="31">
        <f>Settings!$B$21*(Q272-I$6)^2</f>
        <v>1.0441449240217222E-8</v>
      </c>
      <c r="Z272" s="31">
        <f>Settings!$B$22*(R272-J$6)^2</f>
        <v>4.7463971916964498E-2</v>
      </c>
      <c r="AA272" s="31">
        <f>Settings!$B$23*(S272-K$6)^2</f>
        <v>3.7954586900292835</v>
      </c>
      <c r="AB272" s="31">
        <f>Settings!$B$24*(T272-L$6)^2</f>
        <v>2.4453821675474692</v>
      </c>
      <c r="AC272" s="31">
        <f>Settings!$B$25*(U272-M$6)^2</f>
        <v>1.992338038617973</v>
      </c>
      <c r="AD272" s="19">
        <f t="shared" si="16"/>
        <v>2.9637863874174499</v>
      </c>
      <c r="AE272" s="15">
        <f t="shared" si="17"/>
        <v>1.1731203843779379</v>
      </c>
      <c r="AF272" s="33">
        <f t="shared" si="18"/>
        <v>0.50252709599652545</v>
      </c>
      <c r="AG272" s="47">
        <f t="shared" si="19"/>
        <v>2.167476179991371E-3</v>
      </c>
      <c r="AH272" s="48"/>
      <c r="AI272" s="48"/>
      <c r="AJ272" s="48"/>
      <c r="AK272" s="48"/>
      <c r="AL272" s="48"/>
      <c r="AM272" s="48"/>
    </row>
    <row r="273" spans="1:39" ht="20" customHeight="1" x14ac:dyDescent="0.45">
      <c r="A273" s="26">
        <v>263</v>
      </c>
      <c r="B273" s="16" t="s">
        <v>281</v>
      </c>
      <c r="C273" s="16" t="s">
        <v>232</v>
      </c>
      <c r="D273" s="46">
        <v>28</v>
      </c>
      <c r="E273" s="46">
        <v>0</v>
      </c>
      <c r="F273" s="13">
        <v>0.33395584391289312</v>
      </c>
      <c r="G273" s="13">
        <v>7.684330912562444E-2</v>
      </c>
      <c r="H273" s="13">
        <v>0.1442120689472596</v>
      </c>
      <c r="I273" s="13">
        <v>-2.578293792546589E-2</v>
      </c>
      <c r="J273" s="13">
        <v>0.41920584008875711</v>
      </c>
      <c r="K273" s="13">
        <v>19.509687499999998</v>
      </c>
      <c r="L273" s="13">
        <v>3.5315549219255571</v>
      </c>
      <c r="M273" s="13">
        <v>1.2496468399234719</v>
      </c>
      <c r="N273" s="19">
        <f>(F273-Settings!$D$18)/Settings!$E$18</f>
        <v>0.50689707923951377</v>
      </c>
      <c r="O273" s="19">
        <f>(G273-Settings!$D$19)/Settings!$E$19</f>
        <v>0.34781000678224472</v>
      </c>
      <c r="P273" s="19">
        <f>(H273-Settings!$D$20)/Settings!$E$20</f>
        <v>0.82524646560420112</v>
      </c>
      <c r="Q273" s="19">
        <f>(I273-Settings!$D$21)/Settings!$E$21</f>
        <v>-0.28085159267369475</v>
      </c>
      <c r="R273" s="19">
        <f>(J273-Settings!$D$22)/Settings!$E$22</f>
        <v>0.46101074232269568</v>
      </c>
      <c r="S273" s="19">
        <f>(K273-Settings!$D$23)/Settings!$E$23</f>
        <v>1.4774816202003231</v>
      </c>
      <c r="T273" s="19">
        <f>(L273-Settings!$D$24)/Settings!$E$24</f>
        <v>1.5370799160257094</v>
      </c>
      <c r="U273" s="19">
        <f>(M273-Settings!$D$25)/Settings!$E$25</f>
        <v>0.87874600480433984</v>
      </c>
      <c r="V273" s="31">
        <f>Settings!$B$18*(N273-F$6)^2</f>
        <v>7.5276787575521975E-3</v>
      </c>
      <c r="W273" s="31">
        <f>Settings!$B$19*(O273-G$6)^2</f>
        <v>0.18867039309870962</v>
      </c>
      <c r="X273" s="31">
        <f>Settings!$B$20*(P273-H$6)^2</f>
        <v>0.28429152381190609</v>
      </c>
      <c r="Y273" s="31">
        <f>Settings!$B$21*(Q273-I$6)^2</f>
        <v>2.0069428869156799E-2</v>
      </c>
      <c r="Z273" s="31">
        <f>Settings!$B$22*(R273-J$6)^2</f>
        <v>2.4872843437829858E-2</v>
      </c>
      <c r="AA273" s="31">
        <f>Settings!$B$23*(S273-K$6)^2</f>
        <v>1.5809149787885663</v>
      </c>
      <c r="AB273" s="31">
        <f>Settings!$B$24*(T273-L$6)^2</f>
        <v>0.70594059301295886</v>
      </c>
      <c r="AC273" s="31">
        <f>Settings!$B$25*(U273-M$6)^2</f>
        <v>6.0655422365779703</v>
      </c>
      <c r="AD273" s="19">
        <f t="shared" si="16"/>
        <v>2.9795687064329712</v>
      </c>
      <c r="AE273" s="15">
        <f t="shared" si="17"/>
        <v>1.1793673123712864</v>
      </c>
      <c r="AF273" s="33">
        <f t="shared" si="18"/>
        <v>0.49884810481143327</v>
      </c>
      <c r="AG273" s="47">
        <f t="shared" si="19"/>
        <v>2.1516081286492386E-3</v>
      </c>
      <c r="AH273" s="18">
        <v>-0.5796605854644663</v>
      </c>
      <c r="AI273" s="46">
        <v>0</v>
      </c>
      <c r="AJ273" s="18">
        <v>-0.15221199124225129</v>
      </c>
      <c r="AK273" s="46">
        <v>0</v>
      </c>
      <c r="AL273" s="18">
        <v>0.1102642292448905</v>
      </c>
      <c r="AM273" s="46">
        <v>0</v>
      </c>
    </row>
    <row r="274" spans="1:39" ht="20" customHeight="1" x14ac:dyDescent="0.45">
      <c r="A274" s="26">
        <v>264</v>
      </c>
      <c r="B274" s="16" t="s">
        <v>319</v>
      </c>
      <c r="C274" s="16" t="s">
        <v>214</v>
      </c>
      <c r="D274" s="46">
        <v>28</v>
      </c>
      <c r="E274" s="46">
        <v>1</v>
      </c>
      <c r="F274" s="13">
        <v>0.21826995538861171</v>
      </c>
      <c r="G274" s="13">
        <v>-0.36193383311745131</v>
      </c>
      <c r="H274" s="13">
        <v>-3.0578318502118729E-2</v>
      </c>
      <c r="I274" s="13">
        <v>3.8355899113597458E-3</v>
      </c>
      <c r="J274" s="13">
        <v>0.38538230308045868</v>
      </c>
      <c r="K274" s="13">
        <v>19.06823899371069</v>
      </c>
      <c r="L274" s="13">
        <v>0.71372436964578223</v>
      </c>
      <c r="M274" s="13">
        <v>0.8450010055248226</v>
      </c>
      <c r="N274" s="19">
        <f>(F274-Settings!$D$18)/Settings!$E$18</f>
        <v>9.2864495878279191E-2</v>
      </c>
      <c r="O274" s="19">
        <f>(G274-Settings!$D$19)/Settings!$E$19</f>
        <v>-1.4801914927093025</v>
      </c>
      <c r="P274" s="19">
        <f>(H274-Settings!$D$20)/Settings!$E$20</f>
        <v>-0.75838805655883756</v>
      </c>
      <c r="Q274" s="19">
        <f>(I274-Settings!$D$21)/Settings!$E$21</f>
        <v>8.3376553169626208E-2</v>
      </c>
      <c r="R274" s="19">
        <f>(J274-Settings!$D$22)/Settings!$E$22</f>
        <v>0.37000692356996395</v>
      </c>
      <c r="S274" s="19">
        <f>(K274-Settings!$D$23)/Settings!$E$23</f>
        <v>1.3241767078246305</v>
      </c>
      <c r="T274" s="19">
        <f>(L274-Settings!$D$24)/Settings!$E$24</f>
        <v>-0.41104047553884759</v>
      </c>
      <c r="U274" s="19">
        <f>(M274-Settings!$D$25)/Settings!$E$25</f>
        <v>0.60584834734180693</v>
      </c>
      <c r="V274" s="31">
        <f>Settings!$B$18*(N274-F$6)^2</f>
        <v>9.682324563024685E-3</v>
      </c>
      <c r="W274" s="31">
        <f>Settings!$B$19*(O274-G$6)^2</f>
        <v>0.14680014478234088</v>
      </c>
      <c r="X274" s="31">
        <f>Settings!$B$20*(P274-H$6)^2</f>
        <v>1.5411058382768656</v>
      </c>
      <c r="Y274" s="31">
        <f>Settings!$B$21*(Q274-I$6)^2</f>
        <v>4.503379284099142E-4</v>
      </c>
      <c r="Z274" s="31">
        <f>Settings!$B$22*(R274-J$6)^2</f>
        <v>1.369207049958367E-2</v>
      </c>
      <c r="AA274" s="31">
        <f>Settings!$B$23*(S274-K$6)^2</f>
        <v>1.2189032241073254</v>
      </c>
      <c r="AB274" s="31">
        <f>Settings!$B$24*(T274-L$6)^2</f>
        <v>1.2274815902816494</v>
      </c>
      <c r="AC274" s="31">
        <f>Settings!$B$25*(U274-M$6)^2</f>
        <v>4.7958131149539573</v>
      </c>
      <c r="AD274" s="19">
        <f t="shared" si="16"/>
        <v>2.9923115889547929</v>
      </c>
      <c r="AE274" s="15">
        <f t="shared" si="17"/>
        <v>1.1844111762966851</v>
      </c>
      <c r="AF274" s="33">
        <f t="shared" si="18"/>
        <v>0.49588317351518096</v>
      </c>
      <c r="AG274" s="47">
        <f t="shared" si="19"/>
        <v>2.1388199267569725E-3</v>
      </c>
      <c r="AH274" s="48"/>
      <c r="AI274" s="48"/>
      <c r="AJ274" s="48"/>
      <c r="AK274" s="48"/>
      <c r="AL274" s="48"/>
      <c r="AM274" s="48"/>
    </row>
    <row r="275" spans="1:39" ht="20" customHeight="1" x14ac:dyDescent="0.45">
      <c r="A275" s="26">
        <v>265</v>
      </c>
      <c r="B275" s="16" t="s">
        <v>764</v>
      </c>
      <c r="C275" s="16" t="s">
        <v>218</v>
      </c>
      <c r="D275" s="46">
        <v>28</v>
      </c>
      <c r="E275" s="46">
        <v>0</v>
      </c>
      <c r="F275" s="13">
        <v>0.4278637384795666</v>
      </c>
      <c r="G275" s="13">
        <v>0.24151893544497161</v>
      </c>
      <c r="H275" s="13">
        <v>0.15399449089314021</v>
      </c>
      <c r="I275" s="13">
        <v>-1.320915934701776E-5</v>
      </c>
      <c r="J275" s="13">
        <v>0.1766096260229745</v>
      </c>
      <c r="K275" s="13">
        <v>19.63229166666666</v>
      </c>
      <c r="L275" s="13">
        <v>1.573980164837393</v>
      </c>
      <c r="M275" s="13">
        <v>1.276952578171066</v>
      </c>
      <c r="N275" s="19">
        <f>(F275-Settings!$D$18)/Settings!$E$18</f>
        <v>0.84298757983063399</v>
      </c>
      <c r="O275" s="19">
        <f>(G275-Settings!$D$19)/Settings!$E$19</f>
        <v>1.0338696549731066</v>
      </c>
      <c r="P275" s="19">
        <f>(H275-Settings!$D$20)/Settings!$E$20</f>
        <v>0.91387708957571956</v>
      </c>
      <c r="Q275" s="19">
        <f>(I275-Settings!$D$21)/Settings!$E$21</f>
        <v>3.6046687317749918E-2</v>
      </c>
      <c r="R275" s="19">
        <f>(J275-Settings!$D$22)/Settings!$E$22</f>
        <v>-0.19170579319293854</v>
      </c>
      <c r="S275" s="19">
        <f>(K275-Settings!$D$23)/Settings!$E$23</f>
        <v>1.5200592272370301</v>
      </c>
      <c r="T275" s="19">
        <f>(L275-Settings!$D$24)/Settings!$E$24</f>
        <v>0.18370141027770098</v>
      </c>
      <c r="U275" s="19">
        <f>(M275-Settings!$D$25)/Settings!$E$25</f>
        <v>0.89716129879625139</v>
      </c>
      <c r="V275" s="31">
        <f>Settings!$B$18*(N275-F$6)^2</f>
        <v>5.620049591943032E-2</v>
      </c>
      <c r="W275" s="31">
        <f>Settings!$B$19*(O275-G$6)^2</f>
        <v>0.54934372334278059</v>
      </c>
      <c r="X275" s="31">
        <f>Settings!$B$20*(P275-H$6)^2</f>
        <v>0.24359469306958492</v>
      </c>
      <c r="Y275" s="31">
        <f>Settings!$B$21*(Q275-I$6)^2</f>
        <v>2.9819798943442089E-9</v>
      </c>
      <c r="Z275" s="31">
        <f>Settings!$B$22*(R275-J$6)^2</f>
        <v>1.8007611662825006E-2</v>
      </c>
      <c r="AA275" s="31">
        <f>Settings!$B$23*(S275-K$6)^2</f>
        <v>1.6897972642618915</v>
      </c>
      <c r="AB275" s="31">
        <f>Settings!$B$24*(T275-L$6)^2</f>
        <v>0.26334939787809841</v>
      </c>
      <c r="AC275" s="31">
        <f>Settings!$B$25*(U275-M$6)^2</f>
        <v>6.156588916101172</v>
      </c>
      <c r="AD275" s="19">
        <f t="shared" si="16"/>
        <v>2.9961445401077968</v>
      </c>
      <c r="AE275" s="15">
        <f t="shared" si="17"/>
        <v>1.1859283278528847</v>
      </c>
      <c r="AF275" s="33">
        <f t="shared" si="18"/>
        <v>0.49499233598001224</v>
      </c>
      <c r="AG275" s="47">
        <f t="shared" si="19"/>
        <v>2.1349776082967278E-3</v>
      </c>
      <c r="AH275" s="18">
        <v>-0.13983565975487891</v>
      </c>
      <c r="AI275" s="46">
        <v>0</v>
      </c>
      <c r="AJ275" s="18">
        <v>-0.13755240141190739</v>
      </c>
      <c r="AK275" s="46">
        <v>0</v>
      </c>
      <c r="AL275" s="18">
        <v>0.26189136113932121</v>
      </c>
      <c r="AM275" s="46">
        <v>0</v>
      </c>
    </row>
    <row r="276" spans="1:39" ht="20" customHeight="1" x14ac:dyDescent="0.45">
      <c r="A276" s="26">
        <v>266</v>
      </c>
      <c r="B276" s="16" t="s">
        <v>765</v>
      </c>
      <c r="C276" s="16" t="s">
        <v>283</v>
      </c>
      <c r="D276" s="46">
        <v>28</v>
      </c>
      <c r="E276" s="46">
        <v>0</v>
      </c>
      <c r="F276" s="13">
        <v>0.2268823881628943</v>
      </c>
      <c r="G276" s="13">
        <v>8.259816534019436E-2</v>
      </c>
      <c r="H276" s="13">
        <v>0.16916475414351459</v>
      </c>
      <c r="I276" s="13">
        <v>-5.4814767406692383E-4</v>
      </c>
      <c r="J276" s="13">
        <v>0.52080654467932996</v>
      </c>
      <c r="K276" s="13">
        <v>20.36328828828831</v>
      </c>
      <c r="L276" s="13">
        <v>5.8139690556804329</v>
      </c>
      <c r="M276" s="13">
        <v>-3.1927408755539601</v>
      </c>
      <c r="N276" s="19">
        <f>(F276-Settings!$D$18)/Settings!$E$18</f>
        <v>0.12368785589260582</v>
      </c>
      <c r="O276" s="19">
        <f>(G276-Settings!$D$19)/Settings!$E$19</f>
        <v>0.3717854712647683</v>
      </c>
      <c r="P276" s="19">
        <f>(H276-Settings!$D$20)/Settings!$E$20</f>
        <v>1.0513225918379756</v>
      </c>
      <c r="Q276" s="19">
        <f>(I276-Settings!$D$21)/Settings!$E$21</f>
        <v>2.9468383884506313E-2</v>
      </c>
      <c r="R276" s="19">
        <f>(J276-Settings!$D$22)/Settings!$E$22</f>
        <v>0.73437222144422754</v>
      </c>
      <c r="S276" s="19">
        <f>(K276-Settings!$D$23)/Settings!$E$23</f>
        <v>1.7739175401048757</v>
      </c>
      <c r="T276" s="19">
        <f>(L276-Settings!$D$24)/Settings!$E$24</f>
        <v>3.115037651051912</v>
      </c>
      <c r="U276" s="19">
        <f>(M276-Settings!$D$25)/Settings!$E$25</f>
        <v>-2.1172497476189331</v>
      </c>
      <c r="V276" s="31">
        <f>Settings!$B$18*(N276-F$6)^2</f>
        <v>7.1595591201788185E-3</v>
      </c>
      <c r="W276" s="31">
        <f>Settings!$B$19*(O276-G$6)^2</f>
        <v>0.19809995104416311</v>
      </c>
      <c r="X276" s="31">
        <f>Settings!$B$20*(P276-H$6)^2</f>
        <v>0.18669799484735827</v>
      </c>
      <c r="Y276" s="31">
        <f>Settings!$B$21*(Q276-I$6)^2</f>
        <v>8.3364968031178647E-6</v>
      </c>
      <c r="Z276" s="31">
        <f>Settings!$B$22*(R276-J$6)^2</f>
        <v>7.8378853583387018E-2</v>
      </c>
      <c r="AA276" s="31">
        <f>Settings!$B$23*(S276-K$6)^2</f>
        <v>2.4142333301949974</v>
      </c>
      <c r="AB276" s="31">
        <f>Settings!$B$24*(T276-L$6)^2</f>
        <v>5.8474999353612702</v>
      </c>
      <c r="AC276" s="31">
        <f>Settings!$B$25*(U276-M$6)^2</f>
        <v>0.28426341882987322</v>
      </c>
      <c r="AD276" s="19">
        <f t="shared" si="16"/>
        <v>3.0027223280679869</v>
      </c>
      <c r="AE276" s="15">
        <f t="shared" si="17"/>
        <v>1.1885319355801403</v>
      </c>
      <c r="AF276" s="33">
        <f t="shared" si="18"/>
        <v>0.49346463664337992</v>
      </c>
      <c r="AG276" s="47">
        <f t="shared" si="19"/>
        <v>2.1283884075377663E-3</v>
      </c>
      <c r="AH276" s="18">
        <v>-3.1311986809867061</v>
      </c>
      <c r="AI276" s="46">
        <v>0</v>
      </c>
      <c r="AJ276" s="18">
        <v>-1.368300338299022</v>
      </c>
      <c r="AK276" s="46">
        <v>0</v>
      </c>
      <c r="AL276" s="18">
        <v>0.88871548043097404</v>
      </c>
      <c r="AM276" s="46">
        <v>0</v>
      </c>
    </row>
    <row r="277" spans="1:39" ht="20" customHeight="1" x14ac:dyDescent="0.45">
      <c r="A277" s="26">
        <v>267</v>
      </c>
      <c r="B277" s="16" t="s">
        <v>557</v>
      </c>
      <c r="C277" s="16" t="s">
        <v>271</v>
      </c>
      <c r="D277" s="46">
        <v>28</v>
      </c>
      <c r="E277" s="46">
        <v>0</v>
      </c>
      <c r="F277" s="13">
        <v>-0.1335591261391226</v>
      </c>
      <c r="G277" s="13">
        <v>-1.6943101312504118E-2</v>
      </c>
      <c r="H277" s="13">
        <v>0.1338648875070105</v>
      </c>
      <c r="I277" s="13">
        <v>-2.571694319502018E-2</v>
      </c>
      <c r="J277" s="13">
        <v>0.68991594184634264</v>
      </c>
      <c r="K277" s="13">
        <v>14.308830845771141</v>
      </c>
      <c r="L277" s="13">
        <v>0.74837856956372883</v>
      </c>
      <c r="M277" s="13">
        <v>1.367577750225603</v>
      </c>
      <c r="N277" s="19">
        <f>(F277-Settings!$D$18)/Settings!$E$18</f>
        <v>-1.1663098544657884</v>
      </c>
      <c r="O277" s="19">
        <f>(G277-Settings!$D$19)/Settings!$E$19</f>
        <v>-4.2916132770969832E-2</v>
      </c>
      <c r="P277" s="19">
        <f>(H277-Settings!$D$20)/Settings!$E$20</f>
        <v>0.73149901201148693</v>
      </c>
      <c r="Q277" s="19">
        <f>(I277-Settings!$D$21)/Settings!$E$21</f>
        <v>-0.28004003517704612</v>
      </c>
      <c r="R277" s="19">
        <f>(J277-Settings!$D$22)/Settings!$E$22</f>
        <v>1.1893690162914012</v>
      </c>
      <c r="S277" s="19">
        <f>(K277-Settings!$D$23)/Settings!$E$23</f>
        <v>-0.32865626971375572</v>
      </c>
      <c r="T277" s="19">
        <f>(L277-Settings!$D$24)/Settings!$E$24</f>
        <v>-0.38708213160688659</v>
      </c>
      <c r="U277" s="19">
        <f>(M277-Settings!$D$25)/Settings!$E$25</f>
        <v>0.95827992416793206</v>
      </c>
      <c r="V277" s="31">
        <f>Settings!$B$18*(N277-F$6)^2</f>
        <v>0.43760698018996858</v>
      </c>
      <c r="W277" s="31">
        <f>Settings!$B$19*(O277-G$6)^2</f>
        <v>6.7404627237680384E-2</v>
      </c>
      <c r="X277" s="31">
        <f>Settings!$B$20*(P277-H$6)^2</f>
        <v>0.33075736301539116</v>
      </c>
      <c r="Y277" s="31">
        <f>Settings!$B$21*(Q277-I$6)^2</f>
        <v>1.996672776279812E-2</v>
      </c>
      <c r="Z277" s="31">
        <f>Settings!$B$22*(R277-J$6)^2</f>
        <v>0.23371712318751575</v>
      </c>
      <c r="AA277" s="31">
        <f>Settings!$B$23*(S277-K$6)^2</f>
        <v>0.30117427773426947</v>
      </c>
      <c r="AB277" s="31">
        <f>Settings!$B$24*(T277-L$6)^2</f>
        <v>1.1749678467741151</v>
      </c>
      <c r="AC277" s="31">
        <f>Settings!$B$25*(U277-M$6)^2</f>
        <v>6.4636252693667826</v>
      </c>
      <c r="AD277" s="19">
        <f t="shared" si="16"/>
        <v>3.0048660894070669</v>
      </c>
      <c r="AE277" s="15">
        <f t="shared" si="17"/>
        <v>1.1893804751836665</v>
      </c>
      <c r="AF277" s="33">
        <f t="shared" si="18"/>
        <v>0.49296704285137971</v>
      </c>
      <c r="AG277" s="47">
        <f t="shared" si="19"/>
        <v>2.1262422094520026E-3</v>
      </c>
      <c r="AH277" s="18">
        <v>9.2348131604303774E-2</v>
      </c>
      <c r="AI277" s="46">
        <v>1</v>
      </c>
      <c r="AJ277" s="18">
        <v>-0.41195610643278152</v>
      </c>
      <c r="AK277" s="46">
        <v>1</v>
      </c>
      <c r="AL277" s="18">
        <v>0.28919898073696082</v>
      </c>
      <c r="AM277" s="46">
        <v>1</v>
      </c>
    </row>
    <row r="278" spans="1:39" ht="20" customHeight="1" x14ac:dyDescent="0.45">
      <c r="A278" s="26">
        <v>268</v>
      </c>
      <c r="B278" s="16" t="s">
        <v>520</v>
      </c>
      <c r="C278" s="16" t="s">
        <v>216</v>
      </c>
      <c r="D278" s="46">
        <v>28</v>
      </c>
      <c r="E278" s="46">
        <v>1</v>
      </c>
      <c r="F278" s="13">
        <v>-0.21618013434603489</v>
      </c>
      <c r="G278" s="13">
        <v>0.13216912880047371</v>
      </c>
      <c r="H278" s="13">
        <v>0.15228799831250681</v>
      </c>
      <c r="I278" s="13">
        <v>1.032065636841982E-2</v>
      </c>
      <c r="J278" s="13">
        <v>0.48904208217256467</v>
      </c>
      <c r="K278" s="13">
        <v>16.32376543209876</v>
      </c>
      <c r="L278" s="13">
        <v>1.274000064574083</v>
      </c>
      <c r="M278" s="13">
        <v>1.5953984091993141</v>
      </c>
      <c r="N278" s="19">
        <f>(F278-Settings!$D$18)/Settings!$E$18</f>
        <v>-1.4620052923811722</v>
      </c>
      <c r="O278" s="19">
        <f>(G278-Settings!$D$19)/Settings!$E$19</f>
        <v>0.57830442317140984</v>
      </c>
      <c r="P278" s="19">
        <f>(H278-Settings!$D$20)/Settings!$E$20</f>
        <v>0.8984159386397802</v>
      </c>
      <c r="Q278" s="19">
        <f>(I278-Settings!$D$21)/Settings!$E$21</f>
        <v>0.16312540984267473</v>
      </c>
      <c r="R278" s="19">
        <f>(J278-Settings!$D$22)/Settings!$E$22</f>
        <v>0.64890843958030253</v>
      </c>
      <c r="S278" s="19">
        <f>(K278-Settings!$D$23)/Settings!$E$23</f>
        <v>0.37108416614416423</v>
      </c>
      <c r="T278" s="19">
        <f>(L278-Settings!$D$24)/Settings!$E$24</f>
        <v>-2.3691241460610944E-2</v>
      </c>
      <c r="U278" s="19">
        <f>(M278-Settings!$D$25)/Settings!$E$25</f>
        <v>1.1119247139330133</v>
      </c>
      <c r="V278" s="31">
        <f>Settings!$B$18*(N278-F$6)^2</f>
        <v>0.63005130569031487</v>
      </c>
      <c r="W278" s="31">
        <f>Settings!$B$19*(O278-G$6)^2</f>
        <v>0.28884421476900884</v>
      </c>
      <c r="X278" s="31">
        <f>Settings!$B$20*(P278-H$6)^2</f>
        <v>0.25046778646934759</v>
      </c>
      <c r="Y278" s="31">
        <f>Settings!$B$21*(Q278-I$6)^2</f>
        <v>3.2360101605348524E-3</v>
      </c>
      <c r="Z278" s="31">
        <f>Settings!$B$22*(R278-J$6)^2</f>
        <v>5.8439035412164934E-2</v>
      </c>
      <c r="AA278" s="31">
        <f>Settings!$B$23*(S278-K$6)^2</f>
        <v>2.2784985121051139E-2</v>
      </c>
      <c r="AB278" s="31">
        <f>Settings!$B$24*(T278-L$6)^2</f>
        <v>0.51921888826616025</v>
      </c>
      <c r="AC278" s="31">
        <f>Settings!$B$25*(U278-M$6)^2</f>
        <v>7.2684745935949522</v>
      </c>
      <c r="AD278" s="19">
        <f t="shared" si="16"/>
        <v>3.0069115084224767</v>
      </c>
      <c r="AE278" s="15">
        <f t="shared" si="17"/>
        <v>1.1901900891125781</v>
      </c>
      <c r="AF278" s="33">
        <f t="shared" si="18"/>
        <v>0.49249241273104583</v>
      </c>
      <c r="AG278" s="47">
        <f t="shared" si="19"/>
        <v>2.1241950571923018E-3</v>
      </c>
      <c r="AH278" s="18">
        <v>0.55040858599498121</v>
      </c>
      <c r="AI278" s="46">
        <v>1</v>
      </c>
      <c r="AJ278" s="18">
        <v>-1.257905609103269</v>
      </c>
      <c r="AK278" s="46">
        <v>1</v>
      </c>
      <c r="AL278" s="48"/>
      <c r="AM278" s="48"/>
    </row>
    <row r="279" spans="1:39" ht="20" customHeight="1" x14ac:dyDescent="0.45">
      <c r="A279" s="26">
        <v>269</v>
      </c>
      <c r="B279" s="16" t="s">
        <v>368</v>
      </c>
      <c r="C279" s="16" t="s">
        <v>220</v>
      </c>
      <c r="D279" s="46">
        <v>28</v>
      </c>
      <c r="E279" s="46">
        <v>1</v>
      </c>
      <c r="F279" s="13">
        <v>0.3461314777480714</v>
      </c>
      <c r="G279" s="13">
        <v>2.9051177737838559E-2</v>
      </c>
      <c r="H279" s="13">
        <v>0.1127897022937057</v>
      </c>
      <c r="I279" s="13">
        <v>2.292803769031716E-4</v>
      </c>
      <c r="J279" s="13">
        <v>0.51179836184348115</v>
      </c>
      <c r="K279" s="13">
        <v>17.970652173913042</v>
      </c>
      <c r="L279" s="13">
        <v>5.1153749820918488</v>
      </c>
      <c r="M279" s="13">
        <v>0.63197326933134246</v>
      </c>
      <c r="N279" s="19">
        <f>(F279-Settings!$D$18)/Settings!$E$18</f>
        <v>0.55047291372671869</v>
      </c>
      <c r="O279" s="19">
        <f>(G279-Settings!$D$19)/Settings!$E$19</f>
        <v>0.14870189601294839</v>
      </c>
      <c r="P279" s="19">
        <f>(H279-Settings!$D$20)/Settings!$E$20</f>
        <v>0.5405537812593928</v>
      </c>
      <c r="Q279" s="19">
        <f>(I279-Settings!$D$21)/Settings!$E$21</f>
        <v>3.9028655721493485E-2</v>
      </c>
      <c r="R279" s="19">
        <f>(J279-Settings!$D$22)/Settings!$E$22</f>
        <v>0.71013528141385973</v>
      </c>
      <c r="S279" s="19">
        <f>(K279-Settings!$D$23)/Settings!$E$23</f>
        <v>0.94301005115568937</v>
      </c>
      <c r="T279" s="19">
        <f>(L279-Settings!$D$24)/Settings!$E$24</f>
        <v>2.6320613560142299</v>
      </c>
      <c r="U279" s="19">
        <f>(M279-Settings!$D$25)/Settings!$E$25</f>
        <v>0.46218006945593121</v>
      </c>
      <c r="V279" s="31">
        <f>Settings!$B$18*(N279-F$6)^2</f>
        <v>1.1289041719722595E-2</v>
      </c>
      <c r="W279" s="31">
        <f>Settings!$B$19*(O279-G$6)^2</f>
        <v>0.11924465849420432</v>
      </c>
      <c r="X279" s="31">
        <f>Settings!$B$20*(P279-H$6)^2</f>
        <v>0.43627133318787936</v>
      </c>
      <c r="Y279" s="31">
        <f>Settings!$B$21*(Q279-I$6)^2</f>
        <v>1.9270557040151077E-6</v>
      </c>
      <c r="Z279" s="31">
        <f>Settings!$B$22*(R279-J$6)^2</f>
        <v>7.2427268197478412E-2</v>
      </c>
      <c r="AA279" s="31">
        <f>Settings!$B$23*(S279-K$6)^2</f>
        <v>0.52254515191224515</v>
      </c>
      <c r="AB279" s="31">
        <f>Settings!$B$24*(T279-L$6)^2</f>
        <v>3.7449376923436657</v>
      </c>
      <c r="AC279" s="31">
        <f>Settings!$B$25*(U279-M$6)^2</f>
        <v>4.1872054523853768</v>
      </c>
      <c r="AD279" s="19">
        <f t="shared" si="16"/>
        <v>3.0156131259324819</v>
      </c>
      <c r="AE279" s="15">
        <f t="shared" si="17"/>
        <v>1.1936343470798139</v>
      </c>
      <c r="AF279" s="33">
        <f t="shared" si="18"/>
        <v>0.49047475104030813</v>
      </c>
      <c r="AG279" s="47">
        <f t="shared" si="19"/>
        <v>2.1154925739057385E-3</v>
      </c>
      <c r="AH279" s="18">
        <v>-1.5580946593102389</v>
      </c>
      <c r="AI279" s="46">
        <v>1</v>
      </c>
      <c r="AJ279" s="18">
        <v>-2.320768727845874</v>
      </c>
      <c r="AK279" s="46">
        <v>1</v>
      </c>
      <c r="AL279" s="48"/>
      <c r="AM279" s="48"/>
    </row>
    <row r="280" spans="1:39" ht="20" customHeight="1" x14ac:dyDescent="0.45">
      <c r="A280" s="26">
        <v>270</v>
      </c>
      <c r="B280" s="16" t="s">
        <v>384</v>
      </c>
      <c r="C280" s="16" t="s">
        <v>216</v>
      </c>
      <c r="D280" s="46">
        <v>28</v>
      </c>
      <c r="E280" s="46">
        <v>1</v>
      </c>
      <c r="F280" s="13">
        <v>0.2278292218798926</v>
      </c>
      <c r="G280" s="13">
        <v>-9.6771624355667163E-2</v>
      </c>
      <c r="H280" s="13">
        <v>0.17946084768167711</v>
      </c>
      <c r="I280" s="13">
        <v>-2.690730627753254E-3</v>
      </c>
      <c r="J280" s="13">
        <v>0.49324757545501002</v>
      </c>
      <c r="K280" s="13">
        <v>20.508488612836459</v>
      </c>
      <c r="L280" s="13">
        <v>5.8018687605521224</v>
      </c>
      <c r="M280" s="13">
        <v>-3.4963592486453798</v>
      </c>
      <c r="N280" s="19">
        <f>(F280-Settings!$D$18)/Settings!$E$18</f>
        <v>0.12707651474169307</v>
      </c>
      <c r="O280" s="19">
        <f>(G280-Settings!$D$19)/Settings!$E$19</f>
        <v>-0.37549193441620793</v>
      </c>
      <c r="P280" s="19">
        <f>(H280-Settings!$D$20)/Settings!$E$20</f>
        <v>1.1446071792136756</v>
      </c>
      <c r="Q280" s="19">
        <f>(I280-Settings!$D$21)/Settings!$E$21</f>
        <v>3.1203823620810115E-3</v>
      </c>
      <c r="R280" s="19">
        <f>(J280-Settings!$D$22)/Settings!$E$22</f>
        <v>0.66022351725380524</v>
      </c>
      <c r="S280" s="19">
        <f>(K280-Settings!$D$23)/Settings!$E$23</f>
        <v>1.8243422730344008</v>
      </c>
      <c r="T280" s="19">
        <f>(L280-Settings!$D$24)/Settings!$E$24</f>
        <v>3.106672055163139</v>
      </c>
      <c r="U280" s="19">
        <f>(M280-Settings!$D$25)/Settings!$E$25</f>
        <v>-2.3220133599822446</v>
      </c>
      <c r="V280" s="31">
        <f>Settings!$B$18*(N280-F$6)^2</f>
        <v>6.9053978808039096E-3</v>
      </c>
      <c r="W280" s="31">
        <f>Settings!$B$19*(O280-G$6)^2</f>
        <v>1.229694501189537E-2</v>
      </c>
      <c r="X280" s="31">
        <f>Settings!$B$20*(P280-H$6)^2</f>
        <v>0.15238678347292456</v>
      </c>
      <c r="Y280" s="31">
        <f>Settings!$B$21*(Q280-I$6)^2</f>
        <v>2.1522309252242032E-4</v>
      </c>
      <c r="Z280" s="31">
        <f>Settings!$B$22*(R280-J$6)^2</f>
        <v>6.0911191364632106E-2</v>
      </c>
      <c r="AA280" s="31">
        <f>Settings!$B$23*(S280-K$6)^2</f>
        <v>2.5734739007577958</v>
      </c>
      <c r="AB280" s="31">
        <f>Settings!$B$24*(T280-L$6)^2</f>
        <v>5.807111212409982</v>
      </c>
      <c r="AC280" s="31">
        <f>Settings!$B$25*(U280-M$6)^2</f>
        <v>0.54453656308542875</v>
      </c>
      <c r="AD280" s="19">
        <f t="shared" si="16"/>
        <v>3.0261918671948056</v>
      </c>
      <c r="AE280" s="15">
        <f t="shared" si="17"/>
        <v>1.197821604659705</v>
      </c>
      <c r="AF280" s="33">
        <f t="shared" si="18"/>
        <v>0.48802516916813898</v>
      </c>
      <c r="AG280" s="47">
        <f t="shared" si="19"/>
        <v>2.1049271528544881E-3</v>
      </c>
      <c r="AH280" s="18">
        <v>1.0621176860688351</v>
      </c>
      <c r="AI280" s="46">
        <v>1</v>
      </c>
      <c r="AJ280" s="18">
        <v>1.2574671948101801</v>
      </c>
      <c r="AK280" s="46">
        <v>1</v>
      </c>
      <c r="AL280" s="48"/>
      <c r="AM280" s="48"/>
    </row>
    <row r="281" spans="1:39" ht="20" customHeight="1" x14ac:dyDescent="0.45">
      <c r="A281" s="26">
        <v>271</v>
      </c>
      <c r="B281" s="16" t="s">
        <v>311</v>
      </c>
      <c r="C281" s="16" t="s">
        <v>271</v>
      </c>
      <c r="D281" s="46">
        <v>28</v>
      </c>
      <c r="E281" s="46">
        <v>0</v>
      </c>
      <c r="F281" s="13">
        <v>0.27768449860805772</v>
      </c>
      <c r="G281" s="13">
        <v>-4.7645489204099903E-2</v>
      </c>
      <c r="H281" s="13">
        <v>7.3059563874608269E-2</v>
      </c>
      <c r="I281" s="13">
        <v>-1.4047389269157679E-2</v>
      </c>
      <c r="J281" s="13">
        <v>0.58756305904407646</v>
      </c>
      <c r="K281" s="13">
        <v>17.010333333333339</v>
      </c>
      <c r="L281" s="13">
        <v>1.487825148814367</v>
      </c>
      <c r="M281" s="13">
        <v>1.7532558122511339</v>
      </c>
      <c r="N281" s="19">
        <f>(F281-Settings!$D$18)/Settings!$E$18</f>
        <v>0.30550544225620957</v>
      </c>
      <c r="O281" s="19">
        <f>(G281-Settings!$D$19)/Settings!$E$19</f>
        <v>-0.17082619393982712</v>
      </c>
      <c r="P281" s="19">
        <f>(H281-Settings!$D$20)/Settings!$E$20</f>
        <v>0.18059108714945113</v>
      </c>
      <c r="Q281" s="19">
        <f>(I281-Settings!$D$21)/Settings!$E$21</f>
        <v>-0.13653594163628224</v>
      </c>
      <c r="R281" s="19">
        <f>(J281-Settings!$D$22)/Settings!$E$22</f>
        <v>0.91398376627831834</v>
      </c>
      <c r="S281" s="19">
        <f>(K281-Settings!$D$23)/Settings!$E$23</f>
        <v>0.60951340633679219</v>
      </c>
      <c r="T281" s="19">
        <f>(L281-Settings!$D$24)/Settings!$E$24</f>
        <v>0.1241377351609569</v>
      </c>
      <c r="U281" s="19">
        <f>(M281-Settings!$D$25)/Settings!$E$25</f>
        <v>1.2183855046884173</v>
      </c>
      <c r="V281" s="31">
        <f>Settings!$B$18*(N281-F$6)^2</f>
        <v>1.0909026113504344E-5</v>
      </c>
      <c r="W281" s="31">
        <f>Settings!$B$19*(O281-G$6)^2</f>
        <v>4.0974217895729539E-2</v>
      </c>
      <c r="X281" s="31">
        <f>Settings!$B$20*(P281-H$6)^2</f>
        <v>0.67484352095495914</v>
      </c>
      <c r="Y281" s="31">
        <f>Settings!$B$21*(Q281-I$6)^2</f>
        <v>5.948526388669626E-3</v>
      </c>
      <c r="Z281" s="31">
        <f>Settings!$B$22*(R281-J$6)^2</f>
        <v>0.12980669408912029</v>
      </c>
      <c r="AA281" s="31">
        <f>Settings!$B$23*(S281-K$6)^2</f>
        <v>0.1516138262768261</v>
      </c>
      <c r="AB281" s="31">
        <f>Settings!$B$24*(T281-L$6)^2</f>
        <v>0.32803050208520385</v>
      </c>
      <c r="AC281" s="31">
        <f>Settings!$B$25*(U281-M$6)^2</f>
        <v>7.8538473910804072</v>
      </c>
      <c r="AD281" s="19">
        <f t="shared" si="16"/>
        <v>3.030688962562313</v>
      </c>
      <c r="AE281" s="15">
        <f t="shared" si="17"/>
        <v>1.1996016365366688</v>
      </c>
      <c r="AF281" s="33">
        <f t="shared" si="18"/>
        <v>0.48698495812149817</v>
      </c>
      <c r="AG281" s="47">
        <f t="shared" si="19"/>
        <v>2.1004405636064261E-3</v>
      </c>
      <c r="AH281" s="18">
        <v>1.1698345530585601</v>
      </c>
      <c r="AI281" s="46">
        <v>1</v>
      </c>
      <c r="AJ281" s="18">
        <v>-0.97633231905197926</v>
      </c>
      <c r="AK281" s="46">
        <v>1</v>
      </c>
      <c r="AL281" s="18">
        <v>-1.9212485984453329</v>
      </c>
      <c r="AM281" s="46">
        <v>1</v>
      </c>
    </row>
    <row r="282" spans="1:39" ht="20" customHeight="1" x14ac:dyDescent="0.45">
      <c r="A282" s="26">
        <v>272</v>
      </c>
      <c r="B282" s="16" t="s">
        <v>571</v>
      </c>
      <c r="C282" s="16" t="s">
        <v>214</v>
      </c>
      <c r="D282" s="46">
        <v>28</v>
      </c>
      <c r="E282" s="46">
        <v>1</v>
      </c>
      <c r="F282" s="13">
        <v>-0.37684147785728911</v>
      </c>
      <c r="G282" s="13">
        <v>0.13765581938091981</v>
      </c>
      <c r="H282" s="13">
        <v>1.314074944644246E-3</v>
      </c>
      <c r="I282" s="13">
        <v>-0.12914742665355519</v>
      </c>
      <c r="J282" s="13">
        <v>-0.35504120116359161</v>
      </c>
      <c r="K282" s="13">
        <v>13.29369369369369</v>
      </c>
      <c r="L282" s="13">
        <v>-0.37173233025777819</v>
      </c>
      <c r="M282" s="13">
        <v>-0.75723681778920782</v>
      </c>
      <c r="N282" s="19">
        <f>(F282-Settings!$D$18)/Settings!$E$18</f>
        <v>-2.0370022254452218</v>
      </c>
      <c r="O282" s="19">
        <f>(G282-Settings!$D$19)/Settings!$E$19</f>
        <v>0.60116267544277657</v>
      </c>
      <c r="P282" s="19">
        <f>(H282-Settings!$D$20)/Settings!$E$20</f>
        <v>-0.46943683908226264</v>
      </c>
      <c r="Q282" s="19">
        <f>(I282-Settings!$D$21)/Settings!$E$21</f>
        <v>-1.5519564998077207</v>
      </c>
      <c r="R282" s="19">
        <f>(J282-Settings!$D$22)/Settings!$E$22</f>
        <v>-1.6221373741702867</v>
      </c>
      <c r="S282" s="19">
        <f>(K282-Settings!$D$23)/Settings!$E$23</f>
        <v>-0.68119005322723492</v>
      </c>
      <c r="T282" s="19">
        <f>(L282-Settings!$D$24)/Settings!$E$24</f>
        <v>-1.1614760649080067</v>
      </c>
      <c r="U282" s="19">
        <f>(M282-Settings!$D$25)/Settings!$E$25</f>
        <v>-0.4747186856293007</v>
      </c>
      <c r="V282" s="31">
        <f>Settings!$B$18*(N282-F$6)^2</f>
        <v>1.1043995493971603</v>
      </c>
      <c r="W282" s="31">
        <f>Settings!$B$19*(O282-G$6)^2</f>
        <v>0.29993674509307744</v>
      </c>
      <c r="X282" s="31">
        <f>Settings!$B$20*(P282-H$6)^2</f>
        <v>1.236966433029224</v>
      </c>
      <c r="Y282" s="31">
        <f>Settings!$B$21*(Q282-I$6)^2</f>
        <v>0.50427326549620577</v>
      </c>
      <c r="Z282" s="31">
        <f>Settings!$B$22*(R282-J$6)^2</f>
        <v>0.59892259232518885</v>
      </c>
      <c r="AA282" s="31">
        <f>Settings!$B$23*(S282-K$6)^2</f>
        <v>0.81239082617028768</v>
      </c>
      <c r="AB282" s="31">
        <f>Settings!$B$24*(T282-L$6)^2</f>
        <v>3.4534768815328469</v>
      </c>
      <c r="AC282" s="31">
        <f>Settings!$B$25*(U282-M$6)^2</f>
        <v>1.2306961772383187</v>
      </c>
      <c r="AD282" s="19">
        <f t="shared" si="16"/>
        <v>3.0399115892213557</v>
      </c>
      <c r="AE282" s="15">
        <f t="shared" si="17"/>
        <v>1.2032521193707768</v>
      </c>
      <c r="AF282" s="33">
        <f t="shared" si="18"/>
        <v>0.48485382201316485</v>
      </c>
      <c r="AG282" s="47">
        <f t="shared" si="19"/>
        <v>2.0912486478113744E-3</v>
      </c>
      <c r="AH282" s="48"/>
      <c r="AI282" s="48"/>
      <c r="AJ282" s="48"/>
      <c r="AK282" s="48"/>
      <c r="AL282" s="48"/>
      <c r="AM282" s="48"/>
    </row>
    <row r="283" spans="1:39" ht="20" customHeight="1" x14ac:dyDescent="0.45">
      <c r="A283" s="26">
        <v>273</v>
      </c>
      <c r="B283" s="16" t="s">
        <v>310</v>
      </c>
      <c r="C283" s="16" t="s">
        <v>260</v>
      </c>
      <c r="D283" s="46">
        <v>28</v>
      </c>
      <c r="E283" s="46">
        <v>1</v>
      </c>
      <c r="F283" s="13">
        <v>0.51278984632793934</v>
      </c>
      <c r="G283" s="13">
        <v>5.8431388811098169E-2</v>
      </c>
      <c r="H283" s="13">
        <v>0.15796094119504281</v>
      </c>
      <c r="I283" s="13">
        <v>7.6042266391191686E-3</v>
      </c>
      <c r="J283" s="13">
        <v>0.26321359702680053</v>
      </c>
      <c r="K283" s="13">
        <v>19.01505847953219</v>
      </c>
      <c r="L283" s="13">
        <v>2.987749944882983</v>
      </c>
      <c r="M283" s="13">
        <v>1.6094359251665551</v>
      </c>
      <c r="N283" s="19">
        <f>(F283-Settings!$D$18)/Settings!$E$18</f>
        <v>1.1469328256667013</v>
      </c>
      <c r="O283" s="19">
        <f>(G283-Settings!$D$19)/Settings!$E$19</f>
        <v>0.27110360003686451</v>
      </c>
      <c r="P283" s="19">
        <f>(H283-Settings!$D$20)/Settings!$E$20</f>
        <v>0.94981389205209221</v>
      </c>
      <c r="Q283" s="19">
        <f>(I283-Settings!$D$21)/Settings!$E$21</f>
        <v>0.12972063803674119</v>
      </c>
      <c r="R283" s="19">
        <f>(J283-Settings!$D$22)/Settings!$E$22</f>
        <v>4.1306268158462528E-2</v>
      </c>
      <c r="S283" s="19">
        <f>(K283-Settings!$D$23)/Settings!$E$23</f>
        <v>1.3057083384676704</v>
      </c>
      <c r="T283" s="19">
        <f>(L283-Settings!$D$24)/Settings!$E$24</f>
        <v>1.1611177901435032</v>
      </c>
      <c r="U283" s="19">
        <f>(M283-Settings!$D$25)/Settings!$E$25</f>
        <v>1.121391771044193</v>
      </c>
      <c r="V283" s="31">
        <f>Settings!$B$18*(N283-F$6)^2</f>
        <v>0.13912518349068234</v>
      </c>
      <c r="W283" s="31">
        <f>Settings!$B$19*(O283-G$6)^2</f>
        <v>0.16004632739756752</v>
      </c>
      <c r="X283" s="31">
        <f>Settings!$B$20*(P283-H$6)^2</f>
        <v>0.22798877794390091</v>
      </c>
      <c r="Y283" s="31">
        <f>Settings!$B$21*(Q283-I$6)^2</f>
        <v>1.7595400549297914E-3</v>
      </c>
      <c r="Z283" s="31">
        <f>Settings!$B$22*(R283-J$6)^2</f>
        <v>8.9917704175871197E-4</v>
      </c>
      <c r="AA283" s="31">
        <f>Settings!$B$23*(S283-K$6)^2</f>
        <v>1.1784646861231642</v>
      </c>
      <c r="AB283" s="31">
        <f>Settings!$B$24*(T283-L$6)^2</f>
        <v>0.21551931945669275</v>
      </c>
      <c r="AC283" s="31">
        <f>Settings!$B$25*(U283-M$6)^2</f>
        <v>7.3196107964609283</v>
      </c>
      <c r="AD283" s="19">
        <f t="shared" si="16"/>
        <v>3.0402983090429831</v>
      </c>
      <c r="AE283" s="15">
        <f t="shared" si="17"/>
        <v>1.2034051900872496</v>
      </c>
      <c r="AF283" s="33">
        <f t="shared" si="18"/>
        <v>0.48476452288880351</v>
      </c>
      <c r="AG283" s="47">
        <f t="shared" si="19"/>
        <v>2.0908634870379769E-3</v>
      </c>
      <c r="AH283" s="18">
        <v>-0.85960993935403796</v>
      </c>
      <c r="AI283" s="46">
        <v>1</v>
      </c>
      <c r="AJ283" s="48"/>
      <c r="AK283" s="48"/>
      <c r="AL283" s="48"/>
      <c r="AM283" s="48"/>
    </row>
    <row r="284" spans="1:39" ht="20" customHeight="1" x14ac:dyDescent="0.45">
      <c r="A284" s="26">
        <v>274</v>
      </c>
      <c r="B284" s="16" t="s">
        <v>547</v>
      </c>
      <c r="C284" s="16" t="s">
        <v>246</v>
      </c>
      <c r="D284" s="46">
        <v>28</v>
      </c>
      <c r="E284" s="46">
        <v>1</v>
      </c>
      <c r="F284" s="13">
        <v>-9.4088182671791074E-2</v>
      </c>
      <c r="G284" s="13">
        <v>0.63340235928450284</v>
      </c>
      <c r="H284" s="13">
        <v>-2.6807241383193159E-3</v>
      </c>
      <c r="I284" s="13">
        <v>0.25386724586648213</v>
      </c>
      <c r="J284" s="13">
        <v>1.596148803890474E-2</v>
      </c>
      <c r="K284" s="13">
        <v>13.38936403508772</v>
      </c>
      <c r="L284" s="13">
        <v>0.47889772209395909</v>
      </c>
      <c r="M284" s="13">
        <v>-0.8323913372256192</v>
      </c>
      <c r="N284" s="19">
        <f>(F284-Settings!$D$18)/Settings!$E$18</f>
        <v>-1.0250458083496157</v>
      </c>
      <c r="O284" s="19">
        <f>(G284-Settings!$D$19)/Settings!$E$19</f>
        <v>2.666505946696093</v>
      </c>
      <c r="P284" s="19">
        <f>(H284-Settings!$D$20)/Settings!$E$20</f>
        <v>-0.5056304869664664</v>
      </c>
      <c r="Q284" s="19">
        <f>(I284-Settings!$D$21)/Settings!$E$21</f>
        <v>3.1580927224669062</v>
      </c>
      <c r="R284" s="19">
        <f>(J284-Settings!$D$22)/Settings!$E$22</f>
        <v>-0.6239371718473733</v>
      </c>
      <c r="S284" s="19">
        <f>(K284-Settings!$D$23)/Settings!$E$23</f>
        <v>-0.6479659441966058</v>
      </c>
      <c r="T284" s="19">
        <f>(L284-Settings!$D$24)/Settings!$E$24</f>
        <v>-0.57338898162922691</v>
      </c>
      <c r="U284" s="19">
        <f>(M284-Settings!$D$25)/Settings!$E$25</f>
        <v>-0.52540373057088163</v>
      </c>
      <c r="V284" s="31">
        <f>Settings!$B$18*(N284-F$6)^2</f>
        <v>0.35801493234470677</v>
      </c>
      <c r="W284" s="31">
        <f>Settings!$B$19*(O284-G$6)^2</f>
        <v>2.1647660671026694</v>
      </c>
      <c r="X284" s="31">
        <f>Settings!$B$20*(P284-H$6)^2</f>
        <v>1.2732328895598637</v>
      </c>
      <c r="Y284" s="31">
        <f>Settings!$B$21*(Q284-I$6)^2</f>
        <v>1.949586780445294</v>
      </c>
      <c r="Z284" s="31">
        <f>Settings!$B$22*(R284-J$6)^2</f>
        <v>0.10725113554599175</v>
      </c>
      <c r="AA284" s="31">
        <f>Settings!$B$23*(S284-K$6)^2</f>
        <v>0.75360307740125843</v>
      </c>
      <c r="AB284" s="31">
        <f>Settings!$B$24*(T284-L$6)^2</f>
        <v>1.6135761888273985</v>
      </c>
      <c r="AC284" s="31">
        <f>Settings!$B$25*(U284-M$6)^2</f>
        <v>1.120808471157513</v>
      </c>
      <c r="AD284" s="19">
        <f t="shared" si="16"/>
        <v>3.0562787082307623</v>
      </c>
      <c r="AE284" s="15">
        <f t="shared" si="17"/>
        <v>1.2097305218038905</v>
      </c>
      <c r="AF284" s="33">
        <f t="shared" si="18"/>
        <v>0.48107891028179672</v>
      </c>
      <c r="AG284" s="47">
        <f t="shared" si="19"/>
        <v>2.0749668764909936E-3</v>
      </c>
      <c r="AH284" s="18">
        <v>-0.48824411547347107</v>
      </c>
      <c r="AI284" s="46">
        <v>1</v>
      </c>
      <c r="AJ284" s="48"/>
      <c r="AK284" s="48"/>
      <c r="AL284" s="48"/>
      <c r="AM284" s="48"/>
    </row>
    <row r="285" spans="1:39" ht="20" customHeight="1" x14ac:dyDescent="0.45">
      <c r="A285" s="26">
        <v>275</v>
      </c>
      <c r="B285" s="16" t="s">
        <v>766</v>
      </c>
      <c r="C285" s="16" t="s">
        <v>229</v>
      </c>
      <c r="D285" s="46">
        <v>28</v>
      </c>
      <c r="E285" s="46">
        <v>1</v>
      </c>
      <c r="F285" s="13">
        <v>-0.36957489166389917</v>
      </c>
      <c r="G285" s="13">
        <v>-0.48828369003361721</v>
      </c>
      <c r="H285" s="13">
        <v>2.4612616962605732E-2</v>
      </c>
      <c r="I285" s="13">
        <v>1.7846932576155979E-4</v>
      </c>
      <c r="J285" s="13">
        <v>0.11735033201411629</v>
      </c>
      <c r="K285" s="13">
        <v>17.120169082125582</v>
      </c>
      <c r="L285" s="13">
        <v>-0.46782585036582841</v>
      </c>
      <c r="M285" s="13">
        <v>0.15441212048473871</v>
      </c>
      <c r="N285" s="19">
        <f>(F285-Settings!$D$18)/Settings!$E$18</f>
        <v>-2.010995566446057</v>
      </c>
      <c r="O285" s="19">
        <f>(G285-Settings!$D$19)/Settings!$E$19</f>
        <v>-2.0065811007061138</v>
      </c>
      <c r="P285" s="19">
        <f>(H285-Settings!$D$20)/Settings!$E$20</f>
        <v>-0.25834756813253368</v>
      </c>
      <c r="Q285" s="19">
        <f>(I285-Settings!$D$21)/Settings!$E$21</f>
        <v>3.8403816598913953E-2</v>
      </c>
      <c r="R285" s="19">
        <f>(J285-Settings!$D$22)/Settings!$E$22</f>
        <v>-0.35114571368599262</v>
      </c>
      <c r="S285" s="19">
        <f>(K285-Settings!$D$23)/Settings!$E$23</f>
        <v>0.6476568355350284</v>
      </c>
      <c r="T285" s="19">
        <f>(L285-Settings!$D$24)/Settings!$E$24</f>
        <v>-1.2279107715188264</v>
      </c>
      <c r="U285" s="19">
        <f>(M285-Settings!$D$25)/Settings!$E$25</f>
        <v>0.14010751183518436</v>
      </c>
      <c r="V285" s="31">
        <f>Settings!$B$18*(N285-F$6)^2</f>
        <v>1.080089670878692</v>
      </c>
      <c r="W285" s="31">
        <f>Settings!$B$19*(O285-G$6)^2</f>
        <v>0.38260862953090208</v>
      </c>
      <c r="X285" s="31">
        <f>Settings!$B$20*(P285-H$6)^2</f>
        <v>1.0358922803393369</v>
      </c>
      <c r="Y285" s="31">
        <f>Settings!$B$21*(Q285-I$6)^2</f>
        <v>1.2293216142898853E-6</v>
      </c>
      <c r="Z285" s="31">
        <f>Settings!$B$22*(R285-J$6)^2</f>
        <v>4.2228664686836594E-2</v>
      </c>
      <c r="AA285" s="31">
        <f>Settings!$B$23*(S285-K$6)^2</f>
        <v>0.1827730346128757</v>
      </c>
      <c r="AB285" s="31">
        <f>Settings!$B$24*(T285-L$6)^2</f>
        <v>3.7048087605122437</v>
      </c>
      <c r="AC285" s="31">
        <f>Settings!$B$25*(U285-M$6)^2</f>
        <v>2.972843793201656</v>
      </c>
      <c r="AD285" s="19">
        <f t="shared" si="16"/>
        <v>3.0661451470998822</v>
      </c>
      <c r="AE285" s="15">
        <f t="shared" si="17"/>
        <v>1.2136358371827998</v>
      </c>
      <c r="AF285" s="33">
        <f t="shared" si="18"/>
        <v>0.47880782013721851</v>
      </c>
      <c r="AG285" s="47">
        <f t="shared" si="19"/>
        <v>2.0651713175446149E-3</v>
      </c>
      <c r="AH285" s="18">
        <v>-0.54966480359277359</v>
      </c>
      <c r="AI285" s="46">
        <v>1</v>
      </c>
      <c r="AJ285" s="48"/>
      <c r="AK285" s="48"/>
      <c r="AL285" s="48"/>
      <c r="AM285" s="48"/>
    </row>
    <row r="286" spans="1:39" ht="20" customHeight="1" x14ac:dyDescent="0.45">
      <c r="A286" s="26">
        <v>276</v>
      </c>
      <c r="B286" s="16" t="s">
        <v>321</v>
      </c>
      <c r="C286" s="16" t="s">
        <v>246</v>
      </c>
      <c r="D286" s="46">
        <v>28</v>
      </c>
      <c r="E286" s="46">
        <v>1</v>
      </c>
      <c r="F286" s="13">
        <v>0.22094383528274211</v>
      </c>
      <c r="G286" s="13">
        <v>7.8423826659763746E-2</v>
      </c>
      <c r="H286" s="13">
        <v>4.645870162030407E-2</v>
      </c>
      <c r="I286" s="13">
        <v>-1.9441394865091461E-2</v>
      </c>
      <c r="J286" s="13">
        <v>0.63473224157209873</v>
      </c>
      <c r="K286" s="13">
        <v>18.50329087048835</v>
      </c>
      <c r="L286" s="13">
        <v>2.5776675256812789</v>
      </c>
      <c r="M286" s="13">
        <v>1.6033021369180209</v>
      </c>
      <c r="N286" s="19">
        <f>(F286-Settings!$D$18)/Settings!$E$18</f>
        <v>0.10243414533411675</v>
      </c>
      <c r="O286" s="19">
        <f>(G286-Settings!$D$19)/Settings!$E$19</f>
        <v>0.35439464427637102</v>
      </c>
      <c r="P286" s="19">
        <f>(H286-Settings!$D$20)/Settings!$E$20</f>
        <v>-6.0417840171681551E-2</v>
      </c>
      <c r="Q286" s="19">
        <f>(I286-Settings!$D$21)/Settings!$E$21</f>
        <v>-0.20286768734961072</v>
      </c>
      <c r="R286" s="19">
        <f>(J286-Settings!$D$22)/Settings!$E$22</f>
        <v>1.0408946726226638</v>
      </c>
      <c r="S286" s="19">
        <f>(K286-Settings!$D$23)/Settings!$E$23</f>
        <v>1.1279832191311778</v>
      </c>
      <c r="T286" s="19">
        <f>(L286-Settings!$D$24)/Settings!$E$24</f>
        <v>0.87760538290431711</v>
      </c>
      <c r="U286" s="19">
        <f>(M286-Settings!$D$25)/Settings!$E$25</f>
        <v>1.1172550759342981</v>
      </c>
      <c r="V286" s="31">
        <f>Settings!$B$18*(N286-F$6)^2</f>
        <v>8.8584099403345631E-3</v>
      </c>
      <c r="W286" s="31">
        <f>Settings!$B$19*(O286-G$6)^2</f>
        <v>0.19123723069930229</v>
      </c>
      <c r="X286" s="31">
        <f>Settings!$B$20*(P286-H$6)^2</f>
        <v>0.86354472071884225</v>
      </c>
      <c r="Y286" s="31">
        <f>Settings!$B$21*(Q286-I$6)^2</f>
        <v>1.1404349505581848E-2</v>
      </c>
      <c r="Z286" s="31">
        <f>Settings!$B$22*(R286-J$6)^2</f>
        <v>0.17392506693906495</v>
      </c>
      <c r="AA286" s="31">
        <f>Settings!$B$23*(S286-K$6)^2</f>
        <v>0.82418438562883445</v>
      </c>
      <c r="AB286" s="31">
        <f>Settings!$B$24*(T286-L$6)^2</f>
        <v>3.266267372892407E-2</v>
      </c>
      <c r="AC286" s="31">
        <f>Settings!$B$25*(U286-M$6)^2</f>
        <v>7.2972444341122902</v>
      </c>
      <c r="AD286" s="19">
        <f t="shared" si="16"/>
        <v>3.066441141009097</v>
      </c>
      <c r="AE286" s="15">
        <f t="shared" si="17"/>
        <v>1.2137529969383158</v>
      </c>
      <c r="AF286" s="33">
        <f t="shared" si="18"/>
        <v>0.47873974035328704</v>
      </c>
      <c r="AG286" s="47">
        <f t="shared" si="19"/>
        <v>2.0648776790300237E-3</v>
      </c>
      <c r="AH286" s="18">
        <v>0.44068869076442979</v>
      </c>
      <c r="AI286" s="46">
        <v>1</v>
      </c>
      <c r="AJ286" s="48"/>
      <c r="AK286" s="48"/>
      <c r="AL286" s="48"/>
      <c r="AM286" s="48"/>
    </row>
    <row r="287" spans="1:39" ht="20" customHeight="1" x14ac:dyDescent="0.45">
      <c r="A287" s="26">
        <v>277</v>
      </c>
      <c r="B287" s="16" t="s">
        <v>645</v>
      </c>
      <c r="C287" s="16" t="s">
        <v>234</v>
      </c>
      <c r="D287" s="46">
        <v>28</v>
      </c>
      <c r="E287" s="46">
        <v>1</v>
      </c>
      <c r="F287" s="13">
        <v>0.36375415501669128</v>
      </c>
      <c r="G287" s="13">
        <v>0.30057466924543502</v>
      </c>
      <c r="H287" s="13">
        <v>3.379202899600614E-2</v>
      </c>
      <c r="I287" s="13">
        <v>-3.4664107735065001E-2</v>
      </c>
      <c r="J287" s="13">
        <v>0.26721503900680249</v>
      </c>
      <c r="K287" s="13">
        <v>16.40162037037042</v>
      </c>
      <c r="L287" s="13">
        <v>1.2067264602276739</v>
      </c>
      <c r="M287" s="13">
        <v>1.5418073278408351</v>
      </c>
      <c r="N287" s="19">
        <f>(F287-Settings!$D$18)/Settings!$E$18</f>
        <v>0.61354337710252238</v>
      </c>
      <c r="O287" s="19">
        <f>(G287-Settings!$D$19)/Settings!$E$19</f>
        <v>1.2799033690105983</v>
      </c>
      <c r="P287" s="19">
        <f>(H287-Settings!$D$20)/Settings!$E$20</f>
        <v>-0.17518032992578866</v>
      </c>
      <c r="Q287" s="19">
        <f>(I287-Settings!$D$21)/Settings!$E$21</f>
        <v>-0.39006606918282333</v>
      </c>
      <c r="R287" s="19">
        <f>(J287-Settings!$D$22)/Settings!$E$22</f>
        <v>5.2072336195886568E-2</v>
      </c>
      <c r="S287" s="19">
        <f>(K287-Settings!$D$23)/Settings!$E$23</f>
        <v>0.39812139544657732</v>
      </c>
      <c r="T287" s="19">
        <f>(L287-Settings!$D$24)/Settings!$E$24</f>
        <v>-7.0201163902630509E-2</v>
      </c>
      <c r="U287" s="19">
        <f>(M287-Settings!$D$25)/Settings!$E$25</f>
        <v>1.0757822917940403</v>
      </c>
      <c r="V287" s="31">
        <f>Settings!$B$18*(N287-F$6)^2</f>
        <v>1.8078381221240412E-2</v>
      </c>
      <c r="W287" s="31">
        <f>Settings!$B$19*(O287-G$6)^2</f>
        <v>0.72455314724437381</v>
      </c>
      <c r="X287" s="31">
        <f>Settings!$B$20*(P287-H$6)^2</f>
        <v>0.96156540718065786</v>
      </c>
      <c r="Y287" s="31">
        <f>Settings!$B$21*(Q287-I$6)^2</f>
        <v>3.6293606845870102E-2</v>
      </c>
      <c r="Z287" s="31">
        <f>Settings!$B$22*(R287-J$6)^2</f>
        <v>6.3360687382370544E-4</v>
      </c>
      <c r="AA287" s="31">
        <f>Settings!$B$23*(S287-K$6)^2</f>
        <v>3.1678372098910196E-2</v>
      </c>
      <c r="AB287" s="31">
        <f>Settings!$B$24*(T287-L$6)^2</f>
        <v>0.58840922641385685</v>
      </c>
      <c r="AC287" s="31">
        <f>Settings!$B$25*(U287-M$6)^2</f>
        <v>7.0749001425988745</v>
      </c>
      <c r="AD287" s="19">
        <f t="shared" si="16"/>
        <v>3.0718254980512172</v>
      </c>
      <c r="AE287" s="15">
        <f t="shared" si="17"/>
        <v>1.2158842230717837</v>
      </c>
      <c r="AF287" s="33">
        <f t="shared" si="18"/>
        <v>0.47750186087074531</v>
      </c>
      <c r="AG287" s="47">
        <f t="shared" si="19"/>
        <v>2.0595385156028483E-3</v>
      </c>
      <c r="AH287" s="18">
        <v>0.78036400380137971</v>
      </c>
      <c r="AI287" s="46">
        <v>1</v>
      </c>
      <c r="AJ287" s="18">
        <v>-0.27926990356184728</v>
      </c>
      <c r="AK287" s="46">
        <v>1</v>
      </c>
      <c r="AL287" s="18">
        <v>-0.77081783694212058</v>
      </c>
      <c r="AM287" s="46">
        <v>1</v>
      </c>
    </row>
    <row r="288" spans="1:39" ht="20" customHeight="1" x14ac:dyDescent="0.45">
      <c r="A288" s="26">
        <v>278</v>
      </c>
      <c r="B288" s="16" t="s">
        <v>667</v>
      </c>
      <c r="C288" s="16" t="s">
        <v>212</v>
      </c>
      <c r="D288" s="46">
        <v>28</v>
      </c>
      <c r="E288" s="46">
        <v>0</v>
      </c>
      <c r="F288" s="13">
        <v>-0.4257468812028623</v>
      </c>
      <c r="G288" s="13">
        <v>0.27827334578825069</v>
      </c>
      <c r="H288" s="13">
        <v>3.1176792916980969E-2</v>
      </c>
      <c r="I288" s="13">
        <v>1.8263022947528441E-2</v>
      </c>
      <c r="J288" s="13">
        <v>0.24653995714437771</v>
      </c>
      <c r="K288" s="13">
        <v>11.913311688311691</v>
      </c>
      <c r="L288" s="13">
        <v>3.5508682587445752E-2</v>
      </c>
      <c r="M288" s="13">
        <v>-0.22890316002164449</v>
      </c>
      <c r="N288" s="19">
        <f>(F288-Settings!$D$18)/Settings!$E$18</f>
        <v>-2.2120316153369788</v>
      </c>
      <c r="O288" s="19">
        <f>(G288-Settings!$D$19)/Settings!$E$19</f>
        <v>1.186993213044008</v>
      </c>
      <c r="P288" s="19">
        <f>(H288-Settings!$D$20)/Settings!$E$20</f>
        <v>-0.19887487170686929</v>
      </c>
      <c r="Q288" s="19">
        <f>(I288-Settings!$D$21)/Settings!$E$21</f>
        <v>0.26079513430210388</v>
      </c>
      <c r="R288" s="19">
        <f>(J288-Settings!$D$22)/Settings!$E$22</f>
        <v>-3.5549449499136876E-3</v>
      </c>
      <c r="S288" s="19">
        <f>(K288-Settings!$D$23)/Settings!$E$23</f>
        <v>-1.1605649732125418</v>
      </c>
      <c r="T288" s="19">
        <f>(L288-Settings!$D$24)/Settings!$E$24</f>
        <v>-0.87992807730338707</v>
      </c>
      <c r="U288" s="19">
        <f>(M288-Settings!$D$25)/Settings!$E$25</f>
        <v>-0.11840458251330217</v>
      </c>
      <c r="V288" s="31">
        <f>Settings!$B$18*(N288-F$6)^2</f>
        <v>1.2750467515701627</v>
      </c>
      <c r="W288" s="31">
        <f>Settings!$B$19*(O288-G$6)^2</f>
        <v>0.65554314919488343</v>
      </c>
      <c r="X288" s="31">
        <f>Settings!$B$20*(P288-H$6)^2</f>
        <v>0.98245947250824239</v>
      </c>
      <c r="Y288" s="31">
        <f>Settings!$B$21*(Q288-I$6)^2</f>
        <v>1.0113353128824333E-2</v>
      </c>
      <c r="Z288" s="31">
        <f>Settings!$B$22*(R288-J$6)^2</f>
        <v>2.5048849144204272E-3</v>
      </c>
      <c r="AA288" s="31">
        <f>Settings!$B$23*(S288-K$6)^2</f>
        <v>1.906338504533089</v>
      </c>
      <c r="AB288" s="31">
        <f>Settings!$B$24*(T288-L$6)^2</f>
        <v>2.4863149031830147</v>
      </c>
      <c r="AC288" s="31">
        <f>Settings!$B$25*(U288-M$6)^2</f>
        <v>2.1482224655065996</v>
      </c>
      <c r="AD288" s="19">
        <f t="shared" si="16"/>
        <v>3.0767748511288953</v>
      </c>
      <c r="AE288" s="15">
        <f t="shared" si="17"/>
        <v>1.2178432667496808</v>
      </c>
      <c r="AF288" s="33">
        <f t="shared" si="18"/>
        <v>0.4763649050558586</v>
      </c>
      <c r="AG288" s="47">
        <f t="shared" si="19"/>
        <v>2.054634651381193E-3</v>
      </c>
      <c r="AH288" s="18">
        <v>-6.8837162607333163E-2</v>
      </c>
      <c r="AI288" s="46">
        <v>0</v>
      </c>
      <c r="AJ288" s="18">
        <v>-0.44635213829473591</v>
      </c>
      <c r="AK288" s="46">
        <v>0</v>
      </c>
      <c r="AL288" s="18">
        <v>0.1663652137803194</v>
      </c>
      <c r="AM288" s="46">
        <v>0</v>
      </c>
    </row>
    <row r="289" spans="1:39" ht="20" customHeight="1" x14ac:dyDescent="0.45">
      <c r="A289" s="26">
        <v>279</v>
      </c>
      <c r="B289" s="16" t="s">
        <v>767</v>
      </c>
      <c r="C289" s="16" t="s">
        <v>232</v>
      </c>
      <c r="D289" s="46">
        <v>28</v>
      </c>
      <c r="E289" s="46">
        <v>0</v>
      </c>
      <c r="F289" s="13">
        <v>0.1916818471700627</v>
      </c>
      <c r="G289" s="13">
        <v>0.1903600471103323</v>
      </c>
      <c r="H289" s="13">
        <v>3.8718946689890538E-2</v>
      </c>
      <c r="I289" s="13">
        <v>-9.8508833304431984E-4</v>
      </c>
      <c r="J289" s="13">
        <v>0.57825407069667023</v>
      </c>
      <c r="K289" s="13">
        <v>17.544654088050319</v>
      </c>
      <c r="L289" s="13">
        <v>3.0966159645790299</v>
      </c>
      <c r="M289" s="13">
        <v>1.640202848581479</v>
      </c>
      <c r="N289" s="19">
        <f>(F289-Settings!$D$18)/Settings!$E$18</f>
        <v>-2.2926859771669902E-3</v>
      </c>
      <c r="O289" s="19">
        <f>(G289-Settings!$D$19)/Settings!$E$19</f>
        <v>0.82073520564886759</v>
      </c>
      <c r="P289" s="19">
        <f>(H289-Settings!$D$20)/Settings!$E$20</f>
        <v>-0.13054150818193888</v>
      </c>
      <c r="Q289" s="19">
        <f>(I289-Settings!$D$21)/Settings!$E$21</f>
        <v>2.4095190222091247E-2</v>
      </c>
      <c r="R289" s="19">
        <f>(J289-Settings!$D$22)/Settings!$E$22</f>
        <v>0.88893749485700591</v>
      </c>
      <c r="S289" s="19">
        <f>(K289-Settings!$D$23)/Settings!$E$23</f>
        <v>0.79507071441547739</v>
      </c>
      <c r="T289" s="19">
        <f>(L289-Settings!$D$24)/Settings!$E$24</f>
        <v>1.236382824354574</v>
      </c>
      <c r="U289" s="19">
        <f>(M289-Settings!$D$25)/Settings!$E$25</f>
        <v>1.1421413268619109</v>
      </c>
      <c r="V289" s="31">
        <f>Settings!$B$18*(N289-F$6)^2</f>
        <v>1.9868139807075993E-2</v>
      </c>
      <c r="W289" s="31">
        <f>Settings!$B$19*(O289-G$6)^2</f>
        <v>0.41713595545317139</v>
      </c>
      <c r="X289" s="31">
        <f>Settings!$B$20*(P289-H$6)^2</f>
        <v>0.92281254691187053</v>
      </c>
      <c r="Y289" s="31">
        <f>Settings!$B$21*(Q289-I$6)^2</f>
        <v>2.7986898269228042E-5</v>
      </c>
      <c r="Z289" s="31">
        <f>Settings!$B$22*(R289-J$6)^2</f>
        <v>0.1218609848884849</v>
      </c>
      <c r="AA289" s="31">
        <f>Settings!$B$23*(S289-K$6)^2</f>
        <v>0.33054854041026638</v>
      </c>
      <c r="AB289" s="31">
        <f>Settings!$B$24*(T289-L$6)^2</f>
        <v>0.29106631164438745</v>
      </c>
      <c r="AC289" s="31">
        <f>Settings!$B$25*(U289-M$6)^2</f>
        <v>7.4323162709167816</v>
      </c>
      <c r="AD289" s="19">
        <f t="shared" si="16"/>
        <v>3.0879826322261446</v>
      </c>
      <c r="AE289" s="15">
        <f t="shared" si="17"/>
        <v>1.2222795097004711</v>
      </c>
      <c r="AF289" s="33">
        <f t="shared" si="18"/>
        <v>0.47379355036589366</v>
      </c>
      <c r="AG289" s="47">
        <f t="shared" si="19"/>
        <v>2.0435440055529201E-3</v>
      </c>
      <c r="AH289" s="18">
        <v>-0.1346154278176179</v>
      </c>
      <c r="AI289" s="46">
        <v>0</v>
      </c>
      <c r="AJ289" s="18">
        <v>-1.143729451579329</v>
      </c>
      <c r="AK289" s="46">
        <v>0</v>
      </c>
      <c r="AL289" s="18">
        <v>0.13695689742918751</v>
      </c>
      <c r="AM289" s="46">
        <v>0</v>
      </c>
    </row>
    <row r="290" spans="1:39" ht="20" customHeight="1" x14ac:dyDescent="0.45">
      <c r="A290" s="26">
        <v>280</v>
      </c>
      <c r="B290" s="16" t="s">
        <v>559</v>
      </c>
      <c r="C290" s="16" t="s">
        <v>214</v>
      </c>
      <c r="D290" s="46">
        <v>28</v>
      </c>
      <c r="E290" s="46">
        <v>1</v>
      </c>
      <c r="F290" s="13">
        <v>5.8445037543936318E-2</v>
      </c>
      <c r="G290" s="13">
        <v>0.35035340232816548</v>
      </c>
      <c r="H290" s="13">
        <v>1.384844809580408E-3</v>
      </c>
      <c r="I290" s="13">
        <v>0.1029936564924079</v>
      </c>
      <c r="J290" s="13">
        <v>-0.48682305882590982</v>
      </c>
      <c r="K290" s="13">
        <v>11.801201201201209</v>
      </c>
      <c r="L290" s="13">
        <v>0.37906465023554847</v>
      </c>
      <c r="M290" s="13">
        <v>-0.1457501124820558</v>
      </c>
      <c r="N290" s="19">
        <f>(F290-Settings!$D$18)/Settings!$E$18</f>
        <v>-0.47913892186647877</v>
      </c>
      <c r="O290" s="19">
        <f>(G290-Settings!$D$19)/Settings!$E$19</f>
        <v>1.4872879156459164</v>
      </c>
      <c r="P290" s="19">
        <f>(H290-Settings!$D$20)/Settings!$E$20</f>
        <v>-0.46879565049702548</v>
      </c>
      <c r="Q290" s="19">
        <f>(I290-Settings!$D$21)/Settings!$E$21</f>
        <v>1.3027537934968578</v>
      </c>
      <c r="R290" s="19">
        <f>(J290-Settings!$D$22)/Settings!$E$22</f>
        <v>-1.9767026665776881</v>
      </c>
      <c r="S290" s="19">
        <f>(K290-Settings!$D$23)/Settings!$E$23</f>
        <v>-1.1994983667069232</v>
      </c>
      <c r="T290" s="19">
        <f>(L290-Settings!$D$24)/Settings!$E$24</f>
        <v>-0.64240904491250317</v>
      </c>
      <c r="U290" s="19">
        <f>(M290-Settings!$D$25)/Settings!$E$25</f>
        <v>-6.2325241135309878E-2</v>
      </c>
      <c r="V290" s="31">
        <f>Settings!$B$18*(N290-F$6)^2</f>
        <v>0.12546225084407375</v>
      </c>
      <c r="W290" s="31">
        <f>Settings!$B$19*(O290-G$6)^2</f>
        <v>0.89104550220694512</v>
      </c>
      <c r="X290" s="31">
        <f>Settings!$B$20*(P290-H$6)^2</f>
        <v>1.2363286782177152</v>
      </c>
      <c r="Y290" s="31">
        <f>Settings!$B$21*(Q290-I$6)^2</f>
        <v>0.32097125061635617</v>
      </c>
      <c r="Z290" s="31">
        <f>Settings!$B$22*(R290-J$6)^2</f>
        <v>0.86949528859527803</v>
      </c>
      <c r="AA290" s="31">
        <f>Settings!$B$23*(S290-K$6)^2</f>
        <v>2.0153651560569399</v>
      </c>
      <c r="AB290" s="31">
        <f>Settings!$B$24*(T290-L$6)^2</f>
        <v>1.793687663352282</v>
      </c>
      <c r="AC290" s="31">
        <f>Settings!$B$25*(U290-M$6)^2</f>
        <v>2.3157562723001592</v>
      </c>
      <c r="AD290" s="19">
        <f t="shared" si="16"/>
        <v>3.0932365027895536</v>
      </c>
      <c r="AE290" s="15">
        <f t="shared" si="17"/>
        <v>1.2243590869199983</v>
      </c>
      <c r="AF290" s="33">
        <f t="shared" si="18"/>
        <v>0.47258975762489114</v>
      </c>
      <c r="AG290" s="47">
        <f t="shared" si="19"/>
        <v>2.0383518634524123E-3</v>
      </c>
      <c r="AH290" s="48"/>
      <c r="AI290" s="48"/>
      <c r="AJ290" s="48"/>
      <c r="AK290" s="48"/>
      <c r="AL290" s="48"/>
      <c r="AM290" s="48"/>
    </row>
    <row r="291" spans="1:39" ht="20" customHeight="1" x14ac:dyDescent="0.45">
      <c r="A291" s="26">
        <v>281</v>
      </c>
      <c r="B291" s="16" t="s">
        <v>308</v>
      </c>
      <c r="C291" s="16" t="s">
        <v>260</v>
      </c>
      <c r="D291" s="46">
        <v>28</v>
      </c>
      <c r="E291" s="46">
        <v>1</v>
      </c>
      <c r="F291" s="13">
        <v>0.64709048784937617</v>
      </c>
      <c r="G291" s="13">
        <v>6.883123329955261E-2</v>
      </c>
      <c r="H291" s="13">
        <v>3.8276356040891038E-2</v>
      </c>
      <c r="I291" s="13">
        <v>-1.2263897923208111E-4</v>
      </c>
      <c r="J291" s="13">
        <v>0.245679283830948</v>
      </c>
      <c r="K291" s="13">
        <v>15.687588652482271</v>
      </c>
      <c r="L291" s="13">
        <v>2.885243424536442</v>
      </c>
      <c r="M291" s="13">
        <v>1.7841051895548881</v>
      </c>
      <c r="N291" s="19">
        <f>(F291-Settings!$D$18)/Settings!$E$18</f>
        <v>1.6275864495918064</v>
      </c>
      <c r="O291" s="19">
        <f>(G291-Settings!$D$19)/Settings!$E$19</f>
        <v>0.31443067770136574</v>
      </c>
      <c r="P291" s="19">
        <f>(H291-Settings!$D$20)/Settings!$E$20</f>
        <v>-0.13455146457124628</v>
      </c>
      <c r="Q291" s="19">
        <f>(I291-Settings!$D$21)/Settings!$E$21</f>
        <v>3.4700995168015544E-2</v>
      </c>
      <c r="R291" s="19">
        <f>(J291-Settings!$D$22)/Settings!$E$22</f>
        <v>-5.8706270206992902E-3</v>
      </c>
      <c r="S291" s="19">
        <f>(K291-Settings!$D$23)/Settings!$E$23</f>
        <v>0.15015460343172521</v>
      </c>
      <c r="T291" s="19">
        <f>(L291-Settings!$D$24)/Settings!$E$24</f>
        <v>1.0902494256870743</v>
      </c>
      <c r="U291" s="19">
        <f>(M291-Settings!$D$25)/Settings!$E$25</f>
        <v>1.239190668327093</v>
      </c>
      <c r="V291" s="31">
        <f>Settings!$B$18*(N291-F$6)^2</f>
        <v>0.34568487247940827</v>
      </c>
      <c r="W291" s="31">
        <f>Settings!$B$19*(O291-G$6)^2</f>
        <v>0.17592518506701621</v>
      </c>
      <c r="X291" s="31">
        <f>Settings!$B$20*(P291-H$6)^2</f>
        <v>0.92626117665727237</v>
      </c>
      <c r="Y291" s="31">
        <f>Settings!$B$21*(Q291-I$6)^2</f>
        <v>2.9943256459265869E-7</v>
      </c>
      <c r="Z291" s="31">
        <f>Settings!$B$22*(R291-J$6)^2</f>
        <v>2.6096189690139309E-3</v>
      </c>
      <c r="AA291" s="31">
        <f>Settings!$B$23*(S291-K$6)^2</f>
        <v>4.8975645026093492E-3</v>
      </c>
      <c r="AB291" s="31">
        <f>Settings!$B$24*(T291-L$6)^2</f>
        <v>0.15474170279006036</v>
      </c>
      <c r="AC291" s="31">
        <f>Settings!$B$25*(U291-M$6)^2</f>
        <v>7.9708920087684385</v>
      </c>
      <c r="AD291" s="19">
        <f t="shared" si="16"/>
        <v>3.0953210542149554</v>
      </c>
      <c r="AE291" s="15">
        <f t="shared" si="17"/>
        <v>1.2251841901662393</v>
      </c>
      <c r="AF291" s="33">
        <f t="shared" si="18"/>
        <v>0.47211241710769625</v>
      </c>
      <c r="AG291" s="47">
        <f t="shared" si="19"/>
        <v>2.0362930208367457E-3</v>
      </c>
      <c r="AH291" s="18">
        <v>-1.3830184295328991</v>
      </c>
      <c r="AI291" s="46">
        <v>1</v>
      </c>
      <c r="AJ291" s="18">
        <v>-1.8360605104093679</v>
      </c>
      <c r="AK291" s="46">
        <v>1</v>
      </c>
      <c r="AL291" s="18">
        <v>1.007705810671087</v>
      </c>
      <c r="AM291" s="46">
        <v>1</v>
      </c>
    </row>
    <row r="292" spans="1:39" ht="20" customHeight="1" x14ac:dyDescent="0.45">
      <c r="A292" s="26">
        <v>282</v>
      </c>
      <c r="B292" s="16" t="s">
        <v>296</v>
      </c>
      <c r="C292" s="16" t="s">
        <v>224</v>
      </c>
      <c r="D292" s="46">
        <v>28</v>
      </c>
      <c r="E292" s="46">
        <v>0</v>
      </c>
      <c r="F292" s="13">
        <v>0.38113004224223429</v>
      </c>
      <c r="G292" s="13">
        <v>-1.237599887955459E-2</v>
      </c>
      <c r="H292" s="13">
        <v>-5.7532986045574927E-2</v>
      </c>
      <c r="I292" s="13">
        <v>4.6391400928968332E-2</v>
      </c>
      <c r="J292" s="13">
        <v>0.5025695719036678</v>
      </c>
      <c r="K292" s="13">
        <v>18.28548057259712</v>
      </c>
      <c r="L292" s="13">
        <v>3.0166377985536932</v>
      </c>
      <c r="M292" s="13">
        <v>1.4084646927662661</v>
      </c>
      <c r="N292" s="19">
        <f>(F292-Settings!$D$18)/Settings!$E$18</f>
        <v>0.67573059429863747</v>
      </c>
      <c r="O292" s="19">
        <f>(G292-Settings!$D$19)/Settings!$E$19</f>
        <v>-2.3889001929367798E-2</v>
      </c>
      <c r="P292" s="19">
        <f>(H292-Settings!$D$20)/Settings!$E$20</f>
        <v>-1.0026025278357971</v>
      </c>
      <c r="Q292" s="19">
        <f>(I292-Settings!$D$21)/Settings!$E$21</f>
        <v>0.60669844908542125</v>
      </c>
      <c r="R292" s="19">
        <f>(J292-Settings!$D$22)/Settings!$E$22</f>
        <v>0.68530478758396396</v>
      </c>
      <c r="S292" s="19">
        <f>(K292-Settings!$D$23)/Settings!$E$23</f>
        <v>1.0523427125782912</v>
      </c>
      <c r="T292" s="19">
        <f>(L292-Settings!$D$24)/Settings!$E$24</f>
        <v>1.1810895435049369</v>
      </c>
      <c r="U292" s="19">
        <f>(M292-Settings!$D$25)/Settings!$E$25</f>
        <v>0.98585453359578923</v>
      </c>
      <c r="V292" s="31">
        <f>Settings!$B$18*(N292-F$6)^2</f>
        <v>2.6330527332095219E-2</v>
      </c>
      <c r="W292" s="31">
        <f>Settings!$B$19*(O292-G$6)^2</f>
        <v>7.18954144891049E-2</v>
      </c>
      <c r="X292" s="31">
        <f>Settings!$B$20*(P292-H$6)^2</f>
        <v>1.8241983481350144</v>
      </c>
      <c r="Y292" s="31">
        <f>Settings!$B$21*(Q292-I$6)^2</f>
        <v>6.5156561647950972E-2</v>
      </c>
      <c r="Z292" s="31">
        <f>Settings!$B$22*(R292-J$6)^2</f>
        <v>6.6573604384305859E-2</v>
      </c>
      <c r="AA292" s="31">
        <f>Settings!$B$23*(S292-K$6)^2</f>
        <v>0.69256600707736538</v>
      </c>
      <c r="AB292" s="31">
        <f>Settings!$B$24*(T292-L$6)^2</f>
        <v>0.23446158726088026</v>
      </c>
      <c r="AC292" s="31">
        <f>Settings!$B$25*(U292-M$6)^2</f>
        <v>6.6045951316424656</v>
      </c>
      <c r="AD292" s="19">
        <f t="shared" si="16"/>
        <v>3.0960906288364982</v>
      </c>
      <c r="AE292" s="15">
        <f t="shared" si="17"/>
        <v>1.2254888017535199</v>
      </c>
      <c r="AF292" s="33">
        <f t="shared" si="18"/>
        <v>0.47193623323029721</v>
      </c>
      <c r="AG292" s="47">
        <f t="shared" si="19"/>
        <v>2.0355331128425239E-3</v>
      </c>
      <c r="AH292" s="18">
        <v>-1.1386529769153479</v>
      </c>
      <c r="AI292" s="46">
        <v>0</v>
      </c>
      <c r="AJ292" s="18">
        <v>-1.375003598114007</v>
      </c>
      <c r="AK292" s="46">
        <v>0</v>
      </c>
      <c r="AL292" s="18">
        <v>1.76436247421459</v>
      </c>
      <c r="AM292" s="46">
        <v>1</v>
      </c>
    </row>
    <row r="293" spans="1:39" ht="20" customHeight="1" x14ac:dyDescent="0.45">
      <c r="A293" s="26">
        <v>283</v>
      </c>
      <c r="B293" s="16" t="s">
        <v>768</v>
      </c>
      <c r="C293" s="16" t="s">
        <v>246</v>
      </c>
      <c r="D293" s="46">
        <v>28</v>
      </c>
      <c r="E293" s="46">
        <v>1</v>
      </c>
      <c r="F293" s="13">
        <v>-0.36421189471287257</v>
      </c>
      <c r="G293" s="13">
        <v>0.19993539695093079</v>
      </c>
      <c r="H293" s="13">
        <v>-4.4549650362983384E-3</v>
      </c>
      <c r="I293" s="13">
        <v>-7.1059000403565303E-2</v>
      </c>
      <c r="J293" s="13">
        <v>0.36033874289633311</v>
      </c>
      <c r="K293" s="13">
        <v>13.24948875255626</v>
      </c>
      <c r="L293" s="13">
        <v>-0.1230339541183981</v>
      </c>
      <c r="M293" s="13">
        <v>0.15159228268334421</v>
      </c>
      <c r="N293" s="19">
        <f>(F293-Settings!$D$18)/Settings!$E$18</f>
        <v>-1.9918017346787031</v>
      </c>
      <c r="O293" s="19">
        <f>(G293-Settings!$D$19)/Settings!$E$19</f>
        <v>0.86062733352337151</v>
      </c>
      <c r="P293" s="19">
        <f>(H293-Settings!$D$20)/Settings!$E$20</f>
        <v>-0.52170545068543439</v>
      </c>
      <c r="Q293" s="19">
        <f>(I293-Settings!$D$21)/Settings!$E$21</f>
        <v>-0.83762525739922378</v>
      </c>
      <c r="R293" s="19">
        <f>(J293-Settings!$D$22)/Settings!$E$22</f>
        <v>0.30262604582911334</v>
      </c>
      <c r="S293" s="19">
        <f>(K293-Settings!$D$23)/Settings!$E$23</f>
        <v>-0.69654141251625024</v>
      </c>
      <c r="T293" s="19">
        <f>(L293-Settings!$D$24)/Settings!$E$24</f>
        <v>-0.98953727408393211</v>
      </c>
      <c r="U293" s="19">
        <f>(M293-Settings!$D$25)/Settings!$E$25</f>
        <v>0.13820578181597271</v>
      </c>
      <c r="V293" s="31">
        <f>Settings!$B$18*(N293-F$6)^2</f>
        <v>1.0623216370858179</v>
      </c>
      <c r="W293" s="31">
        <f>Settings!$B$19*(O293-G$6)^2</f>
        <v>0.44049892918289602</v>
      </c>
      <c r="X293" s="31">
        <f>Settings!$B$20*(P293-H$6)^2</f>
        <v>1.2895082335510206</v>
      </c>
      <c r="Y293" s="31">
        <f>Settings!$B$21*(Q293-I$6)^2</f>
        <v>0.15261786410981359</v>
      </c>
      <c r="Z293" s="31">
        <f>Settings!$B$22*(R293-J$6)^2</f>
        <v>7.548043429082398E-3</v>
      </c>
      <c r="AA293" s="31">
        <f>Settings!$B$23*(S293-K$6)^2</f>
        <v>0.84029968755405537</v>
      </c>
      <c r="AB293" s="31">
        <f>Settings!$B$24*(T293-L$6)^2</f>
        <v>2.8439938004865253</v>
      </c>
      <c r="AC293" s="31">
        <f>Settings!$B$25*(U293-M$6)^2</f>
        <v>2.9662895080767426</v>
      </c>
      <c r="AD293" s="19">
        <f t="shared" si="16"/>
        <v>3.0988832994283526</v>
      </c>
      <c r="AE293" s="15">
        <f t="shared" si="17"/>
        <v>1.2265941914037544</v>
      </c>
      <c r="AF293" s="33">
        <f t="shared" si="18"/>
        <v>0.47129707316998204</v>
      </c>
      <c r="AG293" s="47">
        <f t="shared" si="19"/>
        <v>2.0327763178020737E-3</v>
      </c>
      <c r="AH293" s="18">
        <v>-0.79293575337749433</v>
      </c>
      <c r="AI293" s="46">
        <v>1</v>
      </c>
      <c r="AJ293" s="48"/>
      <c r="AK293" s="48"/>
      <c r="AL293" s="48"/>
      <c r="AM293" s="48"/>
    </row>
    <row r="294" spans="1:39" ht="20" customHeight="1" x14ac:dyDescent="0.45">
      <c r="A294" s="26">
        <v>284</v>
      </c>
      <c r="B294" s="16" t="s">
        <v>661</v>
      </c>
      <c r="C294" s="16" t="s">
        <v>214</v>
      </c>
      <c r="D294" s="46">
        <v>28</v>
      </c>
      <c r="E294" s="46">
        <v>1</v>
      </c>
      <c r="F294" s="13">
        <v>0.38898668562674649</v>
      </c>
      <c r="G294" s="13">
        <v>-2.2513665387697571E-2</v>
      </c>
      <c r="H294" s="13">
        <v>1.56910267089634E-3</v>
      </c>
      <c r="I294" s="13">
        <v>6.7865156047401315E-2</v>
      </c>
      <c r="J294" s="13">
        <v>-0.51906539026725818</v>
      </c>
      <c r="K294" s="13">
        <v>11.80127314814815</v>
      </c>
      <c r="L294" s="13">
        <v>-0.20294378541568611</v>
      </c>
      <c r="M294" s="13">
        <v>-0.22504781608366969</v>
      </c>
      <c r="N294" s="19">
        <f>(F294-Settings!$D$18)/Settings!$E$18</f>
        <v>0.70384903120163778</v>
      </c>
      <c r="O294" s="19">
        <f>(G294-Settings!$D$19)/Settings!$E$19</f>
        <v>-6.6123812711658611E-2</v>
      </c>
      <c r="P294" s="19">
        <f>(H294-Settings!$D$20)/Settings!$E$20</f>
        <v>-0.46712623884105353</v>
      </c>
      <c r="Q294" s="19">
        <f>(I294-Settings!$D$21)/Settings!$E$21</f>
        <v>0.87076781992551566</v>
      </c>
      <c r="R294" s="19">
        <f>(J294-Settings!$D$22)/Settings!$E$22</f>
        <v>-2.063452177308458</v>
      </c>
      <c r="S294" s="19">
        <f>(K294-Settings!$D$23)/Settings!$E$23</f>
        <v>-1.199473381187119</v>
      </c>
      <c r="T294" s="19">
        <f>(L294-Settings!$D$24)/Settings!$E$24</f>
        <v>-1.0447833113982703</v>
      </c>
      <c r="U294" s="19">
        <f>(M294-Settings!$D$25)/Settings!$E$25</f>
        <v>-0.11580449562262835</v>
      </c>
      <c r="V294" s="31">
        <f>Settings!$B$18*(N294-F$6)^2</f>
        <v>3.0569650540868382E-2</v>
      </c>
      <c r="W294" s="31">
        <f>Settings!$B$19*(O294-G$6)^2</f>
        <v>6.2123180340536877E-2</v>
      </c>
      <c r="X294" s="31">
        <f>Settings!$B$20*(P294-H$6)^2</f>
        <v>1.2346689782735332</v>
      </c>
      <c r="Y294" s="31">
        <f>Settings!$B$21*(Q294-I$6)^2</f>
        <v>0.13939264664296067</v>
      </c>
      <c r="Z294" s="31">
        <f>Settings!$B$22*(R294-J$6)^2</f>
        <v>0.94335156836832346</v>
      </c>
      <c r="AA294" s="31">
        <f>Settings!$B$23*(S294-K$6)^2</f>
        <v>2.0152942160158394</v>
      </c>
      <c r="AB294" s="31">
        <f>Settings!$B$24*(T294-L$6)^2</f>
        <v>3.0333813597743742</v>
      </c>
      <c r="AC294" s="31">
        <f>Settings!$B$25*(U294-M$6)^2</f>
        <v>2.1558510248320988</v>
      </c>
      <c r="AD294" s="19">
        <f t="shared" si="16"/>
        <v>3.1007471075191759</v>
      </c>
      <c r="AE294" s="15">
        <f t="shared" si="17"/>
        <v>1.2273319204361826</v>
      </c>
      <c r="AF294" s="33">
        <f t="shared" si="18"/>
        <v>0.47087066397183419</v>
      </c>
      <c r="AG294" s="47">
        <f t="shared" si="19"/>
        <v>2.0309371497506837E-3</v>
      </c>
      <c r="AH294" s="48"/>
      <c r="AI294" s="48"/>
      <c r="AJ294" s="48"/>
      <c r="AK294" s="48"/>
      <c r="AL294" s="48"/>
      <c r="AM294" s="48"/>
    </row>
    <row r="295" spans="1:39" ht="20" customHeight="1" x14ac:dyDescent="0.45">
      <c r="A295" s="26">
        <v>285</v>
      </c>
      <c r="B295" s="16" t="s">
        <v>231</v>
      </c>
      <c r="C295" s="16" t="s">
        <v>236</v>
      </c>
      <c r="D295" s="46">
        <v>28</v>
      </c>
      <c r="E295" s="46">
        <v>0</v>
      </c>
      <c r="F295" s="13">
        <v>0.1362741228989171</v>
      </c>
      <c r="G295" s="13">
        <v>-7.1942355190786192E-2</v>
      </c>
      <c r="H295" s="13">
        <v>0.19691702235839259</v>
      </c>
      <c r="I295" s="13">
        <v>-3.6432974144909577E-2</v>
      </c>
      <c r="J295" s="13">
        <v>0.55843352540699454</v>
      </c>
      <c r="K295" s="13">
        <v>18.910272536687611</v>
      </c>
      <c r="L295" s="13">
        <v>2.5042047182291478</v>
      </c>
      <c r="M295" s="13">
        <v>1.853497070454204</v>
      </c>
      <c r="N295" s="19">
        <f>(F295-Settings!$D$18)/Settings!$E$18</f>
        <v>-0.20059347711760386</v>
      </c>
      <c r="O295" s="19">
        <f>(G295-Settings!$D$19)/Settings!$E$19</f>
        <v>-0.2720500344287709</v>
      </c>
      <c r="P295" s="19">
        <f>(H295-Settings!$D$20)/Settings!$E$20</f>
        <v>1.3027634785751661</v>
      </c>
      <c r="Q295" s="19">
        <f>(I295-Settings!$D$21)/Settings!$E$21</f>
        <v>-0.41181836343092498</v>
      </c>
      <c r="R295" s="19">
        <f>(J295-Settings!$D$22)/Settings!$E$22</f>
        <v>0.83560938459226874</v>
      </c>
      <c r="S295" s="19">
        <f>(K295-Settings!$D$23)/Settings!$E$23</f>
        <v>1.2693185907233102</v>
      </c>
      <c r="T295" s="19">
        <f>(L295-Settings!$D$24)/Settings!$E$24</f>
        <v>0.8268165258159127</v>
      </c>
      <c r="U295" s="19">
        <f>(M295-Settings!$D$25)/Settings!$E$25</f>
        <v>1.2859893256578543</v>
      </c>
      <c r="V295" s="31">
        <f>Settings!$B$18*(N295-F$6)^2</f>
        <v>5.2733243117835317E-2</v>
      </c>
      <c r="W295" s="31">
        <f>Settings!$B$19*(O295-G$6)^2</f>
        <v>2.4696818766615759E-2</v>
      </c>
      <c r="X295" s="31">
        <f>Settings!$B$20*(P295-H$6)^2</f>
        <v>0.10216835558962289</v>
      </c>
      <c r="Y295" s="31">
        <f>Settings!$B$21*(Q295-I$6)^2</f>
        <v>4.0094748896669308E-2</v>
      </c>
      <c r="Z295" s="31">
        <f>Settings!$B$22*(R295-J$6)^2</f>
        <v>0.10577902272931508</v>
      </c>
      <c r="AA295" s="31">
        <f>Settings!$B$23*(S295-K$6)^2</f>
        <v>1.1007815804429468</v>
      </c>
      <c r="AB295" s="31">
        <f>Settings!$B$24*(T295-L$6)^2</f>
        <v>1.6884226691696397E-2</v>
      </c>
      <c r="AC295" s="31">
        <f>Settings!$B$25*(U295-M$6)^2</f>
        <v>8.2373332521009264</v>
      </c>
      <c r="AD295" s="19">
        <f t="shared" si="16"/>
        <v>3.111345568774968</v>
      </c>
      <c r="AE295" s="15">
        <f t="shared" si="17"/>
        <v>1.231526983547004</v>
      </c>
      <c r="AF295" s="33">
        <f t="shared" si="18"/>
        <v>0.46844838431065478</v>
      </c>
      <c r="AG295" s="47">
        <f t="shared" si="19"/>
        <v>2.0204894873087757E-3</v>
      </c>
      <c r="AH295" s="18">
        <v>0.31286202912847871</v>
      </c>
      <c r="AI295" s="46">
        <v>0</v>
      </c>
      <c r="AJ295" s="18">
        <v>-0.46999238671003729</v>
      </c>
      <c r="AK295" s="46">
        <v>1</v>
      </c>
      <c r="AL295" s="18">
        <v>-0.28865244223511072</v>
      </c>
      <c r="AM295" s="46">
        <v>1</v>
      </c>
    </row>
    <row r="296" spans="1:39" ht="20" customHeight="1" x14ac:dyDescent="0.45">
      <c r="A296" s="26">
        <v>286</v>
      </c>
      <c r="B296" s="16" t="s">
        <v>223</v>
      </c>
      <c r="C296" s="16" t="s">
        <v>271</v>
      </c>
      <c r="D296" s="46">
        <v>28</v>
      </c>
      <c r="E296" s="46">
        <v>0</v>
      </c>
      <c r="F296" s="13">
        <v>0.34644065656117679</v>
      </c>
      <c r="G296" s="13">
        <v>-0.13288403675708069</v>
      </c>
      <c r="H296" s="13">
        <v>0.1598672727114899</v>
      </c>
      <c r="I296" s="13">
        <v>-5.1483100241967129E-3</v>
      </c>
      <c r="J296" s="13">
        <v>0.35565972394605588</v>
      </c>
      <c r="K296" s="13">
        <v>18.84959349593494</v>
      </c>
      <c r="L296" s="13">
        <v>4.05143224563761</v>
      </c>
      <c r="M296" s="13">
        <v>1.5122300358316001</v>
      </c>
      <c r="N296" s="19">
        <f>(F296-Settings!$D$18)/Settings!$E$18</f>
        <v>0.55157944542512638</v>
      </c>
      <c r="O296" s="19">
        <f>(G296-Settings!$D$19)/Settings!$E$19</f>
        <v>-0.52594084723462131</v>
      </c>
      <c r="P296" s="19">
        <f>(H296-Settings!$D$20)/Settings!$E$20</f>
        <v>0.96708562217516525</v>
      </c>
      <c r="Q296" s="19">
        <f>(I296-Settings!$D$21)/Settings!$E$21</f>
        <v>-2.7101227292549386E-2</v>
      </c>
      <c r="R296" s="19">
        <f>(J296-Settings!$D$22)/Settings!$E$22</f>
        <v>0.29003692505244366</v>
      </c>
      <c r="S296" s="19">
        <f>(K296-Settings!$D$23)/Settings!$E$23</f>
        <v>1.2482461555624744</v>
      </c>
      <c r="T296" s="19">
        <f>(L296-Settings!$D$24)/Settings!$E$24</f>
        <v>1.8964995463565901</v>
      </c>
      <c r="U296" s="19">
        <f>(M296-Settings!$D$25)/Settings!$E$25</f>
        <v>1.0558350366458418</v>
      </c>
      <c r="V296" s="31">
        <f>Settings!$B$18*(N296-F$6)^2</f>
        <v>1.1394443409537141E-2</v>
      </c>
      <c r="W296" s="31">
        <f>Settings!$B$19*(O296-G$6)^2</f>
        <v>1.9017267412828936E-3</v>
      </c>
      <c r="X296" s="31">
        <f>Settings!$B$20*(P296-H$6)^2</f>
        <v>0.22067215744865509</v>
      </c>
      <c r="Y296" s="31">
        <f>Settings!$B$21*(Q296-I$6)^2</f>
        <v>7.9445050769453164E-4</v>
      </c>
      <c r="Z296" s="31">
        <f>Settings!$B$22*(R296-J$6)^2</f>
        <v>6.601473204636151E-3</v>
      </c>
      <c r="AA296" s="31">
        <f>Settings!$B$23*(S296-K$6)^2</f>
        <v>1.0570080145154157</v>
      </c>
      <c r="AB296" s="31">
        <f>Settings!$B$24*(T296-L$6)^2</f>
        <v>1.4390937581668013</v>
      </c>
      <c r="AC296" s="31">
        <f>Settings!$B$25*(U296-M$6)^2</f>
        <v>6.9691838865365145</v>
      </c>
      <c r="AD296" s="19">
        <f t="shared" si="16"/>
        <v>3.115549696366684</v>
      </c>
      <c r="AE296" s="15">
        <f t="shared" si="17"/>
        <v>1.2331910534669233</v>
      </c>
      <c r="AF296" s="33">
        <f t="shared" si="18"/>
        <v>0.46748870677535409</v>
      </c>
      <c r="AG296" s="47">
        <f t="shared" si="19"/>
        <v>2.0163502514052626E-3</v>
      </c>
      <c r="AH296" s="18">
        <v>-6.5618057972760546E-2</v>
      </c>
      <c r="AI296" s="46">
        <v>1</v>
      </c>
      <c r="AJ296" s="18">
        <v>-1.4225728073298209</v>
      </c>
      <c r="AK296" s="46">
        <v>1</v>
      </c>
      <c r="AL296" s="18">
        <v>-0.61502027384214331</v>
      </c>
      <c r="AM296" s="46">
        <v>1</v>
      </c>
    </row>
    <row r="297" spans="1:39" ht="20" customHeight="1" x14ac:dyDescent="0.45">
      <c r="A297" s="26">
        <v>287</v>
      </c>
      <c r="B297" s="16" t="s">
        <v>562</v>
      </c>
      <c r="C297" s="16" t="s">
        <v>246</v>
      </c>
      <c r="D297" s="46">
        <v>28</v>
      </c>
      <c r="E297" s="46">
        <v>1</v>
      </c>
      <c r="F297" s="13">
        <v>0.73577116537618859</v>
      </c>
      <c r="G297" s="13">
        <v>9.4012150325745281E-2</v>
      </c>
      <c r="H297" s="13">
        <v>-0.1349085274371731</v>
      </c>
      <c r="I297" s="13">
        <v>-3.487195863071653E-3</v>
      </c>
      <c r="J297" s="13">
        <v>3.1820960997821217E-2</v>
      </c>
      <c r="K297" s="13">
        <v>13.697281323877091</v>
      </c>
      <c r="L297" s="13">
        <v>0.67810525962789381</v>
      </c>
      <c r="M297" s="13">
        <v>0.65620738997425654</v>
      </c>
      <c r="N297" s="19">
        <f>(F297-Settings!$D$18)/Settings!$E$18</f>
        <v>1.9449690662533383</v>
      </c>
      <c r="O297" s="19">
        <f>(G297-Settings!$D$19)/Settings!$E$19</f>
        <v>0.41933758749875921</v>
      </c>
      <c r="P297" s="19">
        <f>(H297-Settings!$D$20)/Settings!$E$20</f>
        <v>-1.7036398120187024</v>
      </c>
      <c r="Q297" s="19">
        <f>(I297-Settings!$D$21)/Settings!$E$21</f>
        <v>-6.673995585630507E-3</v>
      </c>
      <c r="R297" s="19">
        <f>(J297-Settings!$D$22)/Settings!$E$22</f>
        <v>-0.58126651317814582</v>
      </c>
      <c r="S297" s="19">
        <f>(K297-Settings!$D$23)/Settings!$E$23</f>
        <v>-0.54103335227640825</v>
      </c>
      <c r="T297" s="19">
        <f>(L297-Settings!$D$24)/Settings!$E$24</f>
        <v>-0.43566591460192022</v>
      </c>
      <c r="U297" s="19">
        <f>(M297-Settings!$D$25)/Settings!$E$25</f>
        <v>0.47852383032509721</v>
      </c>
      <c r="V297" s="31">
        <f>Settings!$B$18*(N297-F$6)^2</f>
        <v>0.53273582176648504</v>
      </c>
      <c r="W297" s="31">
        <f>Settings!$B$19*(O297-G$6)^2</f>
        <v>0.21748247132522336</v>
      </c>
      <c r="X297" s="31">
        <f>Settings!$B$20*(P297-H$6)^2</f>
        <v>2.7693695140814238</v>
      </c>
      <c r="Y297" s="31">
        <f>Settings!$B$21*(Q297-I$6)^2</f>
        <v>3.6292774914764223E-4</v>
      </c>
      <c r="Z297" s="31">
        <f>Settings!$B$22*(R297-J$6)^2</f>
        <v>9.5116291943603493E-2</v>
      </c>
      <c r="AA297" s="31">
        <f>Settings!$B$23*(S297-K$6)^2</f>
        <v>0.57938061705070387</v>
      </c>
      <c r="AB297" s="31">
        <f>Settings!$B$24*(T297-L$6)^2</f>
        <v>1.2826539212649806</v>
      </c>
      <c r="AC297" s="31">
        <f>Settings!$B$25*(U297-M$6)^2</f>
        <v>4.2543599425274481</v>
      </c>
      <c r="AD297" s="19">
        <f t="shared" si="16"/>
        <v>3.1195290522303232</v>
      </c>
      <c r="AE297" s="15">
        <f t="shared" si="17"/>
        <v>1.23476615466185</v>
      </c>
      <c r="AF297" s="33">
        <f t="shared" si="18"/>
        <v>0.46658095893040336</v>
      </c>
      <c r="AG297" s="47">
        <f t="shared" si="19"/>
        <v>2.0124349961940634E-3</v>
      </c>
      <c r="AH297" s="18">
        <v>-0.22966185092686339</v>
      </c>
      <c r="AI297" s="46">
        <v>1</v>
      </c>
      <c r="AJ297" s="48"/>
      <c r="AK297" s="48"/>
      <c r="AL297" s="48"/>
      <c r="AM297" s="48"/>
    </row>
    <row r="298" spans="1:39" ht="20" customHeight="1" x14ac:dyDescent="0.45">
      <c r="A298" s="26">
        <v>288</v>
      </c>
      <c r="B298" s="16" t="s">
        <v>532</v>
      </c>
      <c r="C298" s="16" t="s">
        <v>234</v>
      </c>
      <c r="D298" s="46">
        <v>28</v>
      </c>
      <c r="E298" s="46">
        <v>1</v>
      </c>
      <c r="F298" s="13">
        <v>0.19055151132331141</v>
      </c>
      <c r="G298" s="13">
        <v>0.54591814614212431</v>
      </c>
      <c r="H298" s="13">
        <v>6.0570924933435293E-4</v>
      </c>
      <c r="I298" s="13">
        <v>0.14990564565333389</v>
      </c>
      <c r="J298" s="13">
        <v>0.1130189876318962</v>
      </c>
      <c r="K298" s="13">
        <v>12.847754137115841</v>
      </c>
      <c r="L298" s="13">
        <v>1.570119543456971</v>
      </c>
      <c r="M298" s="13">
        <v>0.80137548915680168</v>
      </c>
      <c r="N298" s="19">
        <f>(F298-Settings!$D$18)/Settings!$E$18</f>
        <v>-6.3380875094205744E-3</v>
      </c>
      <c r="O298" s="19">
        <f>(G298-Settings!$D$19)/Settings!$E$19</f>
        <v>2.3020355643316623</v>
      </c>
      <c r="P298" s="19">
        <f>(H298-Settings!$D$20)/Settings!$E$20</f>
        <v>-0.47585476849919722</v>
      </c>
      <c r="Q298" s="19">
        <f>(I298-Settings!$D$21)/Settings!$E$21</f>
        <v>1.8796449517623832</v>
      </c>
      <c r="R298" s="19">
        <f>(J298-Settings!$D$22)/Settings!$E$22</f>
        <v>-0.36279939966858255</v>
      </c>
      <c r="S298" s="19">
        <f>(K298-Settings!$D$23)/Settings!$E$23</f>
        <v>-0.83605460406845777</v>
      </c>
      <c r="T298" s="19">
        <f>(L298-Settings!$D$24)/Settings!$E$24</f>
        <v>0.18103235154767006</v>
      </c>
      <c r="U298" s="19">
        <f>(M298-Settings!$D$25)/Settings!$E$25</f>
        <v>0.5764268132239061</v>
      </c>
      <c r="V298" s="31">
        <f>Settings!$B$18*(N298-F$6)^2</f>
        <v>2.0381430542276788E-2</v>
      </c>
      <c r="W298" s="31">
        <f>Settings!$B$19*(O298-G$6)^2</f>
        <v>1.7116967506273946</v>
      </c>
      <c r="X298" s="31">
        <f>Settings!$B$20*(P298-H$6)^2</f>
        <v>1.2433590533278362</v>
      </c>
      <c r="Y298" s="31">
        <f>Settings!$B$21*(Q298-I$6)^2</f>
        <v>0.67986096095168791</v>
      </c>
      <c r="Z298" s="31">
        <f>Settings!$B$22*(R298-J$6)^2</f>
        <v>4.4397789439258907E-2</v>
      </c>
      <c r="AA298" s="31">
        <f>Settings!$B$23*(S298-K$6)^2</f>
        <v>1.1155411372466713</v>
      </c>
      <c r="AB298" s="31">
        <f>Settings!$B$24*(T298-L$6)^2</f>
        <v>0.26609591443075664</v>
      </c>
      <c r="AC298" s="31">
        <f>Settings!$B$25*(U298-M$6)^2</f>
        <v>4.6678162763994555</v>
      </c>
      <c r="AD298" s="19">
        <f t="shared" si="16"/>
        <v>3.122362777283469</v>
      </c>
      <c r="AE298" s="15">
        <f t="shared" si="17"/>
        <v>1.2358877944121645</v>
      </c>
      <c r="AF298" s="33">
        <f t="shared" si="18"/>
        <v>0.46593491584072377</v>
      </c>
      <c r="AG298" s="47">
        <f t="shared" si="19"/>
        <v>2.0096485135958431E-3</v>
      </c>
      <c r="AH298" s="18">
        <v>1.0834575008411991</v>
      </c>
      <c r="AI298" s="46">
        <v>1</v>
      </c>
      <c r="AJ298" s="18">
        <v>0.33623809482984962</v>
      </c>
      <c r="AK298" s="46">
        <v>1</v>
      </c>
      <c r="AL298" s="18">
        <v>-1.6559922640052629</v>
      </c>
      <c r="AM298" s="46">
        <v>1</v>
      </c>
    </row>
    <row r="299" spans="1:39" ht="20" customHeight="1" x14ac:dyDescent="0.45">
      <c r="A299" s="26">
        <v>289</v>
      </c>
      <c r="B299" s="16" t="s">
        <v>769</v>
      </c>
      <c r="C299" s="16" t="s">
        <v>216</v>
      </c>
      <c r="D299" s="46">
        <v>28</v>
      </c>
      <c r="E299" s="46">
        <v>1</v>
      </c>
      <c r="F299" s="13">
        <v>0.15935062615136419</v>
      </c>
      <c r="G299" s="13">
        <v>0.20552619821890969</v>
      </c>
      <c r="H299" s="13">
        <v>9.9956105896964742E-3</v>
      </c>
      <c r="I299" s="13">
        <v>2.1054605167459269E-2</v>
      </c>
      <c r="J299" s="13">
        <v>0.60407295987257026</v>
      </c>
      <c r="K299" s="13">
        <v>12.46833333333333</v>
      </c>
      <c r="L299" s="13">
        <v>0.81347027952878082</v>
      </c>
      <c r="M299" s="13">
        <v>1.0599424365649159</v>
      </c>
      <c r="N299" s="19">
        <f>(F299-Settings!$D$18)/Settings!$E$18</f>
        <v>-0.11800411052818433</v>
      </c>
      <c r="O299" s="19">
        <f>(G299-Settings!$D$19)/Settings!$E$19</f>
        <v>0.88391932418856201</v>
      </c>
      <c r="P299" s="19">
        <f>(H299-Settings!$D$20)/Settings!$E$20</f>
        <v>-0.39078045669467054</v>
      </c>
      <c r="Q299" s="19">
        <f>(I299-Settings!$D$21)/Settings!$E$21</f>
        <v>0.29512407939809893</v>
      </c>
      <c r="R299" s="19">
        <f>(J299-Settings!$D$22)/Settings!$E$22</f>
        <v>0.95840443175316814</v>
      </c>
      <c r="S299" s="19">
        <f>(K299-Settings!$D$23)/Settings!$E$23</f>
        <v>-0.96781872207698538</v>
      </c>
      <c r="T299" s="19">
        <f>(L299-Settings!$D$24)/Settings!$E$24</f>
        <v>-0.34208067209679277</v>
      </c>
      <c r="U299" s="19">
        <f>(M299-Settings!$D$25)/Settings!$E$25</f>
        <v>0.75080724234602003</v>
      </c>
      <c r="V299" s="31">
        <f>Settings!$B$18*(N299-F$6)^2</f>
        <v>3.7134103705541342E-2</v>
      </c>
      <c r="W299" s="31">
        <f>Settings!$B$19*(O299-G$6)^2</f>
        <v>0.45443430731645496</v>
      </c>
      <c r="X299" s="31">
        <f>Settings!$B$20*(P299-H$6)^2</f>
        <v>1.1599585597732054</v>
      </c>
      <c r="Y299" s="31">
        <f>Settings!$B$21*(Q299-I$6)^2</f>
        <v>1.3436875971310203E-2</v>
      </c>
      <c r="Z299" s="31">
        <f>Settings!$B$22*(R299-J$6)^2</f>
        <v>0.14451591282120366</v>
      </c>
      <c r="AA299" s="31">
        <f>Settings!$B$23*(S299-K$6)^2</f>
        <v>1.4112392843437036</v>
      </c>
      <c r="AB299" s="31">
        <f>Settings!$B$24*(T299-L$6)^2</f>
        <v>1.0794334735989846</v>
      </c>
      <c r="AC299" s="31">
        <f>Settings!$B$25*(U299-M$6)^2</f>
        <v>5.4517271667419411</v>
      </c>
      <c r="AD299" s="19">
        <f t="shared" si="16"/>
        <v>3.1227999750660218</v>
      </c>
      <c r="AE299" s="15">
        <f t="shared" si="17"/>
        <v>1.2360608452207162</v>
      </c>
      <c r="AF299" s="33">
        <f t="shared" si="18"/>
        <v>0.4658352693766134</v>
      </c>
      <c r="AG299" s="47">
        <f t="shared" si="19"/>
        <v>2.0092187231644408E-3</v>
      </c>
      <c r="AH299" s="18">
        <v>0.87037186503858244</v>
      </c>
      <c r="AI299" s="46">
        <v>1</v>
      </c>
      <c r="AJ299" s="18">
        <v>0.61919390151938369</v>
      </c>
      <c r="AK299" s="46">
        <v>1</v>
      </c>
      <c r="AL299" s="48"/>
      <c r="AM299" s="48"/>
    </row>
    <row r="300" spans="1:39" ht="20" customHeight="1" x14ac:dyDescent="0.45">
      <c r="A300" s="26">
        <v>290</v>
      </c>
      <c r="B300" s="16" t="s">
        <v>664</v>
      </c>
      <c r="C300" s="16" t="s">
        <v>229</v>
      </c>
      <c r="D300" s="46">
        <v>28</v>
      </c>
      <c r="E300" s="46">
        <v>1</v>
      </c>
      <c r="F300" s="13">
        <v>-0.29581270156127037</v>
      </c>
      <c r="G300" s="13">
        <v>0.51375663134427141</v>
      </c>
      <c r="H300" s="13">
        <v>-7.4466449423228574E-3</v>
      </c>
      <c r="I300" s="13">
        <v>-8.7251036669658874E-2</v>
      </c>
      <c r="J300" s="13">
        <v>9.5732985482476357E-2</v>
      </c>
      <c r="K300" s="13">
        <v>13.569230769230771</v>
      </c>
      <c r="L300" s="13">
        <v>3.2159340985823681E-3</v>
      </c>
      <c r="M300" s="13">
        <v>-3.0887870527335191E-2</v>
      </c>
      <c r="N300" s="19">
        <f>(F300-Settings!$D$18)/Settings!$E$18</f>
        <v>-1.7470052862818188</v>
      </c>
      <c r="O300" s="19">
        <f>(G300-Settings!$D$19)/Settings!$E$19</f>
        <v>2.1680465944964351</v>
      </c>
      <c r="P300" s="19">
        <f>(H300-Settings!$D$20)/Settings!$E$20</f>
        <v>-0.5488106459285883</v>
      </c>
      <c r="Q300" s="19">
        <f>(I300-Settings!$D$21)/Settings!$E$21</f>
        <v>-1.0367437071452104</v>
      </c>
      <c r="R300" s="19">
        <f>(J300-Settings!$D$22)/Settings!$E$22</f>
        <v>-0.40930820228668802</v>
      </c>
      <c r="S300" s="19">
        <f>(K300-Settings!$D$23)/Settings!$E$23</f>
        <v>-0.58550236458482841</v>
      </c>
      <c r="T300" s="19">
        <f>(L300-Settings!$D$24)/Settings!$E$24</f>
        <v>-0.90225382069484916</v>
      </c>
      <c r="U300" s="19">
        <f>(M300-Settings!$D$25)/Settings!$E$25</f>
        <v>1.5139134117486627E-2</v>
      </c>
      <c r="V300" s="31">
        <f>Settings!$B$18*(N300-F$6)^2</f>
        <v>0.84863446771124884</v>
      </c>
      <c r="W300" s="31">
        <f>Settings!$B$19*(O300-G$6)^2</f>
        <v>1.5584940760510246</v>
      </c>
      <c r="X300" s="31">
        <f>Settings!$B$20*(P300-H$6)^2</f>
        <v>1.317185386243904</v>
      </c>
      <c r="Y300" s="31">
        <f>Settings!$B$21*(Q300-I$6)^2</f>
        <v>0.23012345137223045</v>
      </c>
      <c r="Z300" s="31">
        <f>Settings!$B$22*(R300-J$6)^2</f>
        <v>5.3595582913099883E-2</v>
      </c>
      <c r="AA300" s="31">
        <f>Settings!$B$23*(S300-K$6)^2</f>
        <v>0.64905511585456444</v>
      </c>
      <c r="AB300" s="31">
        <f>Settings!$B$24*(T300-L$6)^2</f>
        <v>2.5572200422921507</v>
      </c>
      <c r="AC300" s="31">
        <f>Settings!$B$25*(U300-M$6)^2</f>
        <v>2.5575215183474351</v>
      </c>
      <c r="AD300" s="19">
        <f t="shared" si="16"/>
        <v>3.1259925848897434</v>
      </c>
      <c r="AE300" s="15">
        <f t="shared" si="17"/>
        <v>1.2373245380696589</v>
      </c>
      <c r="AF300" s="33">
        <f t="shared" si="18"/>
        <v>0.46510783072087936</v>
      </c>
      <c r="AG300" s="47">
        <f t="shared" si="19"/>
        <v>2.0060811690479174E-3</v>
      </c>
      <c r="AH300" s="48"/>
      <c r="AI300" s="48"/>
      <c r="AJ300" s="48"/>
      <c r="AK300" s="48"/>
      <c r="AL300" s="48"/>
      <c r="AM300" s="48"/>
    </row>
    <row r="301" spans="1:39" ht="20" customHeight="1" x14ac:dyDescent="0.45">
      <c r="A301" s="26">
        <v>291</v>
      </c>
      <c r="B301" s="16" t="s">
        <v>646</v>
      </c>
      <c r="C301" s="16" t="s">
        <v>246</v>
      </c>
      <c r="D301" s="46">
        <v>28</v>
      </c>
      <c r="E301" s="46">
        <v>1</v>
      </c>
      <c r="F301" s="13">
        <v>-0.13438939080987281</v>
      </c>
      <c r="G301" s="13">
        <v>0.80985530088749669</v>
      </c>
      <c r="H301" s="13">
        <v>1.697838028050057E-4</v>
      </c>
      <c r="I301" s="13">
        <v>-1.7301965729361859E-3</v>
      </c>
      <c r="J301" s="13">
        <v>-5.3855327926889428E-2</v>
      </c>
      <c r="K301" s="13">
        <v>11.407113821138219</v>
      </c>
      <c r="L301" s="13">
        <v>0.2226017490251935</v>
      </c>
      <c r="M301" s="13">
        <v>-1.782896680540436</v>
      </c>
      <c r="N301" s="19">
        <f>(F301-Settings!$D$18)/Settings!$E$18</f>
        <v>-1.1692813199650753</v>
      </c>
      <c r="O301" s="19">
        <f>(G301-Settings!$D$19)/Settings!$E$19</f>
        <v>3.401631391451545</v>
      </c>
      <c r="P301" s="19">
        <f>(H301-Settings!$D$20)/Settings!$E$20</f>
        <v>-0.47980433687241886</v>
      </c>
      <c r="Q301" s="19">
        <f>(I301-Settings!$D$21)/Settings!$E$21</f>
        <v>1.4932365041733432E-2</v>
      </c>
      <c r="R301" s="19">
        <f>(J301-Settings!$D$22)/Settings!$E$22</f>
        <v>-0.81178260221987208</v>
      </c>
      <c r="S301" s="19">
        <f>(K301-Settings!$D$23)/Settings!$E$23</f>
        <v>-1.3363558493083683</v>
      </c>
      <c r="T301" s="19">
        <f>(L301-Settings!$D$24)/Settings!$E$24</f>
        <v>-0.75058040678684901</v>
      </c>
      <c r="U301" s="19">
        <f>(M301-Settings!$D$25)/Settings!$E$25</f>
        <v>-1.1664351203582468</v>
      </c>
      <c r="V301" s="31">
        <f>Settings!$B$18*(N301-F$6)^2</f>
        <v>0.43936690372640314</v>
      </c>
      <c r="W301" s="31">
        <f>Settings!$B$19*(O301-G$6)^2</f>
        <v>3.2402609853359872</v>
      </c>
      <c r="X301" s="31">
        <f>Settings!$B$20*(P301-H$6)^2</f>
        <v>1.247301235998044</v>
      </c>
      <c r="Y301" s="31">
        <f>Settings!$B$21*(Q301-I$6)^2</f>
        <v>8.8134628002499416E-5</v>
      </c>
      <c r="Z301" s="31">
        <f>Settings!$B$22*(R301-J$6)^2</f>
        <v>0.16933160962044222</v>
      </c>
      <c r="AA301" s="31">
        <f>Settings!$B$23*(S301-K$6)^2</f>
        <v>2.4226706276730536</v>
      </c>
      <c r="AB301" s="31">
        <f>Settings!$B$24*(T301-L$6)^2</f>
        <v>2.0951335424022663</v>
      </c>
      <c r="AC301" s="31">
        <f>Settings!$B$25*(U301-M$6)^2</f>
        <v>0.17443238490778901</v>
      </c>
      <c r="AD301" s="19">
        <f t="shared" si="16"/>
        <v>3.1286715110877314</v>
      </c>
      <c r="AE301" s="15">
        <f t="shared" si="17"/>
        <v>1.2383849056266616</v>
      </c>
      <c r="AF301" s="33">
        <f t="shared" si="18"/>
        <v>0.46449773950987089</v>
      </c>
      <c r="AG301" s="47">
        <f t="shared" si="19"/>
        <v>2.0034497523979144E-3</v>
      </c>
      <c r="AH301" s="48"/>
      <c r="AI301" s="48"/>
      <c r="AJ301" s="48"/>
      <c r="AK301" s="48"/>
      <c r="AL301" s="48"/>
      <c r="AM301" s="48"/>
    </row>
    <row r="302" spans="1:39" ht="20" customHeight="1" x14ac:dyDescent="0.45">
      <c r="A302" s="26">
        <v>292</v>
      </c>
      <c r="B302" s="16" t="s">
        <v>466</v>
      </c>
      <c r="C302" s="16" t="s">
        <v>260</v>
      </c>
      <c r="D302" s="46">
        <v>28</v>
      </c>
      <c r="E302" s="46">
        <v>1</v>
      </c>
      <c r="F302" s="13">
        <v>0.31450889114677638</v>
      </c>
      <c r="G302" s="13">
        <v>5.1473464711530643E-2</v>
      </c>
      <c r="H302" s="13">
        <v>-5.043231550601187E-2</v>
      </c>
      <c r="I302" s="13">
        <v>1.3622764927220219E-4</v>
      </c>
      <c r="J302" s="13">
        <v>0.5834491009864089</v>
      </c>
      <c r="K302" s="13">
        <v>13.17686781609196</v>
      </c>
      <c r="L302" s="13">
        <v>1.8463300571840091</v>
      </c>
      <c r="M302" s="13">
        <v>1.471030108445055</v>
      </c>
      <c r="N302" s="19">
        <f>(F302-Settings!$D$18)/Settings!$E$18</f>
        <v>0.43729764758048956</v>
      </c>
      <c r="O302" s="19">
        <f>(G302-Settings!$D$19)/Settings!$E$19</f>
        <v>0.24211600140687115</v>
      </c>
      <c r="P302" s="19">
        <f>(H302-Settings!$D$20)/Settings!$E$20</f>
        <v>-0.9382690873014039</v>
      </c>
      <c r="Q302" s="19">
        <f>(I302-Settings!$D$21)/Settings!$E$21</f>
        <v>3.7884357711902607E-2</v>
      </c>
      <c r="R302" s="19">
        <f>(J302-Settings!$D$22)/Settings!$E$22</f>
        <v>0.90291496843661234</v>
      </c>
      <c r="S302" s="19">
        <f>(K302-Settings!$D$23)/Settings!$E$23</f>
        <v>-0.72176099337944633</v>
      </c>
      <c r="T302" s="19">
        <f>(L302-Settings!$D$24)/Settings!$E$24</f>
        <v>0.37199178795551946</v>
      </c>
      <c r="U302" s="19">
        <f>(M302-Settings!$D$25)/Settings!$E$25</f>
        <v>1.0280493467520522</v>
      </c>
      <c r="V302" s="31">
        <f>Settings!$B$18*(N302-F$6)^2</f>
        <v>3.0954072819559526E-3</v>
      </c>
      <c r="W302" s="31">
        <f>Settings!$B$19*(O302-G$6)^2</f>
        <v>0.14984196368430752</v>
      </c>
      <c r="X302" s="31">
        <f>Settings!$B$20*(P302-H$6)^2</f>
        <v>1.7473087892177011</v>
      </c>
      <c r="Y302" s="31">
        <f>Settings!$B$21*(Q302-I$6)^2</f>
        <v>7.6814478081126965E-7</v>
      </c>
      <c r="Z302" s="31">
        <f>Settings!$B$22*(R302-J$6)^2</f>
        <v>0.12626427261364159</v>
      </c>
      <c r="AA302" s="31">
        <f>Settings!$B$23*(S302-K$6)^2</f>
        <v>0.88717221584591555</v>
      </c>
      <c r="AB302" s="31">
        <f>Settings!$B$24*(T302-L$6)^2</f>
        <v>0.10555053521429171</v>
      </c>
      <c r="AC302" s="31">
        <f>Settings!$B$25*(U302-M$6)^2</f>
        <v>6.8232518680708756</v>
      </c>
      <c r="AD302" s="19">
        <f t="shared" si="16"/>
        <v>3.1372736284987113</v>
      </c>
      <c r="AE302" s="15">
        <f t="shared" si="17"/>
        <v>1.2417897796508068</v>
      </c>
      <c r="AF302" s="33">
        <f t="shared" si="18"/>
        <v>0.46254060632572591</v>
      </c>
      <c r="AG302" s="47">
        <f t="shared" si="19"/>
        <v>1.9950083378125118E-3</v>
      </c>
      <c r="AH302" s="18">
        <v>8.2610621282915631E-2</v>
      </c>
      <c r="AI302" s="46">
        <v>1</v>
      </c>
      <c r="AJ302" s="18">
        <v>-1.158748677073727</v>
      </c>
      <c r="AK302" s="46">
        <v>1</v>
      </c>
      <c r="AL302" s="18">
        <v>-0.64671629177243639</v>
      </c>
      <c r="AM302" s="46">
        <v>1</v>
      </c>
    </row>
    <row r="303" spans="1:39" ht="20" customHeight="1" x14ac:dyDescent="0.45">
      <c r="A303" s="26">
        <v>293</v>
      </c>
      <c r="B303" s="16" t="s">
        <v>493</v>
      </c>
      <c r="C303" s="16" t="s">
        <v>227</v>
      </c>
      <c r="D303" s="46">
        <v>28</v>
      </c>
      <c r="E303" s="46">
        <v>0</v>
      </c>
      <c r="F303" s="13">
        <v>-2.9414155555034571E-2</v>
      </c>
      <c r="G303" s="13">
        <v>0.29315255610321073</v>
      </c>
      <c r="H303" s="13">
        <v>3.3905547236965913E-2</v>
      </c>
      <c r="I303" s="13">
        <v>-8.3964510946495138E-2</v>
      </c>
      <c r="J303" s="13">
        <v>-0.55956323015829368</v>
      </c>
      <c r="K303" s="13">
        <v>11.443076923076919</v>
      </c>
      <c r="L303" s="13">
        <v>-7.7757666786755164E-2</v>
      </c>
      <c r="M303" s="13">
        <v>-0.54528784664628627</v>
      </c>
      <c r="N303" s="19">
        <f>(F303-Settings!$D$18)/Settings!$E$18</f>
        <v>-0.79358149697074798</v>
      </c>
      <c r="O303" s="19">
        <f>(G303-Settings!$D$19)/Settings!$E$19</f>
        <v>1.2489818996650834</v>
      </c>
      <c r="P303" s="19">
        <f>(H303-Settings!$D$20)/Settings!$E$20</f>
        <v>-0.17415183283334312</v>
      </c>
      <c r="Q303" s="19">
        <f>(I303-Settings!$D$21)/Settings!$E$21</f>
        <v>-0.99632828957249819</v>
      </c>
      <c r="R303" s="19">
        <f>(J303-Settings!$D$22)/Settings!$E$22</f>
        <v>-2.1724135221972771</v>
      </c>
      <c r="S303" s="19">
        <f>(K303-Settings!$D$23)/Settings!$E$23</f>
        <v>-1.3238666912006336</v>
      </c>
      <c r="T303" s="19">
        <f>(L303-Settings!$D$24)/Settings!$E$24</f>
        <v>-0.95823530011188185</v>
      </c>
      <c r="U303" s="19">
        <f>(M303-Settings!$D$25)/Settings!$E$25</f>
        <v>-0.33177793890827045</v>
      </c>
      <c r="V303" s="31">
        <f>Settings!$B$18*(N303-F$6)^2</f>
        <v>0.24485623738083442</v>
      </c>
      <c r="W303" s="31">
        <f>Settings!$B$19*(O303-G$6)^2</f>
        <v>0.70120254357722034</v>
      </c>
      <c r="X303" s="31">
        <f>Settings!$B$20*(P303-H$6)^2</f>
        <v>0.96066355447992979</v>
      </c>
      <c r="Y303" s="31">
        <f>Settings!$B$21*(Q303-I$6)^2</f>
        <v>0.21310919785125537</v>
      </c>
      <c r="Z303" s="31">
        <f>Settings!$B$22*(R303-J$6)^2</f>
        <v>1.0403834103104392</v>
      </c>
      <c r="AA303" s="31">
        <f>Settings!$B$23*(S303-K$6)^2</f>
        <v>2.3839480310491052</v>
      </c>
      <c r="AB303" s="31">
        <f>Settings!$B$24*(T303-L$6)^2</f>
        <v>2.7393974097033857</v>
      </c>
      <c r="AC303" s="31">
        <f>Settings!$B$25*(U303-M$6)^2</f>
        <v>1.5682758626050612</v>
      </c>
      <c r="AD303" s="19">
        <f t="shared" si="16"/>
        <v>3.138763490127479</v>
      </c>
      <c r="AE303" s="15">
        <f t="shared" si="17"/>
        <v>1.2423794938940567</v>
      </c>
      <c r="AF303" s="33">
        <f t="shared" si="18"/>
        <v>0.46220193094512224</v>
      </c>
      <c r="AG303" s="47">
        <f t="shared" si="19"/>
        <v>1.9935475791269482E-3</v>
      </c>
      <c r="AH303" s="18">
        <v>-0.48974936683190079</v>
      </c>
      <c r="AI303" s="46">
        <v>0</v>
      </c>
      <c r="AJ303" s="48"/>
      <c r="AK303" s="48"/>
      <c r="AL303" s="48"/>
      <c r="AM303" s="48"/>
    </row>
    <row r="304" spans="1:39" ht="20" customHeight="1" x14ac:dyDescent="0.45">
      <c r="A304" s="26">
        <v>294</v>
      </c>
      <c r="B304" s="16" t="s">
        <v>448</v>
      </c>
      <c r="C304" s="16" t="s">
        <v>260</v>
      </c>
      <c r="D304" s="46">
        <v>28</v>
      </c>
      <c r="E304" s="46">
        <v>1</v>
      </c>
      <c r="F304" s="13">
        <v>0.40567601123492042</v>
      </c>
      <c r="G304" s="13">
        <v>7.1179577955046813E-2</v>
      </c>
      <c r="H304" s="13">
        <v>0.14109174246125611</v>
      </c>
      <c r="I304" s="13">
        <v>1.7627540634201501E-2</v>
      </c>
      <c r="J304" s="13">
        <v>0.36442512771457519</v>
      </c>
      <c r="K304" s="13">
        <v>18.68833333333334</v>
      </c>
      <c r="L304" s="13">
        <v>4.5287793386418711</v>
      </c>
      <c r="M304" s="13">
        <v>1.244307059766907</v>
      </c>
      <c r="N304" s="19">
        <f>(F304-Settings!$D$18)/Settings!$E$18</f>
        <v>0.76357908716830591</v>
      </c>
      <c r="O304" s="19">
        <f>(G304-Settings!$D$19)/Settings!$E$19</f>
        <v>0.32421418084745313</v>
      </c>
      <c r="P304" s="19">
        <f>(H304-Settings!$D$20)/Settings!$E$20</f>
        <v>0.7969757076079359</v>
      </c>
      <c r="Q304" s="19">
        <f>(I304-Settings!$D$21)/Settings!$E$21</f>
        <v>0.25298041285563438</v>
      </c>
      <c r="R304" s="19">
        <f>(J304-Settings!$D$22)/Settings!$E$22</f>
        <v>0.3136206565719809</v>
      </c>
      <c r="S304" s="19">
        <f>(K304-Settings!$D$23)/Settings!$E$23</f>
        <v>1.1922442102730131</v>
      </c>
      <c r="T304" s="19">
        <f>(L304-Settings!$D$24)/Settings!$E$24</f>
        <v>2.2265157018643449</v>
      </c>
      <c r="U304" s="19">
        <f>(M304-Settings!$D$25)/Settings!$E$25</f>
        <v>0.87514479759493646</v>
      </c>
      <c r="V304" s="31">
        <f>Settings!$B$18*(N304-F$6)^2</f>
        <v>4.0623966647243298E-2</v>
      </c>
      <c r="W304" s="31">
        <f>Settings!$B$19*(O304-G$6)^2</f>
        <v>0.1796146438946615</v>
      </c>
      <c r="X304" s="31">
        <f>Settings!$B$20*(P304-H$6)^2</f>
        <v>0.29793368386403291</v>
      </c>
      <c r="Y304" s="31">
        <f>Settings!$B$21*(Q304-I$6)^2</f>
        <v>9.4226468095367864E-3</v>
      </c>
      <c r="Z304" s="31">
        <f>Settings!$B$22*(R304-J$6)^2</f>
        <v>8.4265819640753099E-3</v>
      </c>
      <c r="AA304" s="31">
        <f>Settings!$B$23*(S304-K$6)^2</f>
        <v>0.94499202997388132</v>
      </c>
      <c r="AB304" s="31">
        <f>Settings!$B$24*(T304-L$6)^2</f>
        <v>2.339793926352332</v>
      </c>
      <c r="AC304" s="31">
        <f>Settings!$B$25*(U304-M$6)^2</f>
        <v>6.0478168674282342</v>
      </c>
      <c r="AD304" s="19">
        <f t="shared" si="16"/>
        <v>3.1414366692540527</v>
      </c>
      <c r="AE304" s="15">
        <f t="shared" si="17"/>
        <v>1.2434375866560015</v>
      </c>
      <c r="AF304" s="33">
        <f t="shared" si="18"/>
        <v>0.46159448291305111</v>
      </c>
      <c r="AG304" s="47">
        <f t="shared" si="19"/>
        <v>1.9909275629117315E-3</v>
      </c>
      <c r="AH304" s="18">
        <v>-0.67985917778182881</v>
      </c>
      <c r="AI304" s="46">
        <v>1</v>
      </c>
      <c r="AJ304" s="18">
        <v>-0.62251684458959078</v>
      </c>
      <c r="AK304" s="46">
        <v>1</v>
      </c>
      <c r="AL304" s="18">
        <v>0.31473325275321612</v>
      </c>
      <c r="AM304" s="46">
        <v>1</v>
      </c>
    </row>
    <row r="305" spans="1:39" ht="20" customHeight="1" x14ac:dyDescent="0.45">
      <c r="A305" s="26">
        <v>295</v>
      </c>
      <c r="B305" s="16" t="s">
        <v>525</v>
      </c>
      <c r="C305" s="16" t="s">
        <v>236</v>
      </c>
      <c r="D305" s="46">
        <v>28</v>
      </c>
      <c r="E305" s="46">
        <v>0</v>
      </c>
      <c r="F305" s="13">
        <v>0.36539165492383258</v>
      </c>
      <c r="G305" s="13">
        <v>0.13746192438162769</v>
      </c>
      <c r="H305" s="13">
        <v>-4.5970054679333933E-2</v>
      </c>
      <c r="I305" s="13">
        <v>0.23039770485846989</v>
      </c>
      <c r="J305" s="13">
        <v>-0.22077866115673581</v>
      </c>
      <c r="K305" s="13">
        <v>13.78717948717949</v>
      </c>
      <c r="L305" s="13">
        <v>0.42323311626507393</v>
      </c>
      <c r="M305" s="13">
        <v>0.42442918351692571</v>
      </c>
      <c r="N305" s="19">
        <f>(F305-Settings!$D$18)/Settings!$E$18</f>
        <v>0.61940388719114203</v>
      </c>
      <c r="O305" s="19">
        <f>(G305-Settings!$D$19)/Settings!$E$19</f>
        <v>0.60035488416258831</v>
      </c>
      <c r="P305" s="19">
        <f>(H305-Settings!$D$20)/Settings!$E$20</f>
        <v>-0.89784014612710994</v>
      </c>
      <c r="Q305" s="19">
        <f>(I305-Settings!$D$21)/Settings!$E$21</f>
        <v>2.8694805587484322</v>
      </c>
      <c r="R305" s="19">
        <f>(J305-Settings!$D$22)/Settings!$E$22</f>
        <v>-1.2608976891229313</v>
      </c>
      <c r="S305" s="19">
        <f>(K305-Settings!$D$23)/Settings!$E$23</f>
        <v>-0.50981378792980725</v>
      </c>
      <c r="T305" s="19">
        <f>(L305-Settings!$D$24)/Settings!$E$24</f>
        <v>-0.61187296840264005</v>
      </c>
      <c r="U305" s="19">
        <f>(M305-Settings!$D$25)/Settings!$E$25</f>
        <v>0.32221002645986696</v>
      </c>
      <c r="V305" s="31">
        <f>Settings!$B$18*(N305-F$6)^2</f>
        <v>1.8790041064101409E-2</v>
      </c>
      <c r="W305" s="31">
        <f>Settings!$B$19*(O305-G$6)^2</f>
        <v>0.29954118202993291</v>
      </c>
      <c r="X305" s="31">
        <f>Settings!$B$20*(P305-H$6)^2</f>
        <v>1.6998363169805408</v>
      </c>
      <c r="Y305" s="31">
        <f>Settings!$B$21*(Q305-I$6)^2</f>
        <v>1.6058078955591115</v>
      </c>
      <c r="Z305" s="31">
        <f>Settings!$B$22*(R305-J$6)^2</f>
        <v>0.37497202613231484</v>
      </c>
      <c r="AA305" s="31">
        <f>Settings!$B$23*(S305-K$6)^2</f>
        <v>0.53282845187420547</v>
      </c>
      <c r="AB305" s="31">
        <f>Settings!$B$24*(T305-L$6)^2</f>
        <v>1.7128270204344609</v>
      </c>
      <c r="AC305" s="31">
        <f>Settings!$B$25*(U305-M$6)^2</f>
        <v>3.6339651230978589</v>
      </c>
      <c r="AD305" s="19">
        <f t="shared" si="16"/>
        <v>3.1430189399958324</v>
      </c>
      <c r="AE305" s="15">
        <f t="shared" si="17"/>
        <v>1.244063878101521</v>
      </c>
      <c r="AF305" s="33">
        <f t="shared" si="18"/>
        <v>0.46123506368867195</v>
      </c>
      <c r="AG305" s="47">
        <f t="shared" si="19"/>
        <v>1.9893773328571152E-3</v>
      </c>
      <c r="AH305" s="18">
        <v>-8.4509189053108058E-2</v>
      </c>
      <c r="AI305" s="46">
        <v>0</v>
      </c>
      <c r="AJ305" s="18">
        <v>-5.5377836818389543E-2</v>
      </c>
      <c r="AK305" s="46">
        <v>1</v>
      </c>
      <c r="AL305" s="18">
        <v>0.55135280079543003</v>
      </c>
      <c r="AM305" s="46">
        <v>1</v>
      </c>
    </row>
    <row r="306" spans="1:39" ht="20" customHeight="1" x14ac:dyDescent="0.45">
      <c r="A306" s="26">
        <v>296</v>
      </c>
      <c r="B306" s="16" t="s">
        <v>279</v>
      </c>
      <c r="C306" s="16" t="s">
        <v>234</v>
      </c>
      <c r="D306" s="46">
        <v>28</v>
      </c>
      <c r="E306" s="46">
        <v>1</v>
      </c>
      <c r="F306" s="13">
        <v>-1.052011150778329E-2</v>
      </c>
      <c r="G306" s="13">
        <v>0.24213651037593831</v>
      </c>
      <c r="H306" s="13">
        <v>0.2013199181418191</v>
      </c>
      <c r="I306" s="13">
        <v>2.3765151532898151E-2</v>
      </c>
      <c r="J306" s="13">
        <v>0.52225830844156118</v>
      </c>
      <c r="K306" s="13">
        <v>15.1254385964912</v>
      </c>
      <c r="L306" s="13">
        <v>0.73633956883107854</v>
      </c>
      <c r="M306" s="13">
        <v>1.710236040878625</v>
      </c>
      <c r="N306" s="19">
        <f>(F306-Settings!$D$18)/Settings!$E$18</f>
        <v>-0.7259608911491271</v>
      </c>
      <c r="O306" s="19">
        <f>(G306-Settings!$D$19)/Settings!$E$19</f>
        <v>1.0364425508493236</v>
      </c>
      <c r="P306" s="19">
        <f>(H306-Settings!$D$20)/Settings!$E$20</f>
        <v>1.342654561041813</v>
      </c>
      <c r="Q306" s="19">
        <f>(I306-Settings!$D$21)/Settings!$E$21</f>
        <v>0.32845650166922441</v>
      </c>
      <c r="R306" s="19">
        <f>(J306-Settings!$D$22)/Settings!$E$22</f>
        <v>0.73827826019639764</v>
      </c>
      <c r="S306" s="19">
        <f>(K306-Settings!$D$23)/Settings!$E$23</f>
        <v>-4.5067180871294951E-2</v>
      </c>
      <c r="T306" s="19">
        <f>(L306-Settings!$D$24)/Settings!$E$24</f>
        <v>-0.39540535132723548</v>
      </c>
      <c r="U306" s="19">
        <f>(M306-Settings!$D$25)/Settings!$E$25</f>
        <v>1.1893724917419763</v>
      </c>
      <c r="V306" s="31">
        <f>Settings!$B$18*(N306-F$6)^2</f>
        <v>0.21584261285937281</v>
      </c>
      <c r="W306" s="31">
        <f>Settings!$B$19*(O306-G$6)^2</f>
        <v>0.55105069482389757</v>
      </c>
      <c r="X306" s="31">
        <f>Settings!$B$20*(P306-H$6)^2</f>
        <v>9.1082042621665582E-2</v>
      </c>
      <c r="Y306" s="31">
        <f>Settings!$B$21*(Q306-I$6)^2</f>
        <v>1.7114984896516687E-2</v>
      </c>
      <c r="Z306" s="31">
        <f>Settings!$B$22*(R306-J$6)^2</f>
        <v>7.9359999911597201E-2</v>
      </c>
      <c r="AA306" s="31">
        <f>Settings!$B$23*(S306-K$6)^2</f>
        <v>7.0333366210888301E-2</v>
      </c>
      <c r="AB306" s="31">
        <f>Settings!$B$24*(T306-L$6)^2</f>
        <v>1.1930811862394097</v>
      </c>
      <c r="AC306" s="31">
        <f>Settings!$B$25*(U306-M$6)^2</f>
        <v>7.6920728530385816</v>
      </c>
      <c r="AD306" s="19">
        <f t="shared" si="16"/>
        <v>3.1480053590491122</v>
      </c>
      <c r="AE306" s="15">
        <f t="shared" si="17"/>
        <v>1.2460375931645522</v>
      </c>
      <c r="AF306" s="33">
        <f t="shared" si="18"/>
        <v>0.46010302748225068</v>
      </c>
      <c r="AG306" s="47">
        <f t="shared" si="19"/>
        <v>1.98449468765877E-3</v>
      </c>
      <c r="AH306" s="18">
        <v>0.88267564796523312</v>
      </c>
      <c r="AI306" s="46">
        <v>1</v>
      </c>
      <c r="AJ306" s="18">
        <v>-2.2226394487782301E-2</v>
      </c>
      <c r="AK306" s="46">
        <v>1</v>
      </c>
      <c r="AL306" s="18">
        <v>-0.2786327930632968</v>
      </c>
      <c r="AM306" s="46">
        <v>1</v>
      </c>
    </row>
    <row r="307" spans="1:39" ht="20" customHeight="1" x14ac:dyDescent="0.45">
      <c r="A307" s="26">
        <v>297</v>
      </c>
      <c r="B307" s="16" t="s">
        <v>486</v>
      </c>
      <c r="C307" s="16" t="s">
        <v>216</v>
      </c>
      <c r="D307" s="46">
        <v>28</v>
      </c>
      <c r="E307" s="46">
        <v>1</v>
      </c>
      <c r="F307" s="13">
        <v>-0.2167634812872648</v>
      </c>
      <c r="G307" s="13">
        <v>0.36848872927835208</v>
      </c>
      <c r="H307" s="13">
        <v>-1.49035756562759E-2</v>
      </c>
      <c r="I307" s="13">
        <v>-3.028834274571807E-2</v>
      </c>
      <c r="J307" s="13">
        <v>-0.36955587103238913</v>
      </c>
      <c r="K307" s="13">
        <v>12.38651399491094</v>
      </c>
      <c r="L307" s="13">
        <v>0.43074596689415778</v>
      </c>
      <c r="M307" s="13">
        <v>0.23603158016995079</v>
      </c>
      <c r="N307" s="19">
        <f>(F307-Settings!$D$18)/Settings!$E$18</f>
        <v>-1.4640930547189495</v>
      </c>
      <c r="O307" s="19">
        <f>(G307-Settings!$D$19)/Settings!$E$19</f>
        <v>1.5628419991818934</v>
      </c>
      <c r="P307" s="19">
        <f>(H307-Settings!$D$20)/Settings!$E$20</f>
        <v>-0.6163718721511342</v>
      </c>
      <c r="Q307" s="19">
        <f>(I307-Settings!$D$21)/Settings!$E$21</f>
        <v>-0.33625594136362902</v>
      </c>
      <c r="R307" s="19">
        <f>(J307-Settings!$D$22)/Settings!$E$22</f>
        <v>-1.661189776811433</v>
      </c>
      <c r="S307" s="19">
        <f>(K307-Settings!$D$23)/Settings!$E$23</f>
        <v>-0.9962326963656678</v>
      </c>
      <c r="T307" s="19">
        <f>(L307-Settings!$D$24)/Settings!$E$24</f>
        <v>-0.60667892382197663</v>
      </c>
      <c r="U307" s="19">
        <f>(M307-Settings!$D$25)/Settings!$E$25</f>
        <v>0.19515258448384615</v>
      </c>
      <c r="V307" s="31">
        <f>Settings!$B$18*(N307-F$6)^2</f>
        <v>0.63153440201836641</v>
      </c>
      <c r="W307" s="31">
        <f>Settings!$B$19*(O307-G$6)^2</f>
        <v>0.95597722643390837</v>
      </c>
      <c r="X307" s="31">
        <f>Settings!$B$20*(P307-H$6)^2</f>
        <v>1.3874514045366624</v>
      </c>
      <c r="Y307" s="31">
        <f>Settings!$B$21*(Q307-I$6)^2</f>
        <v>2.770366827790274E-2</v>
      </c>
      <c r="Z307" s="31">
        <f>Settings!$B$22*(R307-J$6)^2</f>
        <v>0.62625960543392167</v>
      </c>
      <c r="AA307" s="31">
        <f>Settings!$B$23*(S307-K$6)^2</f>
        <v>1.4795557366067082</v>
      </c>
      <c r="AB307" s="31">
        <f>Settings!$B$24*(T307-L$6)^2</f>
        <v>1.6992585850262727</v>
      </c>
      <c r="AC307" s="31">
        <f>Settings!$B$25*(U307-M$6)^2</f>
        <v>3.1656904842860358</v>
      </c>
      <c r="AD307" s="19">
        <f t="shared" si="16"/>
        <v>3.1580739561669193</v>
      </c>
      <c r="AE307" s="15">
        <f t="shared" si="17"/>
        <v>1.2500229264433387</v>
      </c>
      <c r="AF307" s="33">
        <f t="shared" si="18"/>
        <v>0.457820241226014</v>
      </c>
      <c r="AG307" s="47">
        <f t="shared" si="19"/>
        <v>1.9746486815949717E-3</v>
      </c>
      <c r="AH307" s="18">
        <v>2.846323178761706E-2</v>
      </c>
      <c r="AI307" s="46">
        <v>1</v>
      </c>
      <c r="AJ307" s="48"/>
      <c r="AK307" s="48"/>
      <c r="AL307" s="48"/>
      <c r="AM307" s="48"/>
    </row>
    <row r="308" spans="1:39" ht="20" customHeight="1" x14ac:dyDescent="0.45">
      <c r="A308" s="26">
        <v>298</v>
      </c>
      <c r="B308" s="16" t="s">
        <v>630</v>
      </c>
      <c r="C308" s="16" t="s">
        <v>246</v>
      </c>
      <c r="D308" s="46">
        <v>28</v>
      </c>
      <c r="E308" s="46">
        <v>1</v>
      </c>
      <c r="F308" s="13">
        <v>0.61731525188824343</v>
      </c>
      <c r="G308" s="13">
        <v>-3.7597917700575627E-2</v>
      </c>
      <c r="H308" s="13">
        <v>0.16323831742093431</v>
      </c>
      <c r="I308" s="13">
        <v>3.9431133923486161E-3</v>
      </c>
      <c r="J308" s="13">
        <v>0.17790539959789789</v>
      </c>
      <c r="K308" s="13">
        <v>20.82587412587413</v>
      </c>
      <c r="L308" s="13">
        <v>5.7267684464929642</v>
      </c>
      <c r="M308" s="13">
        <v>-0.9718903633692193</v>
      </c>
      <c r="N308" s="19">
        <f>(F308-Settings!$D$18)/Settings!$E$18</f>
        <v>1.521022736225931</v>
      </c>
      <c r="O308" s="19">
        <f>(G308-Settings!$D$19)/Settings!$E$19</f>
        <v>-0.12896673042995291</v>
      </c>
      <c r="P308" s="19">
        <f>(H308-Settings!$D$20)/Settings!$E$20</f>
        <v>0.99762793548846085</v>
      </c>
      <c r="Q308" s="19">
        <f>(I308-Settings!$D$21)/Settings!$E$21</f>
        <v>8.4698802483668859E-2</v>
      </c>
      <c r="R308" s="19">
        <f>(J308-Settings!$D$22)/Settings!$E$22</f>
        <v>-0.18821945338382942</v>
      </c>
      <c r="S308" s="19">
        <f>(K308-Settings!$D$23)/Settings!$E$23</f>
        <v>1.9345629614552302</v>
      </c>
      <c r="T308" s="19">
        <f>(L308-Settings!$D$24)/Settings!$E$24</f>
        <v>3.0547511001883336</v>
      </c>
      <c r="U308" s="19">
        <f>(M308-Settings!$D$25)/Settings!$E$25</f>
        <v>-0.61948342747290952</v>
      </c>
      <c r="V308" s="31">
        <f>Settings!$B$18*(N308-F$6)^2</f>
        <v>0.29191650201357827</v>
      </c>
      <c r="W308" s="31">
        <f>Settings!$B$19*(O308-G$6)^2</f>
        <v>4.8903348123719201E-2</v>
      </c>
      <c r="X308" s="31">
        <f>Settings!$B$20*(P308-H$6)^2</f>
        <v>0.2080259457129941</v>
      </c>
      <c r="Y308" s="31">
        <f>Settings!$B$21*(Q308-I$6)^2</f>
        <v>4.7578493200454552E-4</v>
      </c>
      <c r="Z308" s="31">
        <f>Settings!$B$22*(R308-J$6)^2</f>
        <v>1.7591593351990481E-2</v>
      </c>
      <c r="AA308" s="31">
        <f>Settings!$B$23*(S308-K$6)^2</f>
        <v>2.939255674878583</v>
      </c>
      <c r="AB308" s="31">
        <f>Settings!$B$24*(T308-L$6)^2</f>
        <v>5.5595692983085927</v>
      </c>
      <c r="AC308" s="31">
        <f>Settings!$B$25*(U308-M$6)^2</f>
        <v>0.9304584177272196</v>
      </c>
      <c r="AD308" s="19">
        <f t="shared" si="16"/>
        <v>3.1616762271062293</v>
      </c>
      <c r="AE308" s="15">
        <f t="shared" si="17"/>
        <v>1.25144877058882</v>
      </c>
      <c r="AF308" s="33">
        <f t="shared" si="18"/>
        <v>0.4570045130726797</v>
      </c>
      <c r="AG308" s="47">
        <f t="shared" si="19"/>
        <v>1.9711303213795998E-3</v>
      </c>
      <c r="AH308" s="18">
        <v>0.3293057955575831</v>
      </c>
      <c r="AI308" s="46">
        <v>1</v>
      </c>
      <c r="AJ308" s="48"/>
      <c r="AK308" s="48"/>
      <c r="AL308" s="48"/>
      <c r="AM308" s="48"/>
    </row>
    <row r="309" spans="1:39" ht="20" customHeight="1" x14ac:dyDescent="0.45">
      <c r="A309" s="26">
        <v>299</v>
      </c>
      <c r="B309" s="16" t="s">
        <v>518</v>
      </c>
      <c r="C309" s="16" t="s">
        <v>216</v>
      </c>
      <c r="D309" s="46">
        <v>28</v>
      </c>
      <c r="E309" s="46">
        <v>1</v>
      </c>
      <c r="F309" s="13">
        <v>0.4291595185289408</v>
      </c>
      <c r="G309" s="13">
        <v>0.13308263632520079</v>
      </c>
      <c r="H309" s="13">
        <v>-4.5455349240727028E-2</v>
      </c>
      <c r="I309" s="13">
        <v>8.6406756758953235E-2</v>
      </c>
      <c r="J309" s="13">
        <v>0.30589573914617813</v>
      </c>
      <c r="K309" s="13">
        <v>12.5773381294964</v>
      </c>
      <c r="L309" s="13">
        <v>1.2409874842141431</v>
      </c>
      <c r="M309" s="13">
        <v>1.1881396508585449</v>
      </c>
      <c r="N309" s="19">
        <f>(F309-Settings!$D$18)/Settings!$E$18</f>
        <v>0.84762509585055668</v>
      </c>
      <c r="O309" s="19">
        <f>(G309-Settings!$D$19)/Settings!$E$19</f>
        <v>0.5821102119517032</v>
      </c>
      <c r="P309" s="19">
        <f>(H309-Settings!$D$20)/Settings!$E$20</f>
        <v>-0.8931768158764174</v>
      </c>
      <c r="Q309" s="19">
        <f>(I309-Settings!$D$21)/Settings!$E$21</f>
        <v>1.098779586254397</v>
      </c>
      <c r="R309" s="19">
        <f>(J309-Settings!$D$22)/Settings!$E$22</f>
        <v>0.15614458103086257</v>
      </c>
      <c r="S309" s="19">
        <f>(K309-Settings!$D$23)/Settings!$E$23</f>
        <v>-0.92996386361392835</v>
      </c>
      <c r="T309" s="19">
        <f>(L309-Settings!$D$24)/Settings!$E$24</f>
        <v>-4.6514643998187361E-2</v>
      </c>
      <c r="U309" s="19">
        <f>(M309-Settings!$D$25)/Settings!$E$25</f>
        <v>0.83726487146246709</v>
      </c>
      <c r="V309" s="31">
        <f>Settings!$B$18*(N309-F$6)^2</f>
        <v>5.7188129950181479E-2</v>
      </c>
      <c r="W309" s="31">
        <f>Settings!$B$19*(O309-G$6)^2</f>
        <v>0.29067656564923422</v>
      </c>
      <c r="X309" s="31">
        <f>Settings!$B$20*(P309-H$6)^2</f>
        <v>1.6944025972568117</v>
      </c>
      <c r="Y309" s="31">
        <f>Settings!$B$21*(Q309-I$6)^2</f>
        <v>0.22593215234596734</v>
      </c>
      <c r="Z309" s="31">
        <f>Settings!$B$22*(R309-J$6)^2</f>
        <v>4.5671852579359096E-4</v>
      </c>
      <c r="AA309" s="31">
        <f>Settings!$B$23*(S309-K$6)^2</f>
        <v>1.322732467703895</v>
      </c>
      <c r="AB309" s="31">
        <f>Settings!$B$24*(T309-L$6)^2</f>
        <v>0.55263144345912663</v>
      </c>
      <c r="AC309" s="31">
        <f>Settings!$B$25*(U309-M$6)^2</f>
        <v>5.8629407827440136</v>
      </c>
      <c r="AD309" s="19">
        <f t="shared" si="16"/>
        <v>3.1633780769353232</v>
      </c>
      <c r="AE309" s="15">
        <f t="shared" si="17"/>
        <v>1.2521223936050185</v>
      </c>
      <c r="AF309" s="33">
        <f t="shared" si="18"/>
        <v>0.45661931486377882</v>
      </c>
      <c r="AG309" s="47">
        <f t="shared" si="19"/>
        <v>1.9694689026242343E-3</v>
      </c>
      <c r="AH309" s="18">
        <v>-0.18258026478085429</v>
      </c>
      <c r="AI309" s="46">
        <v>1</v>
      </c>
      <c r="AJ309" s="18">
        <v>-0.18862281950443829</v>
      </c>
      <c r="AK309" s="46">
        <v>1</v>
      </c>
      <c r="AL309" s="48"/>
      <c r="AM309" s="48"/>
    </row>
    <row r="310" spans="1:39" ht="20" customHeight="1" x14ac:dyDescent="0.45">
      <c r="A310" s="26">
        <v>300</v>
      </c>
      <c r="B310" s="16" t="s">
        <v>770</v>
      </c>
      <c r="C310" s="16" t="s">
        <v>216</v>
      </c>
      <c r="D310" s="46">
        <v>28</v>
      </c>
      <c r="E310" s="46">
        <v>1</v>
      </c>
      <c r="F310" s="13">
        <v>7.7306861716194053E-2</v>
      </c>
      <c r="G310" s="13">
        <v>-0.60941824304643522</v>
      </c>
      <c r="H310" s="13">
        <v>4.1106750264163452E-2</v>
      </c>
      <c r="I310" s="13">
        <v>3.8921492020746241E-3</v>
      </c>
      <c r="J310" s="13">
        <v>-0.26827599577113259</v>
      </c>
      <c r="K310" s="13">
        <v>12.739111111111111</v>
      </c>
      <c r="L310" s="13">
        <v>-1.197069289992307</v>
      </c>
      <c r="M310" s="13">
        <v>-1.118650474439473</v>
      </c>
      <c r="N310" s="19">
        <f>(F310-Settings!$D$18)/Settings!$E$18</f>
        <v>-0.41163362896892602</v>
      </c>
      <c r="O310" s="19">
        <f>(G310-Settings!$D$19)/Settings!$E$19</f>
        <v>-2.5112430879182885</v>
      </c>
      <c r="P310" s="19">
        <f>(H310-Settings!$D$20)/Settings!$E$20</f>
        <v>-0.10890754862876821</v>
      </c>
      <c r="Q310" s="19">
        <f>(I310-Settings!$D$21)/Settings!$E$21</f>
        <v>8.4072080162081272E-2</v>
      </c>
      <c r="R310" s="19">
        <f>(J310-Settings!$D$22)/Settings!$E$22</f>
        <v>-1.3886915041052592</v>
      </c>
      <c r="S310" s="19">
        <f>(K310-Settings!$D$23)/Settings!$E$23</f>
        <v>-0.87378382807668176</v>
      </c>
      <c r="T310" s="19">
        <f>(L310-Settings!$D$24)/Settings!$E$24</f>
        <v>-1.7320766497692541</v>
      </c>
      <c r="U310" s="19">
        <f>(M310-Settings!$D$25)/Settings!$E$25</f>
        <v>-0.71846008091982583</v>
      </c>
      <c r="V310" s="31">
        <f>Settings!$B$18*(N310-F$6)^2</f>
        <v>0.10498716145031142</v>
      </c>
      <c r="W310" s="31">
        <f>Settings!$B$19*(O310-G$6)^2</f>
        <v>0.71275022989439363</v>
      </c>
      <c r="X310" s="31">
        <f>Settings!$B$20*(P310-H$6)^2</f>
        <v>0.90431793476312294</v>
      </c>
      <c r="Y310" s="31">
        <f>Settings!$B$21*(Q310-I$6)^2</f>
        <v>4.6363633090424987E-4</v>
      </c>
      <c r="Z310" s="31">
        <f>Settings!$B$22*(R310-J$6)^2</f>
        <v>0.44823122236010304</v>
      </c>
      <c r="AA310" s="31">
        <f>Settings!$B$23*(S310-K$6)^2</f>
        <v>1.1966632263003278</v>
      </c>
      <c r="AB310" s="31">
        <f>Settings!$B$24*(T310-L$6)^2</f>
        <v>5.8998168361205563</v>
      </c>
      <c r="AC310" s="31">
        <f>Settings!$B$25*(U310-M$6)^2</f>
        <v>0.74930849633554375</v>
      </c>
      <c r="AD310" s="19">
        <f t="shared" si="16"/>
        <v>3.1648915848027501</v>
      </c>
      <c r="AE310" s="15">
        <f t="shared" si="17"/>
        <v>1.2527214674582263</v>
      </c>
      <c r="AF310" s="33">
        <f t="shared" si="18"/>
        <v>0.4562768449748289</v>
      </c>
      <c r="AG310" s="47">
        <f t="shared" si="19"/>
        <v>1.9679917776441549E-3</v>
      </c>
      <c r="AH310" s="18">
        <v>-9.411267148809821E-2</v>
      </c>
      <c r="AI310" s="46">
        <v>1</v>
      </c>
      <c r="AJ310" s="18">
        <v>1.1377075738061739</v>
      </c>
      <c r="AK310" s="46">
        <v>1</v>
      </c>
      <c r="AL310" s="48"/>
      <c r="AM310" s="48"/>
    </row>
    <row r="311" spans="1:39" ht="20" customHeight="1" x14ac:dyDescent="0.45">
      <c r="A311" s="26">
        <v>301</v>
      </c>
      <c r="B311" s="16" t="s">
        <v>533</v>
      </c>
      <c r="C311" s="16" t="s">
        <v>227</v>
      </c>
      <c r="D311" s="46">
        <v>28</v>
      </c>
      <c r="E311" s="46">
        <v>0</v>
      </c>
      <c r="F311" s="13">
        <v>0.46181629863876039</v>
      </c>
      <c r="G311" s="13">
        <v>0.25377369194847638</v>
      </c>
      <c r="H311" s="13">
        <v>-2.474630054097854E-3</v>
      </c>
      <c r="I311" s="13">
        <v>9.9178028034533405E-2</v>
      </c>
      <c r="J311" s="13">
        <v>-0.18275735132413179</v>
      </c>
      <c r="K311" s="13">
        <v>12.807175925925931</v>
      </c>
      <c r="L311" s="13">
        <v>1.0356347149595471</v>
      </c>
      <c r="M311" s="13">
        <v>1.091825547456259</v>
      </c>
      <c r="N311" s="19">
        <f>(F311-Settings!$D$18)/Settings!$E$18</f>
        <v>0.96450167609388049</v>
      </c>
      <c r="O311" s="19">
        <f>(G311-Settings!$D$19)/Settings!$E$19</f>
        <v>1.0849245325125119</v>
      </c>
      <c r="P311" s="19">
        <f>(H311-Settings!$D$20)/Settings!$E$20</f>
        <v>-0.50376323493190467</v>
      </c>
      <c r="Q311" s="19">
        <f>(I311-Settings!$D$21)/Settings!$E$21</f>
        <v>1.2558318368724404</v>
      </c>
      <c r="R311" s="19">
        <f>(J311-Settings!$D$22)/Settings!$E$22</f>
        <v>-1.1585995649528056</v>
      </c>
      <c r="S311" s="19">
        <f>(K311-Settings!$D$23)/Settings!$E$23</f>
        <v>-0.8501464834659489</v>
      </c>
      <c r="T311" s="19">
        <f>(L311-Settings!$D$24)/Settings!$E$24</f>
        <v>-0.18848624584822279</v>
      </c>
      <c r="U311" s="19">
        <f>(M311-Settings!$D$25)/Settings!$E$25</f>
        <v>0.77230956742937629</v>
      </c>
      <c r="V311" s="31">
        <f>Settings!$B$18*(N311-F$6)^2</f>
        <v>8.4919318154834458E-2</v>
      </c>
      <c r="W311" s="31">
        <f>Settings!$B$19*(O311-G$6)^2</f>
        <v>0.58371080696593569</v>
      </c>
      <c r="X311" s="31">
        <f>Settings!$B$20*(P311-H$6)^2</f>
        <v>1.2713490620770012</v>
      </c>
      <c r="Y311" s="31">
        <f>Settings!$B$21*(Q311-I$6)^2</f>
        <v>0.29763474247942107</v>
      </c>
      <c r="Z311" s="31">
        <f>Settings!$B$22*(R311-J$6)^2</f>
        <v>0.32103610708593527</v>
      </c>
      <c r="AA311" s="31">
        <f>Settings!$B$23*(S311-K$6)^2</f>
        <v>1.1455071734956883</v>
      </c>
      <c r="AB311" s="31">
        <f>Settings!$B$24*(T311-L$6)^2</f>
        <v>0.7838684428397229</v>
      </c>
      <c r="AC311" s="31">
        <f>Settings!$B$25*(U311-M$6)^2</f>
        <v>5.552600790361172</v>
      </c>
      <c r="AD311" s="19">
        <f t="shared" si="16"/>
        <v>3.1686947539104664</v>
      </c>
      <c r="AE311" s="15">
        <f t="shared" si="17"/>
        <v>1.2542268307409647</v>
      </c>
      <c r="AF311" s="33">
        <f t="shared" si="18"/>
        <v>0.45541669248161321</v>
      </c>
      <c r="AG311" s="47">
        <f t="shared" si="19"/>
        <v>1.9642818084602883E-3</v>
      </c>
      <c r="AH311" s="18">
        <v>0.25436831506500729</v>
      </c>
      <c r="AI311" s="46">
        <v>0</v>
      </c>
      <c r="AJ311" s="48"/>
      <c r="AK311" s="48"/>
      <c r="AL311" s="48"/>
      <c r="AM311" s="48"/>
    </row>
    <row r="312" spans="1:39" ht="20" customHeight="1" x14ac:dyDescent="0.45">
      <c r="A312" s="26">
        <v>302</v>
      </c>
      <c r="B312" s="16" t="s">
        <v>320</v>
      </c>
      <c r="C312" s="16" t="s">
        <v>224</v>
      </c>
      <c r="D312" s="46">
        <v>28</v>
      </c>
      <c r="E312" s="46">
        <v>0</v>
      </c>
      <c r="F312" s="13">
        <v>6.4126509468459599E-3</v>
      </c>
      <c r="G312" s="13">
        <v>0.15426075480021309</v>
      </c>
      <c r="H312" s="13">
        <v>3.0428839416478209E-2</v>
      </c>
      <c r="I312" s="13">
        <v>-0.3131307797735941</v>
      </c>
      <c r="J312" s="13">
        <v>0.49576697506286849</v>
      </c>
      <c r="K312" s="13">
        <v>16.080069930069911</v>
      </c>
      <c r="L312" s="13">
        <v>0.39784052636529549</v>
      </c>
      <c r="M312" s="13">
        <v>0.46352988204596318</v>
      </c>
      <c r="N312" s="19">
        <f>(F312-Settings!$D$18)/Settings!$E$18</f>
        <v>-0.66535958988444621</v>
      </c>
      <c r="O312" s="19">
        <f>(G312-Settings!$D$19)/Settings!$E$19</f>
        <v>0.67034095280302441</v>
      </c>
      <c r="P312" s="19">
        <f>(H312-Settings!$D$20)/Settings!$E$20</f>
        <v>-0.20565147425151384</v>
      </c>
      <c r="Q312" s="19">
        <f>(I312-Settings!$D$21)/Settings!$E$21</f>
        <v>-3.8144563763083599</v>
      </c>
      <c r="R312" s="19">
        <f>(J312-Settings!$D$22)/Settings!$E$22</f>
        <v>0.66700208051355547</v>
      </c>
      <c r="S312" s="19">
        <f>(K312-Settings!$D$23)/Settings!$E$23</f>
        <v>0.28645432358581369</v>
      </c>
      <c r="T312" s="19">
        <f>(L312-Settings!$D$24)/Settings!$E$24</f>
        <v>-0.62942825473395358</v>
      </c>
      <c r="U312" s="19">
        <f>(M312-Settings!$D$25)/Settings!$E$25</f>
        <v>0.34857997303198629</v>
      </c>
      <c r="V312" s="31">
        <f>Settings!$B$18*(N312-F$6)^2</f>
        <v>0.19139480801934536</v>
      </c>
      <c r="W312" s="31">
        <f>Settings!$B$19*(O312-G$6)^2</f>
        <v>0.33478059500068058</v>
      </c>
      <c r="X312" s="31">
        <f>Settings!$B$20*(P312-H$6)^2</f>
        <v>0.9884764412567274</v>
      </c>
      <c r="Y312" s="31">
        <f>Settings!$B$21*(Q312-I$6)^2</f>
        <v>2.9650867036171062</v>
      </c>
      <c r="Z312" s="31">
        <f>Settings!$B$22*(R312-J$6)^2</f>
        <v>6.2416724277966462E-2</v>
      </c>
      <c r="AA312" s="31">
        <f>Settings!$B$23*(S312-K$6)^2</f>
        <v>4.3979602361499757E-3</v>
      </c>
      <c r="AB312" s="31">
        <f>Settings!$B$24*(T312-L$6)^2</f>
        <v>1.7590861766274808</v>
      </c>
      <c r="AC312" s="31">
        <f>Settings!$B$25*(U312-M$6)^2</f>
        <v>3.735198353976025</v>
      </c>
      <c r="AD312" s="19">
        <f t="shared" si="16"/>
        <v>3.1687280986243489</v>
      </c>
      <c r="AE312" s="15">
        <f t="shared" si="17"/>
        <v>1.2542400291832456</v>
      </c>
      <c r="AF312" s="33">
        <f t="shared" si="18"/>
        <v>0.45540915360908818</v>
      </c>
      <c r="AG312" s="47">
        <f t="shared" si="19"/>
        <v>1.9642492921507159E-3</v>
      </c>
      <c r="AH312" s="18">
        <v>0.29323439570513088</v>
      </c>
      <c r="AI312" s="46">
        <v>0</v>
      </c>
      <c r="AJ312" s="18">
        <v>0.7101902559653237</v>
      </c>
      <c r="AK312" s="46">
        <v>0</v>
      </c>
      <c r="AL312" s="18">
        <v>0.7153654337823383</v>
      </c>
      <c r="AM312" s="46">
        <v>1</v>
      </c>
    </row>
    <row r="313" spans="1:39" ht="20" customHeight="1" x14ac:dyDescent="0.45">
      <c r="A313" s="26">
        <v>303</v>
      </c>
      <c r="B313" s="16" t="s">
        <v>412</v>
      </c>
      <c r="C313" s="16" t="s">
        <v>260</v>
      </c>
      <c r="D313" s="46">
        <v>28</v>
      </c>
      <c r="E313" s="46">
        <v>1</v>
      </c>
      <c r="F313" s="13">
        <v>9.9882432614029223E-2</v>
      </c>
      <c r="G313" s="13">
        <v>-0.27946036120477818</v>
      </c>
      <c r="H313" s="13">
        <v>-1.379885720696945E-3</v>
      </c>
      <c r="I313" s="13">
        <v>7.7549756576782434E-3</v>
      </c>
      <c r="J313" s="13">
        <v>0.61152234480281742</v>
      </c>
      <c r="K313" s="13">
        <v>15.111494252873589</v>
      </c>
      <c r="L313" s="13">
        <v>1.2208299889923431</v>
      </c>
      <c r="M313" s="13">
        <v>1.783748053477163</v>
      </c>
      <c r="N313" s="19">
        <f>(F313-Settings!$D$18)/Settings!$E$18</f>
        <v>-0.33083706804936713</v>
      </c>
      <c r="O313" s="19">
        <f>(G313-Settings!$D$19)/Settings!$E$19</f>
        <v>-1.136596496958314</v>
      </c>
      <c r="P313" s="19">
        <f>(H313-Settings!$D$20)/Settings!$E$20</f>
        <v>-0.49384464075396023</v>
      </c>
      <c r="Q313" s="19">
        <f>(I313-Settings!$D$21)/Settings!$E$21</f>
        <v>0.13157444508008806</v>
      </c>
      <c r="R313" s="19">
        <f>(J313-Settings!$D$22)/Settings!$E$22</f>
        <v>0.97844735262939753</v>
      </c>
      <c r="S313" s="19">
        <f>(K313-Settings!$D$23)/Settings!$E$23</f>
        <v>-4.990973067263791E-2</v>
      </c>
      <c r="T313" s="19">
        <f>(L313-Settings!$D$24)/Settings!$E$24</f>
        <v>-6.045062302740286E-2</v>
      </c>
      <c r="U313" s="19">
        <f>(M313-Settings!$D$25)/Settings!$E$25</f>
        <v>1.2389498117786713</v>
      </c>
      <c r="V313" s="31">
        <f>Settings!$B$18*(N313-F$6)^2</f>
        <v>8.2877141888450509E-2</v>
      </c>
      <c r="W313" s="31">
        <f>Settings!$B$19*(O313-G$6)^2</f>
        <v>5.2663235202155517E-2</v>
      </c>
      <c r="X313" s="31">
        <f>Settings!$B$20*(P313-H$6)^2</f>
        <v>1.2613658011298723</v>
      </c>
      <c r="Y313" s="31">
        <f>Settings!$B$21*(Q313-I$6)^2</f>
        <v>1.8297792913477041E-3</v>
      </c>
      <c r="Z313" s="31">
        <f>Settings!$B$22*(R313-J$6)^2</f>
        <v>0.15141122486708491</v>
      </c>
      <c r="AA313" s="31">
        <f>Settings!$B$23*(S313-K$6)^2</f>
        <v>7.2925347390339401E-2</v>
      </c>
      <c r="AB313" s="31">
        <f>Settings!$B$24*(T313-L$6)^2</f>
        <v>0.57354544145004416</v>
      </c>
      <c r="AC313" s="31">
        <f>Settings!$B$25*(U313-M$6)^2</f>
        <v>7.9695320573595589</v>
      </c>
      <c r="AD313" s="19">
        <f t="shared" si="16"/>
        <v>3.1884400619392004</v>
      </c>
      <c r="AE313" s="15">
        <f t="shared" si="17"/>
        <v>1.262042381633117</v>
      </c>
      <c r="AF313" s="33">
        <f t="shared" si="18"/>
        <v>0.45096051801341469</v>
      </c>
      <c r="AG313" s="47">
        <f t="shared" si="19"/>
        <v>1.9450616468199441E-3</v>
      </c>
      <c r="AH313" s="18">
        <v>-0.88997988671011308</v>
      </c>
      <c r="AI313" s="46">
        <v>1</v>
      </c>
      <c r="AJ313" s="48"/>
      <c r="AK313" s="48"/>
      <c r="AL313" s="48"/>
      <c r="AM313" s="48"/>
    </row>
    <row r="314" spans="1:39" ht="20" customHeight="1" x14ac:dyDescent="0.45">
      <c r="A314" s="26">
        <v>304</v>
      </c>
      <c r="B314" s="16" t="s">
        <v>625</v>
      </c>
      <c r="C314" s="16" t="s">
        <v>234</v>
      </c>
      <c r="D314" s="46">
        <v>28</v>
      </c>
      <c r="E314" s="46">
        <v>1</v>
      </c>
      <c r="F314" s="13">
        <v>-0.28568363474441089</v>
      </c>
      <c r="G314" s="13">
        <v>0.14039311062062651</v>
      </c>
      <c r="H314" s="13">
        <v>5.4820697260364885E-4</v>
      </c>
      <c r="I314" s="13">
        <v>-5.8038485353349323E-2</v>
      </c>
      <c r="J314" s="13">
        <v>-0.5153365623090097</v>
      </c>
      <c r="K314" s="13">
        <v>12.74988344988347</v>
      </c>
      <c r="L314" s="13">
        <v>-0.35982309943607321</v>
      </c>
      <c r="M314" s="13">
        <v>-0.2005580652250874</v>
      </c>
      <c r="N314" s="19">
        <f>(F314-Settings!$D$18)/Settings!$E$18</f>
        <v>-1.7107539875735702</v>
      </c>
      <c r="O314" s="19">
        <f>(G314-Settings!$D$19)/Settings!$E$19</f>
        <v>0.61256657963238204</v>
      </c>
      <c r="P314" s="19">
        <f>(H314-Settings!$D$20)/Settings!$E$20</f>
        <v>-0.47637575018396006</v>
      </c>
      <c r="Q314" s="19">
        <f>(I314-Settings!$D$21)/Settings!$E$21</f>
        <v>-0.6775079794307759</v>
      </c>
      <c r="R314" s="19">
        <f>(J314-Settings!$D$22)/Settings!$E$22</f>
        <v>-2.0534195901313894</v>
      </c>
      <c r="S314" s="19">
        <f>(K314-Settings!$D$23)/Settings!$E$23</f>
        <v>-0.87004284259808229</v>
      </c>
      <c r="T314" s="19">
        <f>(L314-Settings!$D$24)/Settings!$E$24</f>
        <v>-1.1532425622252984</v>
      </c>
      <c r="U314" s="19">
        <f>(M314-Settings!$D$25)/Settings!$E$25</f>
        <v>-9.9288334888933488E-2</v>
      </c>
      <c r="V314" s="31">
        <f>Settings!$B$18*(N314-F$6)^2</f>
        <v>0.81902773411826457</v>
      </c>
      <c r="W314" s="31">
        <f>Settings!$B$19*(O314-G$6)^2</f>
        <v>0.30554891515402988</v>
      </c>
      <c r="X314" s="31">
        <f>Settings!$B$20*(P314-H$6)^2</f>
        <v>1.2438787035293348</v>
      </c>
      <c r="Y314" s="31">
        <f>Settings!$B$21*(Q314-I$6)^2</f>
        <v>0.10179720371891926</v>
      </c>
      <c r="Z314" s="31">
        <f>Settings!$B$22*(R314-J$6)^2</f>
        <v>0.93465615043736949</v>
      </c>
      <c r="AA314" s="31">
        <f>Settings!$B$23*(S314-K$6)^2</f>
        <v>1.1884925358747809</v>
      </c>
      <c r="AB314" s="31">
        <f>Settings!$B$24*(T314-L$6)^2</f>
        <v>3.4229431588073598</v>
      </c>
      <c r="AC314" s="31">
        <f>Settings!$B$25*(U314-M$6)^2</f>
        <v>2.2046245601023555</v>
      </c>
      <c r="AD314" s="19">
        <f t="shared" si="16"/>
        <v>3.1970250173782522</v>
      </c>
      <c r="AE314" s="15">
        <f t="shared" si="17"/>
        <v>1.2654404626376337</v>
      </c>
      <c r="AF314" s="33">
        <f t="shared" si="18"/>
        <v>0.44902811232085726</v>
      </c>
      <c r="AG314" s="47">
        <f t="shared" si="19"/>
        <v>1.9367268856855377E-3</v>
      </c>
      <c r="AH314" s="18">
        <v>-0.47449523652223041</v>
      </c>
      <c r="AI314" s="46">
        <v>1</v>
      </c>
      <c r="AJ314" s="48"/>
      <c r="AK314" s="48"/>
      <c r="AL314" s="48"/>
      <c r="AM314" s="48"/>
    </row>
    <row r="315" spans="1:39" ht="20" customHeight="1" x14ac:dyDescent="0.45">
      <c r="A315" s="26">
        <v>305</v>
      </c>
      <c r="B315" s="16" t="s">
        <v>604</v>
      </c>
      <c r="C315" s="16" t="s">
        <v>234</v>
      </c>
      <c r="D315" s="46">
        <v>28</v>
      </c>
      <c r="E315" s="46">
        <v>1</v>
      </c>
      <c r="F315" s="13">
        <v>-0.29367107649129998</v>
      </c>
      <c r="G315" s="13">
        <v>-0.31079307256115002</v>
      </c>
      <c r="H315" s="13">
        <v>1.022524827420028E-3</v>
      </c>
      <c r="I315" s="13">
        <v>3.674740342035359E-2</v>
      </c>
      <c r="J315" s="13">
        <v>0.35776592269977642</v>
      </c>
      <c r="K315" s="13">
        <v>12.49037037037038</v>
      </c>
      <c r="L315" s="13">
        <v>-0.57116468483641847</v>
      </c>
      <c r="M315" s="13">
        <v>3.5991581796924972E-2</v>
      </c>
      <c r="N315" s="19">
        <f>(F315-Settings!$D$18)/Settings!$E$18</f>
        <v>-1.7393405436617637</v>
      </c>
      <c r="O315" s="19">
        <f>(G315-Settings!$D$19)/Settings!$E$19</f>
        <v>-1.2671325660201189</v>
      </c>
      <c r="P315" s="19">
        <f>(H315-Settings!$D$20)/Settings!$E$20</f>
        <v>-0.4720783392088681</v>
      </c>
      <c r="Q315" s="19">
        <f>(I315-Settings!$D$21)/Settings!$E$21</f>
        <v>0.48810324575755665</v>
      </c>
      <c r="R315" s="19">
        <f>(J315-Settings!$D$22)/Settings!$E$22</f>
        <v>0.29570375196039794</v>
      </c>
      <c r="S315" s="19">
        <f>(K315-Settings!$D$23)/Settings!$E$23</f>
        <v>-0.96016576599297321</v>
      </c>
      <c r="T315" s="19">
        <f>(L315-Settings!$D$24)/Settings!$E$24</f>
        <v>-1.299354560255447</v>
      </c>
      <c r="U315" s="19">
        <f>(M315-Settings!$D$25)/Settings!$E$25</f>
        <v>6.0243381635050275E-2</v>
      </c>
      <c r="V315" s="31">
        <f>Settings!$B$18*(N315-F$6)^2</f>
        <v>0.84233078770039238</v>
      </c>
      <c r="W315" s="31">
        <f>Settings!$B$19*(O315-G$6)^2</f>
        <v>8.2864658563863089E-2</v>
      </c>
      <c r="X315" s="31">
        <f>Settings!$B$20*(P315-H$6)^2</f>
        <v>1.2395955213067658</v>
      </c>
      <c r="Y315" s="31">
        <f>Settings!$B$21*(Q315-I$6)^2</f>
        <v>4.0893108932863242E-2</v>
      </c>
      <c r="Z315" s="31">
        <f>Settings!$B$22*(R315-J$6)^2</f>
        <v>7.0197138357859781E-3</v>
      </c>
      <c r="AA315" s="31">
        <f>Settings!$B$23*(S315-K$6)^2</f>
        <v>1.3931151030033526</v>
      </c>
      <c r="AB315" s="31">
        <f>Settings!$B$24*(T315-L$6)^2</f>
        <v>3.9849412667969344</v>
      </c>
      <c r="AC315" s="31">
        <f>Settings!$B$25*(U315-M$6)^2</f>
        <v>2.7038196178473846</v>
      </c>
      <c r="AD315" s="19">
        <f t="shared" si="16"/>
        <v>3.2085167566941806</v>
      </c>
      <c r="AE315" s="15">
        <f t="shared" si="17"/>
        <v>1.2699891013994238</v>
      </c>
      <c r="AF315" s="33">
        <f t="shared" si="18"/>
        <v>0.44644629813331482</v>
      </c>
      <c r="AG315" s="47">
        <f t="shared" si="19"/>
        <v>1.9255911264454016E-3</v>
      </c>
      <c r="AH315" s="18">
        <v>0.53616866954843234</v>
      </c>
      <c r="AI315" s="46">
        <v>1</v>
      </c>
      <c r="AJ315" s="18">
        <v>0.48819262011711378</v>
      </c>
      <c r="AK315" s="46">
        <v>1</v>
      </c>
      <c r="AL315" s="18">
        <v>-0.37346700189401261</v>
      </c>
      <c r="AM315" s="46">
        <v>1</v>
      </c>
    </row>
    <row r="316" spans="1:39" ht="20" customHeight="1" x14ac:dyDescent="0.45">
      <c r="A316" s="26">
        <v>306</v>
      </c>
      <c r="B316" s="16" t="s">
        <v>578</v>
      </c>
      <c r="C316" s="16" t="s">
        <v>229</v>
      </c>
      <c r="D316" s="46">
        <v>28</v>
      </c>
      <c r="E316" s="46">
        <v>1</v>
      </c>
      <c r="F316" s="13">
        <v>-0.14858685670977451</v>
      </c>
      <c r="G316" s="13">
        <v>0.2047739634761031</v>
      </c>
      <c r="H316" s="13">
        <v>-1.081549996227501E-4</v>
      </c>
      <c r="I316" s="13">
        <v>-0.2235383158599944</v>
      </c>
      <c r="J316" s="13">
        <v>0.4229927089545053</v>
      </c>
      <c r="K316" s="13">
        <v>13.758872901678661</v>
      </c>
      <c r="L316" s="13">
        <v>0.86135167170542537</v>
      </c>
      <c r="M316" s="13">
        <v>0.92811525247420001</v>
      </c>
      <c r="N316" s="19">
        <f>(F316-Settings!$D$18)/Settings!$E$18</f>
        <v>-1.2200931653742548</v>
      </c>
      <c r="O316" s="19">
        <f>(G316-Settings!$D$19)/Settings!$E$19</f>
        <v>0.88078541837297986</v>
      </c>
      <c r="P316" s="19">
        <f>(H316-Settings!$D$20)/Settings!$E$20</f>
        <v>-0.48232251586953745</v>
      </c>
      <c r="Q316" s="19">
        <f>(I316-Settings!$D$21)/Settings!$E$21</f>
        <v>-2.7127102938372198</v>
      </c>
      <c r="R316" s="19">
        <f>(J316-Settings!$D$22)/Settings!$E$22</f>
        <v>0.47119949129399225</v>
      </c>
      <c r="S316" s="19">
        <f>(K316-Settings!$D$23)/Settings!$E$23</f>
        <v>-0.51964401398796423</v>
      </c>
      <c r="T316" s="19">
        <f>(L316-Settings!$D$24)/Settings!$E$24</f>
        <v>-0.30897764665037142</v>
      </c>
      <c r="U316" s="19">
        <f>(M316-Settings!$D$25)/Settings!$E$25</f>
        <v>0.66190152116961898</v>
      </c>
      <c r="V316" s="31">
        <f>Settings!$B$18*(N316-F$6)^2</f>
        <v>0.47000803493624566</v>
      </c>
      <c r="W316" s="31">
        <f>Settings!$B$19*(O316-G$6)^2</f>
        <v>0.45254668634387196</v>
      </c>
      <c r="X316" s="31">
        <f>Settings!$B$20*(P316-H$6)^2</f>
        <v>1.2498179633830802</v>
      </c>
      <c r="Y316" s="31">
        <f>Settings!$B$21*(Q316-I$6)^2</f>
        <v>1.5109987352745249</v>
      </c>
      <c r="Z316" s="31">
        <f>Settings!$B$22*(R316-J$6)^2</f>
        <v>2.6330843170558345E-2</v>
      </c>
      <c r="AA316" s="31">
        <f>Settings!$B$23*(S316-K$6)^2</f>
        <v>0.54727625175955141</v>
      </c>
      <c r="AB316" s="31">
        <f>Settings!$B$24*(T316-L$6)^2</f>
        <v>1.0117439857035855</v>
      </c>
      <c r="AC316" s="31">
        <f>Settings!$B$25*(U316-M$6)^2</f>
        <v>5.0444606316671612</v>
      </c>
      <c r="AD316" s="19">
        <f t="shared" si="16"/>
        <v>3.2114145064501685</v>
      </c>
      <c r="AE316" s="15">
        <f t="shared" si="17"/>
        <v>1.2711360832878646</v>
      </c>
      <c r="AF316" s="33">
        <f t="shared" si="18"/>
        <v>0.44579616030197766</v>
      </c>
      <c r="AG316" s="47">
        <f t="shared" si="19"/>
        <v>1.9227869826005006E-3</v>
      </c>
      <c r="AH316" s="18">
        <v>-0.28588070951867323</v>
      </c>
      <c r="AI316" s="46">
        <v>1</v>
      </c>
      <c r="AJ316" s="18">
        <v>7.516486522482646E-2</v>
      </c>
      <c r="AK316" s="46">
        <v>1</v>
      </c>
      <c r="AL316" s="48"/>
      <c r="AM316" s="48"/>
    </row>
    <row r="317" spans="1:39" ht="20" customHeight="1" x14ac:dyDescent="0.45">
      <c r="A317" s="26">
        <v>307</v>
      </c>
      <c r="B317" s="16" t="s">
        <v>388</v>
      </c>
      <c r="C317" s="16" t="s">
        <v>236</v>
      </c>
      <c r="D317" s="46">
        <v>28</v>
      </c>
      <c r="E317" s="46">
        <v>0</v>
      </c>
      <c r="F317" s="13">
        <v>0.41207377752497232</v>
      </c>
      <c r="G317" s="13">
        <v>-0.37418106433106457</v>
      </c>
      <c r="H317" s="13">
        <v>-4.0178228354600609E-2</v>
      </c>
      <c r="I317" s="13">
        <v>-1.6972121817173121E-2</v>
      </c>
      <c r="J317" s="13">
        <v>0.1565948079721895</v>
      </c>
      <c r="K317" s="13">
        <v>13.78301075268819</v>
      </c>
      <c r="L317" s="13">
        <v>0.64291812732538167</v>
      </c>
      <c r="M317" s="13">
        <v>1.4279201237049819</v>
      </c>
      <c r="N317" s="19">
        <f>(F317-Settings!$D$18)/Settings!$E$18</f>
        <v>0.7864762938942208</v>
      </c>
      <c r="O317" s="19">
        <f>(G317-Settings!$D$19)/Settings!$E$19</f>
        <v>-1.5312150189318745</v>
      </c>
      <c r="P317" s="19">
        <f>(H317-Settings!$D$20)/Settings!$E$20</f>
        <v>-0.84536508586742187</v>
      </c>
      <c r="Q317" s="19">
        <f>(I317-Settings!$D$21)/Settings!$E$21</f>
        <v>-0.17250227726646816</v>
      </c>
      <c r="R317" s="19">
        <f>(J317-Settings!$D$22)/Settings!$E$22</f>
        <v>-0.24555660346791555</v>
      </c>
      <c r="S317" s="19">
        <f>(K317-Settings!$D$23)/Settings!$E$23</f>
        <v>-0.51126149353261519</v>
      </c>
      <c r="T317" s="19">
        <f>(L317-Settings!$D$24)/Settings!$E$24</f>
        <v>-0.45999270384187085</v>
      </c>
      <c r="U317" s="19">
        <f>(M317-Settings!$D$25)/Settings!$E$25</f>
        <v>0.99897549290577425</v>
      </c>
      <c r="V317" s="31">
        <f>Settings!$B$18*(N317-F$6)^2</f>
        <v>4.4856623209033504E-2</v>
      </c>
      <c r="W317" s="31">
        <f>Settings!$B$19*(O317-G$6)^2</f>
        <v>0.16480635096645055</v>
      </c>
      <c r="X317" s="31">
        <f>Settings!$B$20*(P317-H$6)^2</f>
        <v>1.6391940791281105</v>
      </c>
      <c r="Y317" s="31">
        <f>Settings!$B$21*(Q317-I$6)^2</f>
        <v>8.6883510675833768E-3</v>
      </c>
      <c r="Z317" s="31">
        <f>Settings!$B$22*(R317-J$6)^2</f>
        <v>2.5051057018899286E-2</v>
      </c>
      <c r="AA317" s="31">
        <f>Settings!$B$23*(S317-K$6)^2</f>
        <v>0.53494405600979067</v>
      </c>
      <c r="AB317" s="31">
        <f>Settings!$B$24*(T317-L$6)^2</f>
        <v>1.3383479895664663</v>
      </c>
      <c r="AC317" s="31">
        <f>Settings!$B$25*(U317-M$6)^2</f>
        <v>6.6722074655664834</v>
      </c>
      <c r="AD317" s="19">
        <f t="shared" si="16"/>
        <v>3.2292562568698102</v>
      </c>
      <c r="AE317" s="15">
        <f t="shared" si="17"/>
        <v>1.2781981715676154</v>
      </c>
      <c r="AF317" s="33">
        <f t="shared" si="18"/>
        <v>0.44180119511334853</v>
      </c>
      <c r="AG317" s="47">
        <f t="shared" si="19"/>
        <v>1.9055560870821658E-3</v>
      </c>
      <c r="AH317" s="18">
        <v>-0.67313183406389232</v>
      </c>
      <c r="AI317" s="46">
        <v>0</v>
      </c>
      <c r="AJ317" s="18">
        <v>-0.54224703883554426</v>
      </c>
      <c r="AK317" s="46">
        <v>1</v>
      </c>
      <c r="AL317" s="48"/>
      <c r="AM317" s="48"/>
    </row>
    <row r="318" spans="1:39" ht="20" customHeight="1" x14ac:dyDescent="0.45">
      <c r="A318" s="26">
        <v>308</v>
      </c>
      <c r="B318" s="16" t="s">
        <v>432</v>
      </c>
      <c r="C318" s="16" t="s">
        <v>236</v>
      </c>
      <c r="D318" s="46">
        <v>28</v>
      </c>
      <c r="E318" s="46">
        <v>0</v>
      </c>
      <c r="F318" s="13">
        <v>0.146565554421976</v>
      </c>
      <c r="G318" s="13">
        <v>-0.61621392794460306</v>
      </c>
      <c r="H318" s="13">
        <v>-9.6626028413171004E-3</v>
      </c>
      <c r="I318" s="13">
        <v>1.7996274862059791E-2</v>
      </c>
      <c r="J318" s="13">
        <v>-0.20956163993004401</v>
      </c>
      <c r="K318" s="13">
        <v>13.22077114427861</v>
      </c>
      <c r="L318" s="13">
        <v>-0.68881639928818006</v>
      </c>
      <c r="M318" s="13">
        <v>8.664061071331397E-2</v>
      </c>
      <c r="N318" s="19">
        <f>(F318-Settings!$D$18)/Settings!$E$18</f>
        <v>-0.16376108524741501</v>
      </c>
      <c r="O318" s="19">
        <f>(G318-Settings!$D$19)/Settings!$E$19</f>
        <v>-2.5395547773568441</v>
      </c>
      <c r="P318" s="19">
        <f>(H318-Settings!$D$20)/Settings!$E$20</f>
        <v>-0.5688876506181253</v>
      </c>
      <c r="Q318" s="19">
        <f>(I318-Settings!$D$21)/Settings!$E$21</f>
        <v>0.25751485105802235</v>
      </c>
      <c r="R318" s="19">
        <f>(J318-Settings!$D$22)/Settings!$E$22</f>
        <v>-1.230717765408597</v>
      </c>
      <c r="S318" s="19">
        <f>(K318-Settings!$D$23)/Settings!$E$23</f>
        <v>-0.70651437733076816</v>
      </c>
      <c r="T318" s="19">
        <f>(L318-Settings!$D$24)/Settings!$E$24</f>
        <v>-1.3806936258144362</v>
      </c>
      <c r="U318" s="19">
        <f>(M318-Settings!$D$25)/Settings!$E$25</f>
        <v>9.440165083996066E-2</v>
      </c>
      <c r="V318" s="31">
        <f>Settings!$B$18*(N318-F$6)^2</f>
        <v>4.543942487301416E-2</v>
      </c>
      <c r="W318" s="31">
        <f>Settings!$B$19*(O318-G$6)^2</f>
        <v>0.73428915012433116</v>
      </c>
      <c r="X318" s="31">
        <f>Settings!$B$20*(P318-H$6)^2</f>
        <v>1.3378754992032669</v>
      </c>
      <c r="Y318" s="31">
        <f>Settings!$B$21*(Q318-I$6)^2</f>
        <v>9.820449537509629E-3</v>
      </c>
      <c r="Z318" s="31">
        <f>Settings!$B$22*(R318-J$6)^2</f>
        <v>0.35862458325320418</v>
      </c>
      <c r="AA318" s="31">
        <f>Settings!$B$23*(S318-K$6)^2</f>
        <v>0.8586831547758671</v>
      </c>
      <c r="AB318" s="31">
        <f>Settings!$B$24*(T318-L$6)^2</f>
        <v>4.3163005634849387</v>
      </c>
      <c r="AC318" s="31">
        <f>Settings!$B$25*(U318-M$6)^2</f>
        <v>2.8173213070007588</v>
      </c>
      <c r="AD318" s="19">
        <f t="shared" si="16"/>
        <v>3.2370285961438294</v>
      </c>
      <c r="AE318" s="15">
        <f t="shared" si="17"/>
        <v>1.2812746043616123</v>
      </c>
      <c r="AF318" s="33">
        <f t="shared" si="18"/>
        <v>0.44006523315384732</v>
      </c>
      <c r="AG318" s="47">
        <f t="shared" si="19"/>
        <v>1.8980686177962986E-3</v>
      </c>
      <c r="AH318" s="18">
        <v>0.7247142863139886</v>
      </c>
      <c r="AI318" s="46">
        <v>0</v>
      </c>
      <c r="AJ318" s="18">
        <v>1.686248819294881</v>
      </c>
      <c r="AK318" s="46">
        <v>1</v>
      </c>
      <c r="AL318" s="48"/>
      <c r="AM318" s="48"/>
    </row>
    <row r="319" spans="1:39" ht="20" customHeight="1" x14ac:dyDescent="0.45">
      <c r="A319" s="26">
        <v>309</v>
      </c>
      <c r="B319" s="16" t="s">
        <v>656</v>
      </c>
      <c r="C319" s="16" t="s">
        <v>234</v>
      </c>
      <c r="D319" s="46">
        <v>28</v>
      </c>
      <c r="E319" s="46">
        <v>1</v>
      </c>
      <c r="F319" s="13">
        <v>0.1186898198395598</v>
      </c>
      <c r="G319" s="13">
        <v>0.23251335021119099</v>
      </c>
      <c r="H319" s="13">
        <v>-2.6064191923132231E-3</v>
      </c>
      <c r="I319" s="13">
        <v>0.269691401103824</v>
      </c>
      <c r="J319" s="13">
        <v>0.37649900965311212</v>
      </c>
      <c r="K319" s="13">
        <v>10.518661971830991</v>
      </c>
      <c r="L319" s="13">
        <v>1.273450353545142</v>
      </c>
      <c r="M319" s="13">
        <v>-7.2396271797890099E-2</v>
      </c>
      <c r="N319" s="19">
        <f>(F319-Settings!$D$18)/Settings!$E$18</f>
        <v>-0.26352660159064156</v>
      </c>
      <c r="O319" s="19">
        <f>(G319-Settings!$D$19)/Settings!$E$19</f>
        <v>0.99635123907068912</v>
      </c>
      <c r="P319" s="19">
        <f>(H319-Settings!$D$20)/Settings!$E$20</f>
        <v>-0.504957269866946</v>
      </c>
      <c r="Q319" s="19">
        <f>(I319-Settings!$D$21)/Settings!$E$21</f>
        <v>3.352687226062316</v>
      </c>
      <c r="R319" s="19">
        <f>(J319-Settings!$D$22)/Settings!$E$22</f>
        <v>0.34610600437303785</v>
      </c>
      <c r="S319" s="19">
        <f>(K319-Settings!$D$23)/Settings!$E$23</f>
        <v>-1.6448947410875241</v>
      </c>
      <c r="T319" s="19">
        <f>(L319-Settings!$D$24)/Settings!$E$24</f>
        <v>-2.4071286763221997E-2</v>
      </c>
      <c r="U319" s="19">
        <f>(M319-Settings!$D$25)/Settings!$E$25</f>
        <v>-1.2854593999307922E-2</v>
      </c>
      <c r="V319" s="31">
        <f>Settings!$B$18*(N319-F$6)^2</f>
        <v>6.6451429483296867E-2</v>
      </c>
      <c r="W319" s="31">
        <f>Settings!$B$19*(O319-G$6)^2</f>
        <v>0.52475320032805584</v>
      </c>
      <c r="X319" s="31">
        <f>Settings!$B$20*(P319-H$6)^2</f>
        <v>1.2725535355965674</v>
      </c>
      <c r="Y319" s="31">
        <f>Settings!$B$21*(Q319-I$6)^2</f>
        <v>2.2001828884462564</v>
      </c>
      <c r="Z319" s="31">
        <f>Settings!$B$22*(R319-J$6)^2</f>
        <v>1.1304857843843542E-2</v>
      </c>
      <c r="AA319" s="31">
        <f>Settings!$B$23*(S319-K$6)^2</f>
        <v>3.4783441594032252</v>
      </c>
      <c r="AB319" s="31">
        <f>Settings!$B$24*(T319-L$6)^2</f>
        <v>0.51976673000834339</v>
      </c>
      <c r="AC319" s="31">
        <f>Settings!$B$25*(U319-M$6)^2</f>
        <v>2.4687686114018259</v>
      </c>
      <c r="AD319" s="19">
        <f t="shared" si="16"/>
        <v>3.2468639350165902</v>
      </c>
      <c r="AE319" s="15">
        <f t="shared" si="17"/>
        <v>1.2851676097981326</v>
      </c>
      <c r="AF319" s="33">
        <f t="shared" si="18"/>
        <v>0.43787233108441564</v>
      </c>
      <c r="AG319" s="47">
        <f t="shared" si="19"/>
        <v>1.8886102959696487E-3</v>
      </c>
      <c r="AH319" s="18">
        <v>-0.4667311849761786</v>
      </c>
      <c r="AI319" s="46">
        <v>1</v>
      </c>
      <c r="AJ319" s="18">
        <v>0.16407055730749559</v>
      </c>
      <c r="AK319" s="46">
        <v>1</v>
      </c>
      <c r="AL319" s="18">
        <v>0.67158973003057842</v>
      </c>
      <c r="AM319" s="46">
        <v>1</v>
      </c>
    </row>
    <row r="320" spans="1:39" ht="20" customHeight="1" x14ac:dyDescent="0.45">
      <c r="A320" s="26">
        <v>310</v>
      </c>
      <c r="B320" s="16" t="s">
        <v>553</v>
      </c>
      <c r="C320" s="16" t="s">
        <v>216</v>
      </c>
      <c r="D320" s="46">
        <v>28</v>
      </c>
      <c r="E320" s="46">
        <v>1</v>
      </c>
      <c r="F320" s="13">
        <v>0.3761996322415902</v>
      </c>
      <c r="G320" s="13">
        <v>-0.49319141436625857</v>
      </c>
      <c r="H320" s="13">
        <v>-0.1149261372476761</v>
      </c>
      <c r="I320" s="13">
        <v>-1.443947485024883E-5</v>
      </c>
      <c r="J320" s="13">
        <v>-1.5668376669624909E-2</v>
      </c>
      <c r="K320" s="13">
        <v>15.4684375</v>
      </c>
      <c r="L320" s="13">
        <v>-0.7535026757051223</v>
      </c>
      <c r="M320" s="13">
        <v>0.20193265581298389</v>
      </c>
      <c r="N320" s="19">
        <f>(F320-Settings!$D$18)/Settings!$E$18</f>
        <v>0.65808496425994623</v>
      </c>
      <c r="O320" s="19">
        <f>(G320-Settings!$D$19)/Settings!$E$19</f>
        <v>-2.0270273057962358</v>
      </c>
      <c r="P320" s="19">
        <f>(H320-Settings!$D$20)/Settings!$E$20</f>
        <v>-1.5225955143247905</v>
      </c>
      <c r="Q320" s="19">
        <f>(I320-Settings!$D$21)/Settings!$E$21</f>
        <v>3.6031557749629149E-2</v>
      </c>
      <c r="R320" s="19">
        <f>(J320-Settings!$D$22)/Settings!$E$22</f>
        <v>-0.70903881199820218</v>
      </c>
      <c r="S320" s="19">
        <f>(K320-Settings!$D$23)/Settings!$E$23</f>
        <v>7.404844892067472E-2</v>
      </c>
      <c r="T320" s="19">
        <f>(L320-Settings!$D$24)/Settings!$E$24</f>
        <v>-1.4254147869361624</v>
      </c>
      <c r="U320" s="19">
        <f>(M320-Settings!$D$25)/Settings!$E$25</f>
        <v>0.17215589012064469</v>
      </c>
      <c r="V320" s="31">
        <f>Settings!$B$18*(N320-F$6)^2</f>
        <v>2.3831787049449941E-2</v>
      </c>
      <c r="W320" s="31">
        <f>Settings!$B$19*(O320-G$6)^2</f>
        <v>0.39400412673916629</v>
      </c>
      <c r="X320" s="31">
        <f>Settings!$B$20*(P320-H$6)^2</f>
        <v>2.5064487942324738</v>
      </c>
      <c r="Y320" s="31">
        <f>Settings!$B$21*(Q320-I$6)^2</f>
        <v>2.2887956420804682E-9</v>
      </c>
      <c r="Z320" s="31">
        <f>Settings!$B$22*(R320-J$6)^2</f>
        <v>0.13362738888303879</v>
      </c>
      <c r="AA320" s="31">
        <f>Settings!$B$23*(S320-K$6)^2</f>
        <v>2.1341924611775708E-2</v>
      </c>
      <c r="AB320" s="31">
        <f>Settings!$B$24*(T320-L$6)^2</f>
        <v>4.504123305608811</v>
      </c>
      <c r="AC320" s="31">
        <f>Settings!$B$25*(U320-M$6)^2</f>
        <v>3.0843861133562527</v>
      </c>
      <c r="AD320" s="19">
        <f t="shared" si="16"/>
        <v>3.2661542282583298</v>
      </c>
      <c r="AE320" s="15">
        <f t="shared" si="17"/>
        <v>1.29280305758836</v>
      </c>
      <c r="AF320" s="33">
        <f t="shared" si="18"/>
        <v>0.43358393801987988</v>
      </c>
      <c r="AG320" s="47">
        <f t="shared" si="19"/>
        <v>1.8701138011699221E-3</v>
      </c>
      <c r="AH320" s="18">
        <v>0.16549855074856251</v>
      </c>
      <c r="AI320" s="46">
        <v>1</v>
      </c>
      <c r="AJ320" s="18">
        <v>0.11230061230012529</v>
      </c>
      <c r="AK320" s="46">
        <v>1</v>
      </c>
      <c r="AL320" s="48"/>
      <c r="AM320" s="48"/>
    </row>
    <row r="321" spans="1:39" ht="20" customHeight="1" x14ac:dyDescent="0.45">
      <c r="A321" s="26">
        <v>311</v>
      </c>
      <c r="B321" s="16" t="s">
        <v>299</v>
      </c>
      <c r="C321" s="16" t="s">
        <v>218</v>
      </c>
      <c r="D321" s="46">
        <v>28</v>
      </c>
      <c r="E321" s="46">
        <v>0</v>
      </c>
      <c r="F321" s="13">
        <v>0.26106028283939009</v>
      </c>
      <c r="G321" s="13">
        <v>4.6351852121743996E-3</v>
      </c>
      <c r="H321" s="13">
        <v>7.9240893248180677E-2</v>
      </c>
      <c r="I321" s="13">
        <v>1.6427628080742562E-2</v>
      </c>
      <c r="J321" s="13">
        <v>0.63863601061951236</v>
      </c>
      <c r="K321" s="13">
        <v>20.330165289256222</v>
      </c>
      <c r="L321" s="13">
        <v>4.3742467755631713</v>
      </c>
      <c r="M321" s="13">
        <v>1.0338082422062369</v>
      </c>
      <c r="N321" s="19">
        <f>(F321-Settings!$D$18)/Settings!$E$18</f>
        <v>0.24600841034629464</v>
      </c>
      <c r="O321" s="19">
        <f>(G321-Settings!$D$19)/Settings!$E$19</f>
        <v>4.6981759179196017E-2</v>
      </c>
      <c r="P321" s="19">
        <f>(H321-Settings!$D$20)/Settings!$E$20</f>
        <v>0.23659511993234494</v>
      </c>
      <c r="Q321" s="19">
        <f>(I321-Settings!$D$21)/Settings!$E$21</f>
        <v>0.23822471915849233</v>
      </c>
      <c r="R321" s="19">
        <f>(J321-Settings!$D$22)/Settings!$E$22</f>
        <v>1.0513979470364601</v>
      </c>
      <c r="S321" s="19">
        <f>(K321-Settings!$D$23)/Settings!$E$23</f>
        <v>1.7624146844107476</v>
      </c>
      <c r="T321" s="19">
        <f>(L321-Settings!$D$24)/Settings!$E$24</f>
        <v>2.1196788883267859</v>
      </c>
      <c r="U321" s="19">
        <f>(M321-Settings!$D$25)/Settings!$E$25</f>
        <v>0.73318205060086594</v>
      </c>
      <c r="V321" s="31">
        <f>Settings!$B$18*(N321-F$6)^2</f>
        <v>8.9465374614077745E-4</v>
      </c>
      <c r="W321" s="31">
        <f>Settings!$B$19*(O321-G$6)^2</f>
        <v>8.9896572197250044E-2</v>
      </c>
      <c r="X321" s="31">
        <f>Settings!$B$20*(P321-H$6)^2</f>
        <v>0.63432119063427694</v>
      </c>
      <c r="Y321" s="31">
        <f>Settings!$B$21*(Q321-I$6)^2</f>
        <v>8.185069162107218E-3</v>
      </c>
      <c r="Z321" s="31">
        <f>Settings!$B$22*(R321-J$6)^2</f>
        <v>0.1778650076749943</v>
      </c>
      <c r="AA321" s="31">
        <f>Settings!$B$23*(S321-K$6)^2</f>
        <v>2.3786198239307157</v>
      </c>
      <c r="AB321" s="31">
        <f>Settings!$B$24*(T321-L$6)^2</f>
        <v>2.0243646256713137</v>
      </c>
      <c r="AC321" s="31">
        <f>Settings!$B$25*(U321-M$6)^2</f>
        <v>5.3697319265377663</v>
      </c>
      <c r="AD321" s="19">
        <f t="shared" si="16"/>
        <v>3.2686203312031461</v>
      </c>
      <c r="AE321" s="15">
        <f t="shared" si="17"/>
        <v>1.2937791858433585</v>
      </c>
      <c r="AF321" s="33">
        <f t="shared" si="18"/>
        <v>0.43303691920532722</v>
      </c>
      <c r="AG321" s="47">
        <f t="shared" si="19"/>
        <v>1.8677544254069121E-3</v>
      </c>
      <c r="AH321" s="18">
        <v>-0.25543035955309801</v>
      </c>
      <c r="AI321" s="46">
        <v>0</v>
      </c>
      <c r="AJ321" s="18">
        <v>-1.356779033340447</v>
      </c>
      <c r="AK321" s="46">
        <v>0</v>
      </c>
      <c r="AL321" s="18">
        <v>-0.5341061355147172</v>
      </c>
      <c r="AM321" s="46">
        <v>0</v>
      </c>
    </row>
    <row r="322" spans="1:39" ht="20" customHeight="1" x14ac:dyDescent="0.45">
      <c r="A322" s="26">
        <v>312</v>
      </c>
      <c r="B322" s="16" t="s">
        <v>481</v>
      </c>
      <c r="C322" s="16" t="s">
        <v>229</v>
      </c>
      <c r="D322" s="46">
        <v>28</v>
      </c>
      <c r="E322" s="46">
        <v>1</v>
      </c>
      <c r="F322" s="13">
        <v>-0.44369773678627128</v>
      </c>
      <c r="G322" s="13">
        <v>-0.29502545844000438</v>
      </c>
      <c r="H322" s="13">
        <v>0.1001396692053635</v>
      </c>
      <c r="I322" s="13">
        <v>-1.7538424108121099E-2</v>
      </c>
      <c r="J322" s="13">
        <v>0.14359871146023959</v>
      </c>
      <c r="K322" s="13">
        <v>13.55992063492064</v>
      </c>
      <c r="L322" s="13">
        <v>-0.30527727603341892</v>
      </c>
      <c r="M322" s="13">
        <v>0.84416264015514175</v>
      </c>
      <c r="N322" s="19">
        <f>(F322-Settings!$D$18)/Settings!$E$18</f>
        <v>-2.2762766084433186</v>
      </c>
      <c r="O322" s="19">
        <f>(G322-Settings!$D$19)/Settings!$E$19</f>
        <v>-1.2014426759098209</v>
      </c>
      <c r="P322" s="19">
        <f>(H322-Settings!$D$20)/Settings!$E$20</f>
        <v>0.42594204890079684</v>
      </c>
      <c r="Q322" s="19">
        <f>(I322-Settings!$D$21)/Settings!$E$21</f>
        <v>-0.17946627070176491</v>
      </c>
      <c r="R322" s="19">
        <f>(J322-Settings!$D$22)/Settings!$E$22</f>
        <v>-0.28052321299714167</v>
      </c>
      <c r="S322" s="19">
        <f>(K322-Settings!$D$23)/Settings!$E$23</f>
        <v>-0.58873556008619699</v>
      </c>
      <c r="T322" s="19">
        <f>(L322-Settings!$D$24)/Settings!$E$24</f>
        <v>-1.1155320509387276</v>
      </c>
      <c r="U322" s="19">
        <f>(M322-Settings!$D$25)/Settings!$E$25</f>
        <v>0.6052829443991975</v>
      </c>
      <c r="V322" s="31">
        <f>Settings!$B$18*(N322-F$6)^2</f>
        <v>1.3407576874861216</v>
      </c>
      <c r="W322" s="31">
        <f>Settings!$B$19*(O322-G$6)^2</f>
        <v>6.6814396768345524E-2</v>
      </c>
      <c r="X322" s="31">
        <f>Settings!$B$20*(P322-H$6)^2</f>
        <v>0.50660843990766258</v>
      </c>
      <c r="Y322" s="31">
        <f>Settings!$B$21*(Q322-I$6)^2</f>
        <v>9.2786438181883101E-3</v>
      </c>
      <c r="Z322" s="31">
        <f>Settings!$B$22*(R322-J$6)^2</f>
        <v>3.0245662107456214E-2</v>
      </c>
      <c r="AA322" s="31">
        <f>Settings!$B$23*(S322-K$6)^2</f>
        <v>0.65427514987101876</v>
      </c>
      <c r="AB322" s="31">
        <f>Settings!$B$24*(T322-L$6)^2</f>
        <v>3.2848273166251563</v>
      </c>
      <c r="AC322" s="31">
        <f>Settings!$B$25*(U322-M$6)^2</f>
        <v>4.7933370438134295</v>
      </c>
      <c r="AD322" s="19">
        <f t="shared" si="16"/>
        <v>3.2689668613183249</v>
      </c>
      <c r="AE322" s="15">
        <f t="shared" si="17"/>
        <v>1.293916348745396</v>
      </c>
      <c r="AF322" s="33">
        <f t="shared" si="18"/>
        <v>0.43296007586516516</v>
      </c>
      <c r="AG322" s="47">
        <f t="shared" si="19"/>
        <v>1.867422988334724E-3</v>
      </c>
      <c r="AH322" s="18">
        <v>-4.116630920226505E-2</v>
      </c>
      <c r="AI322" s="46">
        <v>1</v>
      </c>
      <c r="AJ322" s="18">
        <v>7.2582526997038987E-2</v>
      </c>
      <c r="AK322" s="46">
        <v>1</v>
      </c>
      <c r="AL322" s="18">
        <v>0.18998726911744651</v>
      </c>
      <c r="AM322" s="46">
        <v>1</v>
      </c>
    </row>
    <row r="323" spans="1:39" ht="20" customHeight="1" x14ac:dyDescent="0.45">
      <c r="A323" s="26">
        <v>313</v>
      </c>
      <c r="B323" s="16" t="s">
        <v>385</v>
      </c>
      <c r="C323" s="16" t="s">
        <v>216</v>
      </c>
      <c r="D323" s="46">
        <v>28</v>
      </c>
      <c r="E323" s="46">
        <v>1</v>
      </c>
      <c r="F323" s="13">
        <v>-5.0435073676642322E-2</v>
      </c>
      <c r="G323" s="13">
        <v>-0.26382730039212082</v>
      </c>
      <c r="H323" s="13">
        <v>7.3294974171187022E-2</v>
      </c>
      <c r="I323" s="13">
        <v>-1.2843448962781699E-4</v>
      </c>
      <c r="J323" s="13">
        <v>0.61231421727042201</v>
      </c>
      <c r="K323" s="13">
        <v>13.42256944444444</v>
      </c>
      <c r="L323" s="13">
        <v>0.5477590042181798</v>
      </c>
      <c r="M323" s="13">
        <v>1.6394294606172271</v>
      </c>
      <c r="N323" s="19">
        <f>(F323-Settings!$D$18)/Settings!$E$18</f>
        <v>-0.86881405251867461</v>
      </c>
      <c r="O323" s="19">
        <f>(G323-Settings!$D$19)/Settings!$E$19</f>
        <v>-1.0714671730808436</v>
      </c>
      <c r="P323" s="19">
        <f>(H323-Settings!$D$20)/Settings!$E$20</f>
        <v>0.18272394970542388</v>
      </c>
      <c r="Q323" s="19">
        <f>(I323-Settings!$D$21)/Settings!$E$21</f>
        <v>3.4629725994298206E-2</v>
      </c>
      <c r="R323" s="19">
        <f>(J323-Settings!$D$22)/Settings!$E$22</f>
        <v>0.98057792278530664</v>
      </c>
      <c r="S323" s="19">
        <f>(K323-Settings!$D$23)/Settings!$E$23</f>
        <v>-0.63643446929227177</v>
      </c>
      <c r="T323" s="19">
        <f>(L323-Settings!$D$24)/Settings!$E$24</f>
        <v>-0.52578141069599971</v>
      </c>
      <c r="U323" s="19">
        <f>(M323-Settings!$D$25)/Settings!$E$25</f>
        <v>1.1416197454052091</v>
      </c>
      <c r="V323" s="31">
        <f>Settings!$B$18*(N323-F$6)^2</f>
        <v>0.27928532358498431</v>
      </c>
      <c r="W323" s="31">
        <f>Settings!$B$19*(O323-G$6)^2</f>
        <v>4.0143327203649444E-2</v>
      </c>
      <c r="X323" s="31">
        <f>Settings!$B$20*(P323-H$6)^2</f>
        <v>0.67327728496950079</v>
      </c>
      <c r="Y323" s="31">
        <f>Settings!$B$21*(Q323-I$6)^2</f>
        <v>3.35330010333434E-7</v>
      </c>
      <c r="Z323" s="31">
        <f>Settings!$B$22*(R323-J$6)^2</f>
        <v>0.15215364761078798</v>
      </c>
      <c r="AA323" s="31">
        <f>Settings!$B$23*(S323-K$6)^2</f>
        <v>0.7337150329592983</v>
      </c>
      <c r="AB323" s="31">
        <f>Settings!$B$24*(T323-L$6)^2</f>
        <v>1.4948940943220643</v>
      </c>
      <c r="AC323" s="31">
        <f>Settings!$B$25*(U323-M$6)^2</f>
        <v>7.4294726435637024</v>
      </c>
      <c r="AD323" s="19">
        <f t="shared" si="16"/>
        <v>3.2867828783696678</v>
      </c>
      <c r="AE323" s="15">
        <f t="shared" si="17"/>
        <v>1.3009682512914384</v>
      </c>
      <c r="AF323" s="33">
        <f t="shared" si="18"/>
        <v>0.42901680195098535</v>
      </c>
      <c r="AG323" s="47">
        <f t="shared" si="19"/>
        <v>1.8504150451844801E-3</v>
      </c>
      <c r="AH323" s="18">
        <v>-0.43447720236646592</v>
      </c>
      <c r="AI323" s="46">
        <v>1</v>
      </c>
      <c r="AJ323" s="18">
        <v>-1.36105355733615</v>
      </c>
      <c r="AK323" s="46">
        <v>1</v>
      </c>
      <c r="AL323" s="48"/>
      <c r="AM323" s="48"/>
    </row>
    <row r="324" spans="1:39" ht="20" customHeight="1" x14ac:dyDescent="0.45">
      <c r="A324" s="26">
        <v>314</v>
      </c>
      <c r="B324" s="16" t="s">
        <v>584</v>
      </c>
      <c r="C324" s="16" t="s">
        <v>220</v>
      </c>
      <c r="D324" s="46">
        <v>28</v>
      </c>
      <c r="E324" s="46">
        <v>1</v>
      </c>
      <c r="F324" s="13">
        <v>0.18204122162008871</v>
      </c>
      <c r="G324" s="13">
        <v>-0.21255629617307101</v>
      </c>
      <c r="H324" s="13">
        <v>1.57071929312371E-2</v>
      </c>
      <c r="I324" s="13">
        <v>-0.20687019760921879</v>
      </c>
      <c r="J324" s="13">
        <v>-0.38282509166638429</v>
      </c>
      <c r="K324" s="13">
        <v>15.58084577114426</v>
      </c>
      <c r="L324" s="13">
        <v>-0.71544669483395928</v>
      </c>
      <c r="M324" s="13">
        <v>0.30801288912665098</v>
      </c>
      <c r="N324" s="19">
        <f>(F324-Settings!$D$18)/Settings!$E$18</f>
        <v>-3.6795883839854202E-2</v>
      </c>
      <c r="O324" s="19">
        <f>(G324-Settings!$D$19)/Settings!$E$19</f>
        <v>-0.8578656346922755</v>
      </c>
      <c r="P324" s="19">
        <f>(H324-Settings!$D$20)/Settings!$E$20</f>
        <v>-0.33903242235347941</v>
      </c>
      <c r="Q324" s="19">
        <f>(I324-Settings!$D$21)/Settings!$E$21</f>
        <v>-2.5077373175089042</v>
      </c>
      <c r="R324" s="19">
        <f>(J324-Settings!$D$22)/Settings!$E$22</f>
        <v>-1.6968912396498654</v>
      </c>
      <c r="S324" s="19">
        <f>(K324-Settings!$D$23)/Settings!$E$23</f>
        <v>0.11308525596058826</v>
      </c>
      <c r="T324" s="19">
        <f>(L324-Settings!$D$24)/Settings!$E$24</f>
        <v>-1.3991046057593268</v>
      </c>
      <c r="U324" s="19">
        <f>(M324-Settings!$D$25)/Settings!$E$25</f>
        <v>0.2436975809362695</v>
      </c>
      <c r="V324" s="31">
        <f>Settings!$B$18*(N324-F$6)^2</f>
        <v>2.4456170726640525E-2</v>
      </c>
      <c r="W324" s="31">
        <f>Settings!$B$19*(O324-G$6)^2</f>
        <v>1.0989850040500059E-2</v>
      </c>
      <c r="X324" s="31">
        <f>Settings!$B$20*(P324-H$6)^2</f>
        <v>1.1106447140444222</v>
      </c>
      <c r="Y324" s="31">
        <f>Settings!$B$21*(Q324-I$6)^2</f>
        <v>1.2940431710075102</v>
      </c>
      <c r="Z324" s="31">
        <f>Settings!$B$22*(R324-J$6)^2</f>
        <v>0.65178469672667561</v>
      </c>
      <c r="AA324" s="31">
        <f>Settings!$B$23*(S324-K$6)^2</f>
        <v>1.1460119763071369E-2</v>
      </c>
      <c r="AB324" s="31">
        <f>Settings!$B$24*(T324-L$6)^2</f>
        <v>4.3931397575249154</v>
      </c>
      <c r="AC324" s="31">
        <f>Settings!$B$25*(U324-M$6)^2</f>
        <v>3.3407933773464635</v>
      </c>
      <c r="AD324" s="19">
        <f t="shared" si="16"/>
        <v>3.2920072687009969</v>
      </c>
      <c r="AE324" s="15">
        <f t="shared" si="17"/>
        <v>1.3030361597006439</v>
      </c>
      <c r="AF324" s="33">
        <f t="shared" si="18"/>
        <v>0.42786326157644783</v>
      </c>
      <c r="AG324" s="47">
        <f t="shared" si="19"/>
        <v>1.8454396492219793E-3</v>
      </c>
      <c r="AH324" s="18">
        <v>0.42889098538323528</v>
      </c>
      <c r="AI324" s="46">
        <v>1</v>
      </c>
      <c r="AJ324" s="18">
        <v>-0.38217234091796187</v>
      </c>
      <c r="AK324" s="46">
        <v>1</v>
      </c>
      <c r="AL324" s="18">
        <v>-1.046738280150568</v>
      </c>
      <c r="AM324" s="46">
        <v>1</v>
      </c>
    </row>
    <row r="325" spans="1:39" ht="20" customHeight="1" x14ac:dyDescent="0.45">
      <c r="A325" s="26">
        <v>315</v>
      </c>
      <c r="B325" s="16" t="s">
        <v>527</v>
      </c>
      <c r="C325" s="16" t="s">
        <v>271</v>
      </c>
      <c r="D325" s="46">
        <v>28</v>
      </c>
      <c r="E325" s="46">
        <v>0</v>
      </c>
      <c r="F325" s="13">
        <v>-0.4747844806328661</v>
      </c>
      <c r="G325" s="13">
        <v>0.14613942413452879</v>
      </c>
      <c r="H325" s="13">
        <v>-6.5021401337231886E-4</v>
      </c>
      <c r="I325" s="13">
        <v>-3.7276035089584318E-2</v>
      </c>
      <c r="J325" s="13">
        <v>0.34114984612964849</v>
      </c>
      <c r="K325" s="13">
        <v>12.15433333333333</v>
      </c>
      <c r="L325" s="13">
        <v>-0.1031621904241581</v>
      </c>
      <c r="M325" s="13">
        <v>0.30840768828769988</v>
      </c>
      <c r="N325" s="19">
        <f>(F325-Settings!$D$18)/Settings!$E$18</f>
        <v>-2.3875341267740282</v>
      </c>
      <c r="O325" s="19">
        <f>(G325-Settings!$D$19)/Settings!$E$19</f>
        <v>0.63650645413510332</v>
      </c>
      <c r="P325" s="19">
        <f>(H325-Settings!$D$20)/Settings!$E$20</f>
        <v>-0.487233674771065</v>
      </c>
      <c r="Q325" s="19">
        <f>(I325-Settings!$D$21)/Settings!$E$21</f>
        <v>-0.42218574314687474</v>
      </c>
      <c r="R325" s="19">
        <f>(J325-Settings!$D$22)/Settings!$E$22</f>
        <v>0.25099741565386552</v>
      </c>
      <c r="S325" s="19">
        <f>(K325-Settings!$D$23)/Settings!$E$23</f>
        <v>-1.0768636996907954</v>
      </c>
      <c r="T325" s="19">
        <f>(L325-Settings!$D$24)/Settings!$E$24</f>
        <v>-0.97579883688877134</v>
      </c>
      <c r="U325" s="19">
        <f>(M325-Settings!$D$25)/Settings!$E$25</f>
        <v>0.2439638378875576</v>
      </c>
      <c r="V325" s="31">
        <f>Settings!$B$18*(N325-F$6)^2</f>
        <v>1.4584590756112148</v>
      </c>
      <c r="W325" s="31">
        <f>Settings!$B$19*(O325-G$6)^2</f>
        <v>0.31749960079609241</v>
      </c>
      <c r="X325" s="31">
        <f>Settings!$B$20*(P325-H$6)^2</f>
        <v>1.2547335885636377</v>
      </c>
      <c r="Y325" s="31">
        <f>Settings!$B$21*(Q325-I$6)^2</f>
        <v>4.1973013858031503E-2</v>
      </c>
      <c r="Z325" s="31">
        <f>Settings!$B$22*(R325-J$6)^2</f>
        <v>4.0692216545419203E-3</v>
      </c>
      <c r="AA325" s="31">
        <f>Settings!$B$23*(S325-K$6)^2</f>
        <v>1.6822113464044806</v>
      </c>
      <c r="AB325" s="31">
        <f>Settings!$B$24*(T325-L$6)^2</f>
        <v>2.797845146288735</v>
      </c>
      <c r="AC325" s="31">
        <f>Settings!$B$25*(U325-M$6)^2</f>
        <v>3.3417667684883492</v>
      </c>
      <c r="AD325" s="19">
        <f t="shared" si="16"/>
        <v>3.301296375920387</v>
      </c>
      <c r="AE325" s="15">
        <f t="shared" si="17"/>
        <v>1.3067129567458029</v>
      </c>
      <c r="AF325" s="33">
        <f t="shared" si="18"/>
        <v>0.42581539331403478</v>
      </c>
      <c r="AG325" s="47">
        <f t="shared" si="19"/>
        <v>1.8366068803744836E-3</v>
      </c>
      <c r="AH325" s="18">
        <v>-0.1239660759096861</v>
      </c>
      <c r="AI325" s="46">
        <v>1</v>
      </c>
      <c r="AJ325" s="48"/>
      <c r="AK325" s="48"/>
      <c r="AL325" s="48"/>
      <c r="AM325" s="48"/>
    </row>
    <row r="326" spans="1:39" ht="20" customHeight="1" x14ac:dyDescent="0.45">
      <c r="A326" s="26">
        <v>316</v>
      </c>
      <c r="B326" s="16" t="s">
        <v>654</v>
      </c>
      <c r="C326" s="16" t="s">
        <v>260</v>
      </c>
      <c r="D326" s="46">
        <v>28</v>
      </c>
      <c r="E326" s="46">
        <v>1</v>
      </c>
      <c r="F326" s="13">
        <v>2.7926024819649901E-2</v>
      </c>
      <c r="G326" s="13">
        <v>0.53651637942638952</v>
      </c>
      <c r="H326" s="13">
        <v>-1.3635866201389801E-3</v>
      </c>
      <c r="I326" s="13">
        <v>-0.14801687079997999</v>
      </c>
      <c r="J326" s="13">
        <v>0.28617713833384151</v>
      </c>
      <c r="K326" s="13">
        <v>14.19108187134503</v>
      </c>
      <c r="L326" s="13">
        <v>0.8902053333941996</v>
      </c>
      <c r="M326" s="13">
        <v>1.209047455883711</v>
      </c>
      <c r="N326" s="19">
        <f>(F326-Settings!$D$18)/Settings!$E$18</f>
        <v>-0.58836456590186637</v>
      </c>
      <c r="O326" s="19">
        <f>(G326-Settings!$D$19)/Settings!$E$19</f>
        <v>2.2628666058796019</v>
      </c>
      <c r="P326" s="19">
        <f>(H326-Settings!$D$20)/Settings!$E$20</f>
        <v>-0.49369696776861788</v>
      </c>
      <c r="Q326" s="19">
        <f>(I326-Settings!$D$21)/Settings!$E$21</f>
        <v>-1.7839998576818845</v>
      </c>
      <c r="R326" s="19">
        <f>(J326-Settings!$D$22)/Settings!$E$22</f>
        <v>0.10309075718201177</v>
      </c>
      <c r="S326" s="19">
        <f>(K326-Settings!$D$23)/Settings!$E$23</f>
        <v>-0.36954778016071205</v>
      </c>
      <c r="T326" s="19">
        <f>(L326-Settings!$D$24)/Settings!$E$24</f>
        <v>-0.28902953207629634</v>
      </c>
      <c r="U326" s="19">
        <f>(M326-Settings!$D$25)/Settings!$E$25</f>
        <v>0.85136532803217457</v>
      </c>
      <c r="V326" s="31">
        <f>Settings!$B$18*(N326-F$6)^2</f>
        <v>0.16245228648986001</v>
      </c>
      <c r="W326" s="31">
        <f>Settings!$B$19*(O326-G$6)^2</f>
        <v>1.6661682549711323</v>
      </c>
      <c r="X326" s="31">
        <f>Settings!$B$20*(P326-H$6)^2</f>
        <v>1.2612174626565082</v>
      </c>
      <c r="Y326" s="31">
        <f>Settings!$B$21*(Q326-I$6)^2</f>
        <v>0.66242499266138277</v>
      </c>
      <c r="Z326" s="31">
        <f>Settings!$B$22*(R326-J$6)^2</f>
        <v>5.5479911756334103E-6</v>
      </c>
      <c r="AA326" s="31">
        <f>Settings!$B$23*(S326-K$6)^2</f>
        <v>0.34772838155837676</v>
      </c>
      <c r="AB326" s="31">
        <f>Settings!$B$24*(T326-L$6)^2</f>
        <v>0.97201209726564752</v>
      </c>
      <c r="AC326" s="31">
        <f>Settings!$B$25*(U326-M$6)^2</f>
        <v>5.9314239155350217</v>
      </c>
      <c r="AD326" s="19">
        <f t="shared" si="16"/>
        <v>3.3171422850292549</v>
      </c>
      <c r="AE326" s="15">
        <f t="shared" si="17"/>
        <v>1.3129850548509605</v>
      </c>
      <c r="AF326" s="33">
        <f t="shared" si="18"/>
        <v>0.42233143714459515</v>
      </c>
      <c r="AG326" s="47">
        <f t="shared" si="19"/>
        <v>1.8215800448673956E-3</v>
      </c>
      <c r="AH326" s="18">
        <v>0.73154537358260152</v>
      </c>
      <c r="AI326" s="46">
        <v>1</v>
      </c>
      <c r="AJ326" s="48"/>
      <c r="AK326" s="48"/>
      <c r="AL326" s="48"/>
      <c r="AM326" s="48"/>
    </row>
    <row r="327" spans="1:39" ht="20" customHeight="1" x14ac:dyDescent="0.45">
      <c r="A327" s="26">
        <v>317</v>
      </c>
      <c r="B327" s="16" t="s">
        <v>460</v>
      </c>
      <c r="C327" s="16" t="s">
        <v>232</v>
      </c>
      <c r="D327" s="46">
        <v>28</v>
      </c>
      <c r="E327" s="46">
        <v>0</v>
      </c>
      <c r="F327" s="13">
        <v>0.1290661730540508</v>
      </c>
      <c r="G327" s="13">
        <v>-0.59821788242939444</v>
      </c>
      <c r="H327" s="13">
        <v>6.8502933645282441E-2</v>
      </c>
      <c r="I327" s="13">
        <v>-1.083786319940314E-5</v>
      </c>
      <c r="J327" s="13">
        <v>0.204202173008073</v>
      </c>
      <c r="K327" s="13">
        <v>13.607542579075419</v>
      </c>
      <c r="L327" s="13">
        <v>-0.40937970584327199</v>
      </c>
      <c r="M327" s="13">
        <v>1.0369809277095019</v>
      </c>
      <c r="N327" s="19">
        <f>(F327-Settings!$D$18)/Settings!$E$18</f>
        <v>-0.22639028028069516</v>
      </c>
      <c r="O327" s="19">
        <f>(G327-Settings!$D$19)/Settings!$E$19</f>
        <v>-2.4645809580312803</v>
      </c>
      <c r="P327" s="19">
        <f>(H327-Settings!$D$20)/Settings!$E$20</f>
        <v>0.13930714104010383</v>
      </c>
      <c r="Q327" s="19">
        <f>(I327-Settings!$D$21)/Settings!$E$21</f>
        <v>3.6075847875757711E-2</v>
      </c>
      <c r="R327" s="19">
        <f>(J327-Settings!$D$22)/Settings!$E$22</f>
        <v>-0.11746674645628086</v>
      </c>
      <c r="S327" s="19">
        <f>(K327-Settings!$D$23)/Settings!$E$23</f>
        <v>-0.57219755424452834</v>
      </c>
      <c r="T327" s="19">
        <f>(L327-Settings!$D$24)/Settings!$E$24</f>
        <v>-1.1875037549008107</v>
      </c>
      <c r="U327" s="19">
        <f>(M327-Settings!$D$25)/Settings!$E$25</f>
        <v>0.73532174504006131</v>
      </c>
      <c r="V327" s="31">
        <f>Settings!$B$18*(N327-F$6)^2</f>
        <v>5.8164840390985378E-2</v>
      </c>
      <c r="W327" s="31">
        <f>Settings!$B$19*(O327-G$6)^2</f>
        <v>0.67795037957258286</v>
      </c>
      <c r="X327" s="31">
        <f>Settings!$B$20*(P327-H$6)^2</f>
        <v>0.70551825793529832</v>
      </c>
      <c r="Y327" s="31">
        <f>Settings!$B$21*(Q327-I$6)^2</f>
        <v>4.5763203190120874E-9</v>
      </c>
      <c r="Z327" s="31">
        <f>Settings!$B$22*(R327-J$6)^2</f>
        <v>1.0199329856947294E-2</v>
      </c>
      <c r="AA327" s="31">
        <f>Settings!$B$23*(S327-K$6)^2</f>
        <v>0.62779437048455822</v>
      </c>
      <c r="AB327" s="31">
        <f>Settings!$B$24*(T327-L$6)^2</f>
        <v>3.5508916078723702</v>
      </c>
      <c r="AC327" s="31">
        <f>Settings!$B$25*(U327-M$6)^2</f>
        <v>5.379652996607982</v>
      </c>
      <c r="AD327" s="19">
        <f t="shared" si="16"/>
        <v>3.3181578906521381</v>
      </c>
      <c r="AE327" s="15">
        <f t="shared" si="17"/>
        <v>1.3133870499690132</v>
      </c>
      <c r="AF327" s="33">
        <f t="shared" si="18"/>
        <v>0.42210854958723609</v>
      </c>
      <c r="AG327" s="47">
        <f t="shared" si="19"/>
        <v>1.8206186967625055E-3</v>
      </c>
      <c r="AH327" s="18">
        <v>0.82283793749631118</v>
      </c>
      <c r="AI327" s="46">
        <v>0</v>
      </c>
      <c r="AJ327" s="18">
        <v>0.1106567325436713</v>
      </c>
      <c r="AK327" s="46">
        <v>0</v>
      </c>
      <c r="AL327" s="48"/>
      <c r="AM327" s="48"/>
    </row>
    <row r="328" spans="1:39" ht="20" customHeight="1" x14ac:dyDescent="0.45">
      <c r="A328" s="26">
        <v>318</v>
      </c>
      <c r="B328" s="16" t="s">
        <v>371</v>
      </c>
      <c r="C328" s="16" t="s">
        <v>246</v>
      </c>
      <c r="D328" s="46">
        <v>28</v>
      </c>
      <c r="E328" s="46">
        <v>1</v>
      </c>
      <c r="F328" s="13">
        <v>0.41785692153614729</v>
      </c>
      <c r="G328" s="13">
        <v>-4.4328107052242979E-2</v>
      </c>
      <c r="H328" s="13">
        <v>0.11225154920975999</v>
      </c>
      <c r="I328" s="13">
        <v>2.0752311278369261E-4</v>
      </c>
      <c r="J328" s="13">
        <v>0.42535589908906613</v>
      </c>
      <c r="K328" s="13">
        <v>19.352947154471529</v>
      </c>
      <c r="L328" s="13">
        <v>5.6552081922337596</v>
      </c>
      <c r="M328" s="13">
        <v>0.44062120650680031</v>
      </c>
      <c r="N328" s="19">
        <f>(F328-Settings!$D$18)/Settings!$E$18</f>
        <v>0.80717380579857245</v>
      </c>
      <c r="O328" s="19">
        <f>(G328-Settings!$D$19)/Settings!$E$19</f>
        <v>-0.15700555707396804</v>
      </c>
      <c r="P328" s="19">
        <f>(H328-Settings!$D$20)/Settings!$E$20</f>
        <v>0.53567801083299127</v>
      </c>
      <c r="Q328" s="19">
        <f>(I328-Settings!$D$21)/Settings!$E$21</f>
        <v>3.8761099953275716E-2</v>
      </c>
      <c r="R328" s="19">
        <f>(J328-Settings!$D$22)/Settings!$E$22</f>
        <v>0.47755776561140184</v>
      </c>
      <c r="S328" s="19">
        <f>(K328-Settings!$D$23)/Settings!$E$23</f>
        <v>1.4230493034190086</v>
      </c>
      <c r="T328" s="19">
        <f>(L328-Settings!$D$24)/Settings!$E$24</f>
        <v>3.0052775821887816</v>
      </c>
      <c r="U328" s="19">
        <f>(M328-Settings!$D$25)/Settings!$E$25</f>
        <v>0.33313010710293856</v>
      </c>
      <c r="V328" s="31">
        <f>Settings!$B$18*(N328-F$6)^2</f>
        <v>4.8863116258999431E-2</v>
      </c>
      <c r="W328" s="31">
        <f>Settings!$B$19*(O328-G$6)^2</f>
        <v>4.3514656575645828E-2</v>
      </c>
      <c r="X328" s="31">
        <f>Settings!$B$20*(P328-H$6)^2</f>
        <v>0.43915657920153983</v>
      </c>
      <c r="Y328" s="31">
        <f>Settings!$B$21*(Q328-I$6)^2</f>
        <v>1.6091677065359948E-6</v>
      </c>
      <c r="Z328" s="31">
        <f>Settings!$B$22*(R328-J$6)^2</f>
        <v>2.7261747934603221E-2</v>
      </c>
      <c r="AA328" s="31">
        <f>Settings!$B$23*(S328-K$6)^2</f>
        <v>1.4469975168606592</v>
      </c>
      <c r="AB328" s="31">
        <f>Settings!$B$24*(T328-L$6)^2</f>
        <v>5.3287122942565102</v>
      </c>
      <c r="AC328" s="31">
        <f>Settings!$B$25*(U328-M$6)^2</f>
        <v>3.6757181872735174</v>
      </c>
      <c r="AD328" s="19">
        <f t="shared" si="16"/>
        <v>3.3181660156672663</v>
      </c>
      <c r="AE328" s="15">
        <f t="shared" si="17"/>
        <v>1.3133902659973042</v>
      </c>
      <c r="AF328" s="33">
        <f t="shared" si="18"/>
        <v>0.42210676664877533</v>
      </c>
      <c r="AG328" s="47">
        <f t="shared" si="19"/>
        <v>1.820611006676389E-3</v>
      </c>
      <c r="AH328" s="18">
        <v>-1.343056941469271</v>
      </c>
      <c r="AI328" s="46">
        <v>1</v>
      </c>
      <c r="AJ328" s="48"/>
      <c r="AK328" s="48"/>
      <c r="AL328" s="48"/>
      <c r="AM328" s="48"/>
    </row>
    <row r="329" spans="1:39" ht="20" customHeight="1" x14ac:dyDescent="0.45">
      <c r="A329" s="26">
        <v>319</v>
      </c>
      <c r="B329" s="16" t="s">
        <v>672</v>
      </c>
      <c r="C329" s="16" t="s">
        <v>234</v>
      </c>
      <c r="D329" s="46">
        <v>28</v>
      </c>
      <c r="E329" s="46">
        <v>1</v>
      </c>
      <c r="F329" s="13">
        <v>-0.3410515240411448</v>
      </c>
      <c r="G329" s="13">
        <v>-0.16123203687142221</v>
      </c>
      <c r="H329" s="13">
        <v>1.347572475884977E-3</v>
      </c>
      <c r="I329" s="13">
        <v>-0.1049980862321102</v>
      </c>
      <c r="J329" s="13">
        <v>0.3913707803794379</v>
      </c>
      <c r="K329" s="13">
        <v>11.828385416666659</v>
      </c>
      <c r="L329" s="13">
        <v>-0.19623392715617</v>
      </c>
      <c r="M329" s="13">
        <v>0.35480695776274751</v>
      </c>
      <c r="N329" s="19">
        <f>(F329-Settings!$D$18)/Settings!$E$18</f>
        <v>-1.9089122118238342</v>
      </c>
      <c r="O329" s="19">
        <f>(G329-Settings!$D$19)/Settings!$E$19</f>
        <v>-0.64404222884190487</v>
      </c>
      <c r="P329" s="19">
        <f>(H329-Settings!$D$20)/Settings!$E$20</f>
        <v>-0.46913334500770765</v>
      </c>
      <c r="Q329" s="19">
        <f>(I329-Settings!$D$21)/Settings!$E$21</f>
        <v>-1.2549846336332684</v>
      </c>
      <c r="R329" s="19">
        <f>(J329-Settings!$D$22)/Settings!$E$22</f>
        <v>0.38611920368388125</v>
      </c>
      <c r="S329" s="19">
        <f>(K329-Settings!$D$23)/Settings!$E$23</f>
        <v>-1.1900579139461622</v>
      </c>
      <c r="T329" s="19">
        <f>(L329-Settings!$D$24)/Settings!$E$24</f>
        <v>-1.0401444193650726</v>
      </c>
      <c r="U329" s="19">
        <f>(M329-Settings!$D$25)/Settings!$E$25</f>
        <v>0.27525602199352006</v>
      </c>
      <c r="V329" s="31">
        <f>Settings!$B$18*(N329-F$6)^2</f>
        <v>0.98728182223506566</v>
      </c>
      <c r="W329" s="31">
        <f>Settings!$B$19*(O329-G$6)^2</f>
        <v>8.4782687390158658E-5</v>
      </c>
      <c r="X329" s="31">
        <f>Settings!$B$20*(P329-H$6)^2</f>
        <v>1.2366645437666388</v>
      </c>
      <c r="Y329" s="31">
        <f>Settings!$B$21*(Q329-I$6)^2</f>
        <v>0.33328932019784668</v>
      </c>
      <c r="Z329" s="31">
        <f>Settings!$B$22*(R329-J$6)^2</f>
        <v>1.5430298293484213E-2</v>
      </c>
      <c r="AA329" s="31">
        <f>Settings!$B$23*(S329-K$6)^2</f>
        <v>1.9886502731035289</v>
      </c>
      <c r="AB329" s="31">
        <f>Settings!$B$24*(T329-L$6)^2</f>
        <v>3.0172441288911931</v>
      </c>
      <c r="AC329" s="31">
        <f>Settings!$B$25*(U329-M$6)^2</f>
        <v>3.4571533230020761</v>
      </c>
      <c r="AD329" s="19">
        <f t="shared" si="16"/>
        <v>3.3220172323721058</v>
      </c>
      <c r="AE329" s="15">
        <f t="shared" si="17"/>
        <v>1.3149146473900675</v>
      </c>
      <c r="AF329" s="33">
        <f t="shared" si="18"/>
        <v>0.42126201942605329</v>
      </c>
      <c r="AG329" s="47">
        <f t="shared" si="19"/>
        <v>1.8169674827789701E-3</v>
      </c>
      <c r="AH329" s="48"/>
      <c r="AI329" s="48"/>
      <c r="AJ329" s="48"/>
      <c r="AK329" s="48"/>
      <c r="AL329" s="48"/>
      <c r="AM329" s="48"/>
    </row>
    <row r="330" spans="1:39" ht="20" customHeight="1" x14ac:dyDescent="0.45">
      <c r="A330" s="26">
        <v>320</v>
      </c>
      <c r="B330" s="16" t="s">
        <v>416</v>
      </c>
      <c r="C330" s="16" t="s">
        <v>210</v>
      </c>
      <c r="D330" s="46">
        <v>28</v>
      </c>
      <c r="E330" s="46">
        <v>0</v>
      </c>
      <c r="F330" s="13">
        <v>0.37846021223338938</v>
      </c>
      <c r="G330" s="13">
        <v>-0.36686928992959988</v>
      </c>
      <c r="H330" s="13">
        <v>8.7107581497076314E-2</v>
      </c>
      <c r="I330" s="13">
        <v>1.5118633884183749E-3</v>
      </c>
      <c r="J330" s="13">
        <v>0.16605105295151609</v>
      </c>
      <c r="K330" s="13">
        <v>15.87801635991822</v>
      </c>
      <c r="L330" s="13">
        <v>3.852247910646156E-2</v>
      </c>
      <c r="M330" s="13">
        <v>1.745504591246525</v>
      </c>
      <c r="N330" s="19">
        <f>(F330-Settings!$D$18)/Settings!$E$18</f>
        <v>0.66617543912977351</v>
      </c>
      <c r="O330" s="19">
        <f>(G330-Settings!$D$19)/Settings!$E$19</f>
        <v>-1.5007532348437305</v>
      </c>
      <c r="P330" s="19">
        <f>(H330-Settings!$D$20)/Settings!$E$20</f>
        <v>0.30786882821709499</v>
      </c>
      <c r="Q330" s="19">
        <f>(I330-Settings!$D$21)/Settings!$E$21</f>
        <v>5.4800973466249847E-2</v>
      </c>
      <c r="R330" s="19">
        <f>(J330-Settings!$D$22)/Settings!$E$22</f>
        <v>-0.22011413114549302</v>
      </c>
      <c r="S330" s="19">
        <f>(K330-Settings!$D$23)/Settings!$E$23</f>
        <v>0.21628576615275158</v>
      </c>
      <c r="T330" s="19">
        <f>(L330-Settings!$D$24)/Settings!$E$24</f>
        <v>-0.87784447491999651</v>
      </c>
      <c r="U330" s="19">
        <f>(M330-Settings!$D$25)/Settings!$E$25</f>
        <v>1.2131579949136642</v>
      </c>
      <c r="V330" s="31">
        <f>Settings!$B$18*(N330-F$6)^2</f>
        <v>2.4961991735362378E-2</v>
      </c>
      <c r="W330" s="31">
        <f>Settings!$B$19*(O330-G$6)^2</f>
        <v>0.15393111563505685</v>
      </c>
      <c r="X330" s="31">
        <f>Settings!$B$20*(P330-H$6)^2</f>
        <v>0.58456463094887301</v>
      </c>
      <c r="Y330" s="31">
        <f>Settings!$B$21*(Q330-I$6)^2</f>
        <v>7.1263636858110693E-5</v>
      </c>
      <c r="Z330" s="31">
        <f>Settings!$B$22*(R330-J$6)^2</f>
        <v>2.1578739656293339E-2</v>
      </c>
      <c r="AA330" s="31">
        <f>Settings!$B$23*(S330-K$6)^2</f>
        <v>1.4833580112421276E-5</v>
      </c>
      <c r="AB330" s="31">
        <f>Settings!$B$24*(T330-L$6)^2</f>
        <v>2.4797483740867539</v>
      </c>
      <c r="AC330" s="31">
        <f>Settings!$B$25*(U330-M$6)^2</f>
        <v>7.8245748219727718</v>
      </c>
      <c r="AD330" s="19">
        <f t="shared" si="16"/>
        <v>3.3300819466271521</v>
      </c>
      <c r="AE330" s="15">
        <f t="shared" si="17"/>
        <v>1.3181068075021942</v>
      </c>
      <c r="AF330" s="33">
        <f t="shared" si="18"/>
        <v>0.41949537507283968</v>
      </c>
      <c r="AG330" s="47">
        <f t="shared" si="19"/>
        <v>1.809347675638992E-3</v>
      </c>
      <c r="AH330" s="18">
        <v>2.178815122177165</v>
      </c>
      <c r="AI330" s="46">
        <v>0</v>
      </c>
      <c r="AJ330" s="18">
        <v>-0.42023708156176709</v>
      </c>
      <c r="AK330" s="46">
        <v>0</v>
      </c>
      <c r="AL330" s="18">
        <v>-0.98479609858175843</v>
      </c>
      <c r="AM330" s="46">
        <v>0</v>
      </c>
    </row>
    <row r="331" spans="1:39" ht="20" customHeight="1" x14ac:dyDescent="0.45">
      <c r="A331" s="26">
        <v>321</v>
      </c>
      <c r="B331" s="16" t="s">
        <v>492</v>
      </c>
      <c r="C331" s="16" t="s">
        <v>220</v>
      </c>
      <c r="D331" s="46">
        <v>28</v>
      </c>
      <c r="E331" s="46">
        <v>1</v>
      </c>
      <c r="F331" s="13">
        <v>-0.16150033228974439</v>
      </c>
      <c r="G331" s="13">
        <v>6.8294890526205215E-2</v>
      </c>
      <c r="H331" s="13">
        <v>1.409193892370765E-2</v>
      </c>
      <c r="I331" s="13">
        <v>0.3268916274040084</v>
      </c>
      <c r="J331" s="13">
        <v>-0.4292212108563343</v>
      </c>
      <c r="K331" s="13">
        <v>13.428531073446329</v>
      </c>
      <c r="L331" s="13">
        <v>3.615114906945633E-2</v>
      </c>
      <c r="M331" s="13">
        <v>-0.21966634188941739</v>
      </c>
      <c r="N331" s="19">
        <f>(F331-Settings!$D$18)/Settings!$E$18</f>
        <v>-1.2663096894702333</v>
      </c>
      <c r="O331" s="19">
        <f>(G331-Settings!$D$19)/Settings!$E$19</f>
        <v>0.31219620534734016</v>
      </c>
      <c r="P331" s="19">
        <f>(H331-Settings!$D$20)/Settings!$E$20</f>
        <v>-0.35366693427208623</v>
      </c>
      <c r="Q331" s="19">
        <f>(I331-Settings!$D$21)/Settings!$E$21</f>
        <v>4.0560960005264892</v>
      </c>
      <c r="R331" s="19">
        <f>(J331-Settings!$D$22)/Settings!$E$22</f>
        <v>-1.8217221826868533</v>
      </c>
      <c r="S331" s="19">
        <f>(K331-Settings!$D$23)/Settings!$E$23</f>
        <v>-0.6343641326647147</v>
      </c>
      <c r="T331" s="19">
        <f>(L331-Settings!$D$24)/Settings!$E$24</f>
        <v>-0.87948390508249574</v>
      </c>
      <c r="U331" s="19">
        <f>(M331-Settings!$D$25)/Settings!$E$25</f>
        <v>-0.11217516948984109</v>
      </c>
      <c r="V331" s="31">
        <f>Settings!$B$18*(N331-F$6)^2</f>
        <v>0.49877490653542389</v>
      </c>
      <c r="W331" s="31">
        <f>Settings!$B$19*(O331-G$6)^2</f>
        <v>0.17508791351760519</v>
      </c>
      <c r="X331" s="31">
        <f>Settings!$B$20*(P331-H$6)^2</f>
        <v>1.1244822018726821</v>
      </c>
      <c r="Y331" s="31">
        <f>Settings!$B$21*(Q331-I$6)^2</f>
        <v>3.2323556481241478</v>
      </c>
      <c r="Z331" s="31">
        <f>Settings!$B$22*(R331-J$6)^2</f>
        <v>0.74504161715178863</v>
      </c>
      <c r="AA331" s="31">
        <f>Settings!$B$23*(S331-K$6)^2</f>
        <v>0.73017253583080077</v>
      </c>
      <c r="AB331" s="31">
        <f>Settings!$B$24*(T331-L$6)^2</f>
        <v>2.4849143542622927</v>
      </c>
      <c r="AC331" s="31">
        <f>Settings!$B$25*(U331-M$6)^2</f>
        <v>2.1665219428177189</v>
      </c>
      <c r="AD331" s="19">
        <f t="shared" ref="AD331:AD394" si="20">SQRT(SUM(V331:AC331))</f>
        <v>3.3402621334428919</v>
      </c>
      <c r="AE331" s="15">
        <f t="shared" ref="AE331:AE394" si="21">AD331/Yardstick</f>
        <v>1.322136310006498</v>
      </c>
      <c r="AF331" s="33">
        <f t="shared" ref="AF331:AF394" si="22">EXP(-(AD331^2)/(2*Yardstick^2))</f>
        <v>0.41726982206617441</v>
      </c>
      <c r="AG331" s="47">
        <f t="shared" ref="AG331:AG394" si="23">AF331/$E$7</f>
        <v>1.799748525329118E-3</v>
      </c>
      <c r="AH331" s="18">
        <v>0.6170957829241146</v>
      </c>
      <c r="AI331" s="46">
        <v>1</v>
      </c>
      <c r="AJ331" s="18">
        <v>0.47509067581670772</v>
      </c>
      <c r="AK331" s="46">
        <v>1</v>
      </c>
      <c r="AL331" s="18">
        <v>-7.5782342902428024E-2</v>
      </c>
      <c r="AM331" s="46">
        <v>1</v>
      </c>
    </row>
    <row r="332" spans="1:39" ht="20" customHeight="1" x14ac:dyDescent="0.45">
      <c r="A332" s="26">
        <v>322</v>
      </c>
      <c r="B332" s="16" t="s">
        <v>618</v>
      </c>
      <c r="C332" s="16" t="s">
        <v>227</v>
      </c>
      <c r="D332" s="46">
        <v>28</v>
      </c>
      <c r="E332" s="46">
        <v>0</v>
      </c>
      <c r="F332" s="13">
        <v>-0.19052894052495969</v>
      </c>
      <c r="G332" s="13">
        <v>0.30499616705226662</v>
      </c>
      <c r="H332" s="13">
        <v>-3.7389942195518278E-2</v>
      </c>
      <c r="I332" s="13">
        <v>0.17715935365397009</v>
      </c>
      <c r="J332" s="13">
        <v>-0.28992559657328532</v>
      </c>
      <c r="K332" s="13">
        <v>13.541894977168949</v>
      </c>
      <c r="L332" s="13">
        <v>0.53624299866084646</v>
      </c>
      <c r="M332" s="13">
        <v>0.79100714130452254</v>
      </c>
      <c r="N332" s="19">
        <f>(F332-Settings!$D$18)/Settings!$E$18</f>
        <v>-1.3702012687485892</v>
      </c>
      <c r="O332" s="19">
        <f>(G332-Settings!$D$19)/Settings!$E$19</f>
        <v>1.2983238924215674</v>
      </c>
      <c r="P332" s="19">
        <f>(H332-Settings!$D$20)/Settings!$E$20</f>
        <v>-0.82010267708380957</v>
      </c>
      <c r="Q332" s="19">
        <f>(I332-Settings!$D$21)/Settings!$E$21</f>
        <v>2.2147921807912683</v>
      </c>
      <c r="R332" s="19">
        <f>(J332-Settings!$D$22)/Settings!$E$22</f>
        <v>-1.4469407743393192</v>
      </c>
      <c r="S332" s="19">
        <f>(K332-Settings!$D$23)/Settings!$E$23</f>
        <v>-0.59499545641106111</v>
      </c>
      <c r="T332" s="19">
        <f>(L332-Settings!$D$24)/Settings!$E$24</f>
        <v>-0.53374305524466181</v>
      </c>
      <c r="U332" s="19">
        <f>(M332-Settings!$D$25)/Settings!$E$25</f>
        <v>0.56943428395482654</v>
      </c>
      <c r="V332" s="31">
        <f>Settings!$B$18*(N332-F$6)^2</f>
        <v>0.56655985628585059</v>
      </c>
      <c r="W332" s="31">
        <f>Settings!$B$19*(O332-G$6)^2</f>
        <v>0.73864533912305552</v>
      </c>
      <c r="X332" s="31">
        <f>Settings!$B$20*(P332-H$6)^2</f>
        <v>1.6103926158206996</v>
      </c>
      <c r="Y332" s="31">
        <f>Settings!$B$21*(Q332-I$6)^2</f>
        <v>0.94949280329359143</v>
      </c>
      <c r="Z332" s="31">
        <f>Settings!$B$22*(R332-J$6)^2</f>
        <v>0.48379062569772091</v>
      </c>
      <c r="AA332" s="31">
        <f>Settings!$B$23*(S332-K$6)^2</f>
        <v>0.66444125547015032</v>
      </c>
      <c r="AB332" s="31">
        <f>Settings!$B$24*(T332-L$6)^2</f>
        <v>1.514426228735702</v>
      </c>
      <c r="AC332" s="31">
        <f>Settings!$B$25*(U332-M$6)^2</f>
        <v>4.6376502715626016</v>
      </c>
      <c r="AD332" s="19">
        <f t="shared" si="20"/>
        <v>3.3414665935767442</v>
      </c>
      <c r="AE332" s="15">
        <f t="shared" si="21"/>
        <v>1.3226130571638475</v>
      </c>
      <c r="AF332" s="33">
        <f t="shared" si="22"/>
        <v>0.4170068420641897</v>
      </c>
      <c r="AG332" s="47">
        <f t="shared" si="23"/>
        <v>1.7986142523821326E-3</v>
      </c>
      <c r="AH332" s="18">
        <v>-0.40059625817187261</v>
      </c>
      <c r="AI332" s="46">
        <v>0</v>
      </c>
      <c r="AJ332" s="18">
        <v>1.531930177548013E-2</v>
      </c>
      <c r="AK332" s="46">
        <v>0</v>
      </c>
      <c r="AL332" s="18">
        <v>0.75483550160664326</v>
      </c>
      <c r="AM332" s="46">
        <v>0</v>
      </c>
    </row>
    <row r="333" spans="1:39" ht="20" customHeight="1" x14ac:dyDescent="0.45">
      <c r="A333" s="26">
        <v>323</v>
      </c>
      <c r="B333" s="16" t="s">
        <v>349</v>
      </c>
      <c r="C333" s="16" t="s">
        <v>218</v>
      </c>
      <c r="D333" s="46">
        <v>28</v>
      </c>
      <c r="E333" s="46">
        <v>0</v>
      </c>
      <c r="F333" s="13">
        <v>0.35552590745798712</v>
      </c>
      <c r="G333" s="13">
        <v>0.20994646557400121</v>
      </c>
      <c r="H333" s="13">
        <v>2.589724604886599E-2</v>
      </c>
      <c r="I333" s="13">
        <v>8.3720670759704657E-2</v>
      </c>
      <c r="J333" s="13">
        <v>0.32490971015944098</v>
      </c>
      <c r="K333" s="13">
        <v>17.982923497267731</v>
      </c>
      <c r="L333" s="13">
        <v>2.8660485752511531</v>
      </c>
      <c r="M333" s="13">
        <v>2.0022768094484049</v>
      </c>
      <c r="N333" s="19">
        <f>(F333-Settings!$D$18)/Settings!$E$18</f>
        <v>0.58409499202527926</v>
      </c>
      <c r="O333" s="19">
        <f>(G333-Settings!$D$19)/Settings!$E$19</f>
        <v>0.90233472138075321</v>
      </c>
      <c r="P333" s="19">
        <f>(H333-Settings!$D$20)/Settings!$E$20</f>
        <v>-0.24670858157919312</v>
      </c>
      <c r="Q333" s="19">
        <f>(I333-Settings!$D$21)/Settings!$E$21</f>
        <v>1.0657479606289801</v>
      </c>
      <c r="R333" s="19">
        <f>(J333-Settings!$D$22)/Settings!$E$22</f>
        <v>0.20730256523092233</v>
      </c>
      <c r="S333" s="19">
        <f>(K333-Settings!$D$23)/Settings!$E$23</f>
        <v>0.94727159950124307</v>
      </c>
      <c r="T333" s="19">
        <f>(L333-Settings!$D$24)/Settings!$E$24</f>
        <v>1.0769789764489446</v>
      </c>
      <c r="U333" s="19">
        <f>(M333-Settings!$D$25)/Settings!$E$25</f>
        <v>1.3863280386702921</v>
      </c>
      <c r="V333" s="31">
        <f>Settings!$B$18*(N333-F$6)^2</f>
        <v>1.4710330845135164E-2</v>
      </c>
      <c r="W333" s="31">
        <f>Settings!$B$19*(O333-G$6)^2</f>
        <v>0.46560567723386309</v>
      </c>
      <c r="X333" s="31">
        <f>Settings!$B$20*(P333-H$6)^2</f>
        <v>1.0253239710691442</v>
      </c>
      <c r="Y333" s="31">
        <f>Settings!$B$21*(Q333-I$6)^2</f>
        <v>0.21210723855608049</v>
      </c>
      <c r="Z333" s="31">
        <f>Settings!$B$22*(R333-J$6)^2</f>
        <v>1.9580200167825285E-3</v>
      </c>
      <c r="AA333" s="31">
        <f>Settings!$B$23*(S333-K$6)^2</f>
        <v>0.52872442787090446</v>
      </c>
      <c r="AB333" s="31">
        <f>Settings!$B$24*(T333-L$6)^2</f>
        <v>0.14447735548150256</v>
      </c>
      <c r="AC333" s="31">
        <f>Settings!$B$25*(U333-M$6)^2</f>
        <v>8.8233604689459071</v>
      </c>
      <c r="AD333" s="19">
        <f t="shared" si="20"/>
        <v>3.3490696454417486</v>
      </c>
      <c r="AE333" s="15">
        <f t="shared" si="21"/>
        <v>1.3256224829322447</v>
      </c>
      <c r="AF333" s="33">
        <f t="shared" si="22"/>
        <v>0.41534844537665633</v>
      </c>
      <c r="AG333" s="47">
        <f t="shared" si="23"/>
        <v>1.7914613339706843E-3</v>
      </c>
      <c r="AH333" s="18">
        <v>0.62419537090043509</v>
      </c>
      <c r="AI333" s="46">
        <v>0</v>
      </c>
      <c r="AJ333" s="18">
        <v>0.29532572455350969</v>
      </c>
      <c r="AK333" s="46">
        <v>0</v>
      </c>
      <c r="AL333" s="18">
        <v>-0.405988425323069</v>
      </c>
      <c r="AM333" s="46">
        <v>0</v>
      </c>
    </row>
    <row r="334" spans="1:39" ht="20" customHeight="1" x14ac:dyDescent="0.45">
      <c r="A334" s="26">
        <v>324</v>
      </c>
      <c r="B334" s="16" t="s">
        <v>519</v>
      </c>
      <c r="C334" s="16" t="s">
        <v>246</v>
      </c>
      <c r="D334" s="46">
        <v>28</v>
      </c>
      <c r="E334" s="46">
        <v>1</v>
      </c>
      <c r="F334" s="13">
        <v>-0.26263600032905249</v>
      </c>
      <c r="G334" s="13">
        <v>-0.19742910340464689</v>
      </c>
      <c r="H334" s="13">
        <v>-5.3780508779749173E-2</v>
      </c>
      <c r="I334" s="13">
        <v>-9.4847938346403968E-2</v>
      </c>
      <c r="J334" s="13">
        <v>-0.39130644914014739</v>
      </c>
      <c r="K334" s="13">
        <v>13.06250000000002</v>
      </c>
      <c r="L334" s="13">
        <v>-0.23321766437128949</v>
      </c>
      <c r="M334" s="13">
        <v>0.44026774865925339</v>
      </c>
      <c r="N334" s="19">
        <f>(F334-Settings!$D$18)/Settings!$E$18</f>
        <v>-1.6282679407524554</v>
      </c>
      <c r="O334" s="19">
        <f>(G334-Settings!$D$19)/Settings!$E$19</f>
        <v>-0.79484382156314515</v>
      </c>
      <c r="P334" s="19">
        <f>(H334-Settings!$D$20)/Settings!$E$20</f>
        <v>-0.9686043622129038</v>
      </c>
      <c r="Q334" s="19">
        <f>(I334-Settings!$D$21)/Settings!$E$21</f>
        <v>-1.1301651434542284</v>
      </c>
      <c r="R334" s="19">
        <f>(J334-Settings!$D$22)/Settings!$E$22</f>
        <v>-1.7197107312402953</v>
      </c>
      <c r="S334" s="19">
        <f>(K334-Settings!$D$23)/Settings!$E$23</f>
        <v>-0.76147830530774563</v>
      </c>
      <c r="T334" s="19">
        <f>(L334-Settings!$D$24)/Settings!$E$24</f>
        <v>-1.0657132998524916</v>
      </c>
      <c r="U334" s="19">
        <f>(M334-Settings!$D$25)/Settings!$E$25</f>
        <v>0.33289173119391519</v>
      </c>
      <c r="V334" s="31">
        <f>Settings!$B$18*(N334-F$6)^2</f>
        <v>0.75361953660128256</v>
      </c>
      <c r="W334" s="31">
        <f>Settings!$B$19*(O334-G$6)^2</f>
        <v>5.8749579028767786E-3</v>
      </c>
      <c r="X334" s="31">
        <f>Settings!$B$20*(P334-H$6)^2</f>
        <v>1.7833584068129771</v>
      </c>
      <c r="Y334" s="31">
        <f>Settings!$B$21*(Q334-I$6)^2</f>
        <v>0.27195304919746827</v>
      </c>
      <c r="Z334" s="31">
        <f>Settings!$B$22*(R334-J$6)^2</f>
        <v>0.66836678713152464</v>
      </c>
      <c r="AA334" s="31">
        <f>Settings!$B$23*(S334-K$6)^2</f>
        <v>0.96356900980104998</v>
      </c>
      <c r="AB334" s="31">
        <f>Settings!$B$24*(T334-L$6)^2</f>
        <v>3.1067252932546632</v>
      </c>
      <c r="AC334" s="31">
        <f>Settings!$B$25*(U334-M$6)^2</f>
        <v>3.674804207759089</v>
      </c>
      <c r="AD334" s="19">
        <f t="shared" si="20"/>
        <v>3.3508612696530622</v>
      </c>
      <c r="AE334" s="15">
        <f t="shared" si="21"/>
        <v>1.3263316402764989</v>
      </c>
      <c r="AF334" s="33">
        <f t="shared" si="22"/>
        <v>0.41495806585093314</v>
      </c>
      <c r="AG334" s="47">
        <f t="shared" si="23"/>
        <v>1.789777567403862E-3</v>
      </c>
      <c r="AH334" s="18">
        <v>0.45766853525167711</v>
      </c>
      <c r="AI334" s="46">
        <v>1</v>
      </c>
      <c r="AJ334" s="48"/>
      <c r="AK334" s="48"/>
      <c r="AL334" s="48"/>
      <c r="AM334" s="48"/>
    </row>
    <row r="335" spans="1:39" ht="20" customHeight="1" x14ac:dyDescent="0.45">
      <c r="A335" s="26">
        <v>325</v>
      </c>
      <c r="B335" s="16" t="s">
        <v>628</v>
      </c>
      <c r="C335" s="16" t="s">
        <v>260</v>
      </c>
      <c r="D335" s="46">
        <v>28</v>
      </c>
      <c r="E335" s="46">
        <v>1</v>
      </c>
      <c r="F335" s="13">
        <v>0.53392364054529717</v>
      </c>
      <c r="G335" s="13">
        <v>-7.8962695091041077E-2</v>
      </c>
      <c r="H335" s="13">
        <v>7.6786345256997903E-4</v>
      </c>
      <c r="I335" s="13">
        <v>-0.22436477718171791</v>
      </c>
      <c r="J335" s="13">
        <v>0.16198102372937381</v>
      </c>
      <c r="K335" s="13">
        <v>11.96031746031746</v>
      </c>
      <c r="L335" s="13">
        <v>0.48445366317427102</v>
      </c>
      <c r="M335" s="13">
        <v>0.84535840723315081</v>
      </c>
      <c r="N335" s="19">
        <f>(F335-Settings!$D$18)/Settings!$E$18</f>
        <v>1.2225693577248082</v>
      </c>
      <c r="O335" s="19">
        <f>(G335-Settings!$D$19)/Settings!$E$19</f>
        <v>-0.3012976652397143</v>
      </c>
      <c r="P335" s="19">
        <f>(H335-Settings!$D$20)/Settings!$E$20</f>
        <v>-0.4743856202359259</v>
      </c>
      <c r="Q335" s="19">
        <f>(I335-Settings!$D$21)/Settings!$E$21</f>
        <v>-2.7228735428846051</v>
      </c>
      <c r="R335" s="19">
        <f>(J335-Settings!$D$22)/Settings!$E$22</f>
        <v>-0.23106473638702307</v>
      </c>
      <c r="S335" s="19">
        <f>(K335-Settings!$D$23)/Settings!$E$23</f>
        <v>-1.1442409497855066</v>
      </c>
      <c r="T335" s="19">
        <f>(L335-Settings!$D$24)/Settings!$E$24</f>
        <v>-0.56954785565941657</v>
      </c>
      <c r="U335" s="19">
        <f>(M335-Settings!$D$25)/Settings!$E$25</f>
        <v>0.60608938303446591</v>
      </c>
      <c r="V335" s="31">
        <f>Settings!$B$18*(N335-F$6)^2</f>
        <v>0.16550297573049932</v>
      </c>
      <c r="W335" s="31">
        <f>Settings!$B$19*(O335-G$6)^2</f>
        <v>2.0756821041068841E-2</v>
      </c>
      <c r="X335" s="31">
        <f>Settings!$B$20*(P335-H$6)^2</f>
        <v>1.2418942445552223</v>
      </c>
      <c r="Y335" s="31">
        <f>Settings!$B$21*(Q335-I$6)^2</f>
        <v>1.5221934179109728</v>
      </c>
      <c r="Z335" s="31">
        <f>Settings!$B$22*(R335-J$6)^2</f>
        <v>2.3041508645785639E-2</v>
      </c>
      <c r="AA335" s="31">
        <f>Settings!$B$23*(S335-K$6)^2</f>
        <v>1.8615277488727198</v>
      </c>
      <c r="AB335" s="31">
        <f>Settings!$B$24*(T335-L$6)^2</f>
        <v>1.6038324381881519</v>
      </c>
      <c r="AC335" s="31">
        <f>Settings!$B$25*(U335-M$6)^2</f>
        <v>4.7968688778104056</v>
      </c>
      <c r="AD335" s="19">
        <f t="shared" si="20"/>
        <v>3.3519573435165944</v>
      </c>
      <c r="AE335" s="15">
        <f t="shared" si="21"/>
        <v>1.3267654861830569</v>
      </c>
      <c r="AF335" s="33">
        <f t="shared" si="22"/>
        <v>0.41471931886235786</v>
      </c>
      <c r="AG335" s="47">
        <f t="shared" si="23"/>
        <v>1.7887478151479056E-3</v>
      </c>
      <c r="AH335" s="18">
        <v>-0.47045836234799582</v>
      </c>
      <c r="AI335" s="46">
        <v>1</v>
      </c>
      <c r="AJ335" s="18">
        <v>-0.71961916508252721</v>
      </c>
      <c r="AK335" s="46">
        <v>1</v>
      </c>
      <c r="AL335" s="18">
        <v>-0.1042194880249598</v>
      </c>
      <c r="AM335" s="46">
        <v>1</v>
      </c>
    </row>
    <row r="336" spans="1:39" ht="20" customHeight="1" x14ac:dyDescent="0.45">
      <c r="A336" s="26">
        <v>326</v>
      </c>
      <c r="B336" s="16" t="s">
        <v>397</v>
      </c>
      <c r="C336" s="16" t="s">
        <v>236</v>
      </c>
      <c r="D336" s="46">
        <v>28</v>
      </c>
      <c r="E336" s="46">
        <v>0</v>
      </c>
      <c r="F336" s="13">
        <v>0.70225618835339787</v>
      </c>
      <c r="G336" s="13">
        <v>-7.6759091055709258E-2</v>
      </c>
      <c r="H336" s="13">
        <v>-2.3152289711240628E-2</v>
      </c>
      <c r="I336" s="13">
        <v>-4.3674105474647607E-5</v>
      </c>
      <c r="J336" s="13">
        <v>0.19778875677417751</v>
      </c>
      <c r="K336" s="13">
        <v>14.454777070063701</v>
      </c>
      <c r="L336" s="13">
        <v>1.075898238824335</v>
      </c>
      <c r="M336" s="13">
        <v>1.9166411066155919</v>
      </c>
      <c r="N336" s="19">
        <f>(F336-Settings!$D$18)/Settings!$E$18</f>
        <v>1.8250210527570685</v>
      </c>
      <c r="O336" s="19">
        <f>(G336-Settings!$D$19)/Settings!$E$19</f>
        <v>-0.29211716996532594</v>
      </c>
      <c r="P336" s="19">
        <f>(H336-Settings!$D$20)/Settings!$E$20</f>
        <v>-0.69110680770173372</v>
      </c>
      <c r="Q336" s="19">
        <f>(I336-Settings!$D$21)/Settings!$E$21</f>
        <v>3.5672050505872757E-2</v>
      </c>
      <c r="R336" s="19">
        <f>(J336-Settings!$D$22)/Settings!$E$22</f>
        <v>-0.13472234478096401</v>
      </c>
      <c r="S336" s="19">
        <f>(K336-Settings!$D$23)/Settings!$E$23</f>
        <v>-0.27797250295960829</v>
      </c>
      <c r="T336" s="19">
        <f>(L336-Settings!$D$24)/Settings!$E$24</f>
        <v>-0.16064986945086318</v>
      </c>
      <c r="U336" s="19">
        <f>(M336-Settings!$D$25)/Settings!$E$25</f>
        <v>1.3285743669119694</v>
      </c>
      <c r="V336" s="31">
        <f>Settings!$B$18*(N336-F$6)^2</f>
        <v>0.45730751385904611</v>
      </c>
      <c r="W336" s="31">
        <f>Settings!$B$19*(O336-G$6)^2</f>
        <v>2.195669581039118E-2</v>
      </c>
      <c r="X336" s="31">
        <f>Settings!$B$20*(P336-H$6)^2</f>
        <v>1.4673052282104655</v>
      </c>
      <c r="Y336" s="31">
        <f>Settings!$B$21*(Q336-I$6)^2</f>
        <v>1.2754352164959959E-8</v>
      </c>
      <c r="Z336" s="31">
        <f>Settings!$B$22*(R336-J$6)^2</f>
        <v>1.1817574888799387E-2</v>
      </c>
      <c r="AA336" s="31">
        <f>Settings!$B$23*(S336-K$6)^2</f>
        <v>0.24811328102371258</v>
      </c>
      <c r="AB336" s="31">
        <f>Settings!$B$24*(T336-L$6)^2</f>
        <v>0.7353526860719003</v>
      </c>
      <c r="AC336" s="31">
        <f>Settings!$B$25*(U336-M$6)^2</f>
        <v>8.4835913031454737</v>
      </c>
      <c r="AD336" s="19">
        <f t="shared" si="20"/>
        <v>3.3801544780918138</v>
      </c>
      <c r="AE336" s="15">
        <f t="shared" si="21"/>
        <v>1.3379264232504753</v>
      </c>
      <c r="AF336" s="33">
        <f t="shared" si="22"/>
        <v>0.40859797317852231</v>
      </c>
      <c r="AG336" s="47">
        <f t="shared" si="23"/>
        <v>1.7623455155208656E-3</v>
      </c>
      <c r="AH336" s="18">
        <v>0.60512424138699616</v>
      </c>
      <c r="AI336" s="46">
        <v>0</v>
      </c>
      <c r="AJ336" s="18">
        <v>-6.7004847421049174E-2</v>
      </c>
      <c r="AK336" s="46">
        <v>1</v>
      </c>
      <c r="AL336" s="18">
        <v>0.37731031322425101</v>
      </c>
      <c r="AM336" s="46">
        <v>1</v>
      </c>
    </row>
    <row r="337" spans="1:39" ht="20" customHeight="1" x14ac:dyDescent="0.45">
      <c r="A337" s="26">
        <v>327</v>
      </c>
      <c r="B337" s="16" t="s">
        <v>679</v>
      </c>
      <c r="C337" s="16" t="s">
        <v>271</v>
      </c>
      <c r="D337" s="46">
        <v>28</v>
      </c>
      <c r="E337" s="46">
        <v>0</v>
      </c>
      <c r="F337" s="13">
        <v>-1.0847362087040881E-2</v>
      </c>
      <c r="G337" s="13">
        <v>-0.68479017249190632</v>
      </c>
      <c r="H337" s="13">
        <v>3.1419950368094351E-3</v>
      </c>
      <c r="I337" s="13">
        <v>4.7211495208796382E-2</v>
      </c>
      <c r="J337" s="13">
        <v>0.25400897517544713</v>
      </c>
      <c r="K337" s="13">
        <v>13.172766884531571</v>
      </c>
      <c r="L337" s="13">
        <v>-0.81747312001055827</v>
      </c>
      <c r="M337" s="13">
        <v>0.40764419939369251</v>
      </c>
      <c r="N337" s="19">
        <f>(F337-Settings!$D$18)/Settings!$E$18</f>
        <v>-0.72713210057202959</v>
      </c>
      <c r="O337" s="19">
        <f>(G337-Settings!$D$19)/Settings!$E$19</f>
        <v>-2.8252521526146537</v>
      </c>
      <c r="P337" s="19">
        <f>(H337-Settings!$D$20)/Settings!$E$20</f>
        <v>-0.45287553154155707</v>
      </c>
      <c r="Q337" s="19">
        <f>(I337-Settings!$D$21)/Settings!$E$21</f>
        <v>0.61678340066046544</v>
      </c>
      <c r="R337" s="19">
        <f>(J337-Settings!$D$22)/Settings!$E$22</f>
        <v>1.6540799708415911E-2</v>
      </c>
      <c r="S337" s="19">
        <f>(K337-Settings!$D$23)/Settings!$E$23</f>
        <v>-0.72318515258389982</v>
      </c>
      <c r="T337" s="19">
        <f>(L337-Settings!$D$24)/Settings!$E$24</f>
        <v>-1.4696410541643457</v>
      </c>
      <c r="U337" s="19">
        <f>(M337-Settings!$D$25)/Settings!$E$25</f>
        <v>0.31089004622435201</v>
      </c>
      <c r="V337" s="31">
        <f>Settings!$B$18*(N337-F$6)^2</f>
        <v>0.21632957241297493</v>
      </c>
      <c r="W337" s="31">
        <f>Settings!$B$19*(O337-G$6)^2</f>
        <v>0.96958383950870497</v>
      </c>
      <c r="X337" s="31">
        <f>Settings!$B$20*(P337-H$6)^2</f>
        <v>1.2205465482821334</v>
      </c>
      <c r="Y337" s="31">
        <f>Settings!$B$21*(Q337-I$6)^2</f>
        <v>6.7479393624700554E-2</v>
      </c>
      <c r="Z337" s="31">
        <f>Settings!$B$22*(R337-J$6)^2</f>
        <v>1.6860660879607276E-3</v>
      </c>
      <c r="AA337" s="31">
        <f>Settings!$B$23*(S337-K$6)^2</f>
        <v>0.88985707005271575</v>
      </c>
      <c r="AB337" s="31">
        <f>Settings!$B$24*(T337-L$6)^2</f>
        <v>4.6938013740019171</v>
      </c>
      <c r="AC337" s="31">
        <f>Settings!$B$25*(U337-M$6)^2</f>
        <v>3.5909347949056527</v>
      </c>
      <c r="AD337" s="19">
        <f t="shared" si="20"/>
        <v>3.4132416642946275</v>
      </c>
      <c r="AE337" s="15">
        <f t="shared" si="21"/>
        <v>1.3510229314067368</v>
      </c>
      <c r="AF337" s="33">
        <f t="shared" si="22"/>
        <v>0.40146638180579003</v>
      </c>
      <c r="AG337" s="47">
        <f t="shared" si="23"/>
        <v>1.7315858718141388E-3</v>
      </c>
      <c r="AH337" s="18">
        <v>1.028124377009213</v>
      </c>
      <c r="AI337" s="46">
        <v>1</v>
      </c>
      <c r="AJ337" s="18">
        <v>-0.14256971752912151</v>
      </c>
      <c r="AK337" s="46">
        <v>1</v>
      </c>
      <c r="AL337" s="18">
        <v>-0.74939538091022251</v>
      </c>
      <c r="AM337" s="46">
        <v>1</v>
      </c>
    </row>
    <row r="338" spans="1:39" ht="20" customHeight="1" x14ac:dyDescent="0.45">
      <c r="A338" s="26">
        <v>328</v>
      </c>
      <c r="B338" s="16" t="s">
        <v>521</v>
      </c>
      <c r="C338" s="16" t="s">
        <v>229</v>
      </c>
      <c r="D338" s="46">
        <v>28</v>
      </c>
      <c r="E338" s="46">
        <v>1</v>
      </c>
      <c r="F338" s="13">
        <v>0.15891158620926399</v>
      </c>
      <c r="G338" s="13">
        <v>-0.13756228960842651</v>
      </c>
      <c r="H338" s="13">
        <v>-0.22113300683329681</v>
      </c>
      <c r="I338" s="13">
        <v>-9.0967899423380572E-2</v>
      </c>
      <c r="J338" s="13">
        <v>0.39142521792563212</v>
      </c>
      <c r="K338" s="13">
        <v>11.79308176100629</v>
      </c>
      <c r="L338" s="13">
        <v>-9.468287994397992E-2</v>
      </c>
      <c r="M338" s="13">
        <v>-4.1964361089912992E-2</v>
      </c>
      <c r="N338" s="19">
        <f>(F338-Settings!$D$18)/Settings!$E$18</f>
        <v>-0.1195754071119363</v>
      </c>
      <c r="O338" s="19">
        <f>(G338-Settings!$D$19)/Settings!$E$19</f>
        <v>-0.54543104488608229</v>
      </c>
      <c r="P338" s="19">
        <f>(H338-Settings!$D$20)/Settings!$E$20</f>
        <v>-2.4848501761571957</v>
      </c>
      <c r="Q338" s="19">
        <f>(I338-Settings!$D$21)/Settings!$E$21</f>
        <v>-1.08245111153075</v>
      </c>
      <c r="R338" s="19">
        <f>(J338-Settings!$D$22)/Settings!$E$22</f>
        <v>0.38626567046486832</v>
      </c>
      <c r="S338" s="19">
        <f>(K338-Settings!$D$23)/Settings!$E$23</f>
        <v>-1.2023180615295082</v>
      </c>
      <c r="T338" s="19">
        <f>(L338-Settings!$D$24)/Settings!$E$24</f>
        <v>-0.96993662574925554</v>
      </c>
      <c r="U338" s="19">
        <f>(M338-Settings!$D$25)/Settings!$E$25</f>
        <v>7.6690255176403181E-3</v>
      </c>
      <c r="V338" s="31">
        <f>Settings!$B$18*(N338-F$6)^2</f>
        <v>3.7405423049479525E-2</v>
      </c>
      <c r="W338" s="31">
        <f>Settings!$B$19*(O338-G$6)^2</f>
        <v>1.2174872994214602E-3</v>
      </c>
      <c r="X338" s="31">
        <f>Settings!$B$20*(P338-H$6)^2</f>
        <v>4.0542232110608829</v>
      </c>
      <c r="Y338" s="31">
        <f>Settings!$B$21*(Q338-I$6)^2</f>
        <v>0.2501528380264772</v>
      </c>
      <c r="Z338" s="31">
        <f>Settings!$B$22*(R338-J$6)^2</f>
        <v>1.5446575721382859E-2</v>
      </c>
      <c r="AA338" s="31">
        <f>Settings!$B$23*(S338-K$6)^2</f>
        <v>2.0233789848780392</v>
      </c>
      <c r="AB338" s="31">
        <f>Settings!$B$24*(T338-L$6)^2</f>
        <v>2.7782683515389022</v>
      </c>
      <c r="AC338" s="31">
        <f>Settings!$B$25*(U338-M$6)^2</f>
        <v>2.5336845477319954</v>
      </c>
      <c r="AD338" s="19">
        <f t="shared" si="20"/>
        <v>3.4196165602749353</v>
      </c>
      <c r="AE338" s="15">
        <f t="shared" si="21"/>
        <v>1.3535462308100061</v>
      </c>
      <c r="AF338" s="33">
        <f t="shared" si="22"/>
        <v>0.40009882516767398</v>
      </c>
      <c r="AG338" s="47">
        <f t="shared" si="23"/>
        <v>1.7256873909928657E-3</v>
      </c>
      <c r="AH338" s="18">
        <v>0.2015071676724346</v>
      </c>
      <c r="AI338" s="46">
        <v>1</v>
      </c>
      <c r="AJ338" s="48"/>
      <c r="AK338" s="48"/>
      <c r="AL338" s="48"/>
      <c r="AM338" s="48"/>
    </row>
    <row r="339" spans="1:39" ht="20" customHeight="1" x14ac:dyDescent="0.45">
      <c r="A339" s="26">
        <v>329</v>
      </c>
      <c r="B339" s="16" t="s">
        <v>771</v>
      </c>
      <c r="C339" s="16" t="s">
        <v>242</v>
      </c>
      <c r="D339" s="46">
        <v>28</v>
      </c>
      <c r="E339" s="46">
        <v>0</v>
      </c>
      <c r="F339" s="13">
        <v>0.42215441937647102</v>
      </c>
      <c r="G339" s="13">
        <v>0.36456755676738078</v>
      </c>
      <c r="H339" s="13">
        <v>-1.304939657498942E-3</v>
      </c>
      <c r="I339" s="13">
        <v>-9.528138605053537E-3</v>
      </c>
      <c r="J339" s="13">
        <v>-0.20244494559359569</v>
      </c>
      <c r="K339" s="13">
        <v>8.8446376811594174</v>
      </c>
      <c r="L339" s="13">
        <v>0.3607242652692737</v>
      </c>
      <c r="M339" s="13">
        <v>-0.72190368076067823</v>
      </c>
      <c r="N339" s="19">
        <f>(F339-Settings!$D$18)/Settings!$E$18</f>
        <v>0.82255428267017561</v>
      </c>
      <c r="O339" s="19">
        <f>(G339-Settings!$D$19)/Settings!$E$19</f>
        <v>1.5465058947230843</v>
      </c>
      <c r="P339" s="19">
        <f>(H339-Settings!$D$20)/Settings!$E$20</f>
        <v>-0.49316561500939554</v>
      </c>
      <c r="Q339" s="19">
        <f>(I339-Settings!$D$21)/Settings!$E$21</f>
        <v>-8.0961326346278589E-2</v>
      </c>
      <c r="R339" s="19">
        <f>(J339-Settings!$D$22)/Settings!$E$22</f>
        <v>-1.2115699642382511</v>
      </c>
      <c r="S339" s="19">
        <f>(K339-Settings!$D$23)/Settings!$E$23</f>
        <v>-2.2262448726201862</v>
      </c>
      <c r="T339" s="19">
        <f>(L339-Settings!$D$24)/Settings!$E$24</f>
        <v>-0.65508875622908225</v>
      </c>
      <c r="U339" s="19">
        <f>(M339-Settings!$D$25)/Settings!$E$25</f>
        <v>-0.45088962449435033</v>
      </c>
      <c r="V339" s="31">
        <f>Settings!$B$18*(N339-F$6)^2</f>
        <v>5.1951350732846693E-2</v>
      </c>
      <c r="W339" s="31">
        <f>Settings!$B$19*(O339-G$6)^2</f>
        <v>0.94174438224056622</v>
      </c>
      <c r="X339" s="31">
        <f>Settings!$B$20*(P339-H$6)^2</f>
        <v>1.2606837875175487</v>
      </c>
      <c r="Y339" s="31">
        <f>Settings!$B$21*(Q339-I$6)^2</f>
        <v>2.7324630774488352E-3</v>
      </c>
      <c r="Z339" s="31">
        <f>Settings!$B$22*(R339-J$6)^2</f>
        <v>0.34844177113698466</v>
      </c>
      <c r="AA339" s="31">
        <f>Settings!$B$23*(S339-K$6)^2</f>
        <v>5.9847852690141945</v>
      </c>
      <c r="AB339" s="31">
        <f>Settings!$B$24*(T339-L$6)^2</f>
        <v>1.8278119645089299</v>
      </c>
      <c r="AC339" s="31">
        <f>Settings!$B$25*(U339-M$6)^2</f>
        <v>1.2841343717860267</v>
      </c>
      <c r="AD339" s="19">
        <f t="shared" si="20"/>
        <v>3.4208603245403846</v>
      </c>
      <c r="AE339" s="15">
        <f t="shared" si="21"/>
        <v>1.3540385352552096</v>
      </c>
      <c r="AF339" s="33">
        <f t="shared" si="22"/>
        <v>0.39983225694045105</v>
      </c>
      <c r="AG339" s="47">
        <f t="shared" si="23"/>
        <v>1.7245376414819413E-3</v>
      </c>
      <c r="AH339" s="48"/>
      <c r="AI339" s="48"/>
      <c r="AJ339" s="48"/>
      <c r="AK339" s="48"/>
      <c r="AL339" s="48"/>
      <c r="AM339" s="48"/>
    </row>
    <row r="340" spans="1:39" ht="20" customHeight="1" x14ac:dyDescent="0.45">
      <c r="A340" s="26">
        <v>330</v>
      </c>
      <c r="B340" s="16" t="s">
        <v>457</v>
      </c>
      <c r="C340" s="16" t="s">
        <v>236</v>
      </c>
      <c r="D340" s="46">
        <v>28</v>
      </c>
      <c r="E340" s="46">
        <v>0</v>
      </c>
      <c r="F340" s="13">
        <v>0.65031260909225974</v>
      </c>
      <c r="G340" s="13">
        <v>1.5045744418470919E-2</v>
      </c>
      <c r="H340" s="13">
        <v>5.7453607855653392E-2</v>
      </c>
      <c r="I340" s="13">
        <v>-3.5099195108047791E-5</v>
      </c>
      <c r="J340" s="13">
        <v>-0.27715293943850788</v>
      </c>
      <c r="K340" s="13">
        <v>12.20604838709678</v>
      </c>
      <c r="L340" s="13">
        <v>0.28304524615832388</v>
      </c>
      <c r="M340" s="13">
        <v>1.360211655443486</v>
      </c>
      <c r="N340" s="19">
        <f>(F340-Settings!$D$18)/Settings!$E$18</f>
        <v>1.6391182206583716</v>
      </c>
      <c r="O340" s="19">
        <f>(G340-Settings!$D$19)/Settings!$E$19</f>
        <v>9.0353475723885468E-2</v>
      </c>
      <c r="P340" s="19">
        <f>(H340-Settings!$D$20)/Settings!$E$20</f>
        <v>3.9198124620933632E-2</v>
      </c>
      <c r="Q340" s="19">
        <f>(I340-Settings!$D$21)/Settings!$E$21</f>
        <v>3.5777498815822727E-2</v>
      </c>
      <c r="R340" s="19">
        <f>(J340-Settings!$D$22)/Settings!$E$22</f>
        <v>-1.4125753389740321</v>
      </c>
      <c r="S340" s="19">
        <f>(K340-Settings!$D$23)/Settings!$E$23</f>
        <v>-1.0589042510285902</v>
      </c>
      <c r="T340" s="19">
        <f>(L340-Settings!$D$24)/Settings!$E$24</f>
        <v>-0.70879251105718633</v>
      </c>
      <c r="U340" s="19">
        <f>(M340-Settings!$D$25)/Settings!$E$25</f>
        <v>0.9533121478069716</v>
      </c>
      <c r="V340" s="31">
        <f>Settings!$B$18*(N340-F$6)^2</f>
        <v>0.35177577602312532</v>
      </c>
      <c r="W340" s="31">
        <f>Settings!$B$19*(O340-G$6)^2</f>
        <v>0.10190395711607192</v>
      </c>
      <c r="X340" s="31">
        <f>Settings!$B$20*(P340-H$6)^2</f>
        <v>0.7827320543079912</v>
      </c>
      <c r="Y340" s="31">
        <f>Settings!$B$21*(Q340-I$6)^2</f>
        <v>4.3266466360203361E-9</v>
      </c>
      <c r="Z340" s="31">
        <f>Settings!$B$22*(R340-J$6)^2</f>
        <v>0.46264741960345801</v>
      </c>
      <c r="AA340" s="31">
        <f>Settings!$B$23*(S340-K$6)^2</f>
        <v>1.6359470458805188</v>
      </c>
      <c r="AB340" s="31">
        <f>Settings!$B$24*(T340-L$6)^2</f>
        <v>1.9759073549934576</v>
      </c>
      <c r="AC340" s="31">
        <f>Settings!$B$25*(U340-M$6)^2</f>
        <v>6.4383901359725195</v>
      </c>
      <c r="AD340" s="19">
        <f t="shared" si="20"/>
        <v>3.4277257399365819</v>
      </c>
      <c r="AE340" s="15">
        <f t="shared" si="21"/>
        <v>1.3567559911362048</v>
      </c>
      <c r="AF340" s="33">
        <f t="shared" si="22"/>
        <v>0.39836229064697815</v>
      </c>
      <c r="AG340" s="47">
        <f t="shared" si="23"/>
        <v>1.7181974521630458E-3</v>
      </c>
      <c r="AH340" s="18">
        <v>1.184865714518903</v>
      </c>
      <c r="AI340" s="46">
        <v>0</v>
      </c>
      <c r="AJ340" s="18">
        <v>0.11107214713746651</v>
      </c>
      <c r="AK340" s="46">
        <v>1</v>
      </c>
      <c r="AL340" s="18">
        <v>-1.013656246839338</v>
      </c>
      <c r="AM340" s="46">
        <v>1</v>
      </c>
    </row>
    <row r="341" spans="1:39" ht="20" customHeight="1" x14ac:dyDescent="0.45">
      <c r="A341" s="26">
        <v>331</v>
      </c>
      <c r="B341" s="16" t="s">
        <v>687</v>
      </c>
      <c r="C341" s="16" t="s">
        <v>271</v>
      </c>
      <c r="D341" s="46">
        <v>28</v>
      </c>
      <c r="E341" s="46">
        <v>0</v>
      </c>
      <c r="F341" s="13">
        <v>0.87818981444858213</v>
      </c>
      <c r="G341" s="13">
        <v>4.9533570814445982E-2</v>
      </c>
      <c r="H341" s="13">
        <v>-1.4575313870562771E-2</v>
      </c>
      <c r="I341" s="13">
        <v>-9.0009657000146256E-4</v>
      </c>
      <c r="J341" s="13">
        <v>-5.6801204296407767E-2</v>
      </c>
      <c r="K341" s="13">
        <v>10.42090163934426</v>
      </c>
      <c r="L341" s="13">
        <v>0.21520250557147469</v>
      </c>
      <c r="M341" s="13">
        <v>0.34931402611617351</v>
      </c>
      <c r="N341" s="19">
        <f>(F341-Settings!$D$18)/Settings!$E$18</f>
        <v>2.4546765331401383</v>
      </c>
      <c r="O341" s="19">
        <f>(G341-Settings!$D$19)/Settings!$E$19</f>
        <v>0.23403415617993642</v>
      </c>
      <c r="P341" s="19">
        <f>(H341-Settings!$D$20)/Settings!$E$20</f>
        <v>-0.61339775724843248</v>
      </c>
      <c r="Q341" s="19">
        <f>(I341-Settings!$D$21)/Settings!$E$21</f>
        <v>2.5140360071031737E-2</v>
      </c>
      <c r="R341" s="19">
        <f>(J341-Settings!$D$22)/Settings!$E$22</f>
        <v>-0.8197086212856437</v>
      </c>
      <c r="S341" s="19">
        <f>(K341-Settings!$D$23)/Settings!$E$23</f>
        <v>-1.6788446559522827</v>
      </c>
      <c r="T341" s="19">
        <f>(L341-Settings!$D$24)/Settings!$E$24</f>
        <v>-0.7556959085130539</v>
      </c>
      <c r="U341" s="19">
        <f>(M341-Settings!$D$25)/Settings!$E$25</f>
        <v>0.27155152771352931</v>
      </c>
      <c r="V341" s="31">
        <f>Settings!$B$18*(N341-F$6)^2</f>
        <v>0.91744913128512684</v>
      </c>
      <c r="W341" s="31">
        <f>Settings!$B$19*(O341-G$6)^2</f>
        <v>0.14705686881947699</v>
      </c>
      <c r="X341" s="31">
        <f>Settings!$B$20*(P341-H$6)^2</f>
        <v>1.3843198039975766</v>
      </c>
      <c r="Y341" s="31">
        <f>Settings!$B$21*(Q341-I$6)^2</f>
        <v>2.325988515154114E-5</v>
      </c>
      <c r="Z341" s="31">
        <f>Settings!$B$22*(R341-J$6)^2</f>
        <v>0.17226139358757733</v>
      </c>
      <c r="AA341" s="31">
        <f>Settings!$B$23*(S341-K$6)^2</f>
        <v>3.6061321076924679</v>
      </c>
      <c r="AB341" s="31">
        <f>Settings!$B$24*(T341-L$6)^2</f>
        <v>2.109968654599427</v>
      </c>
      <c r="AC341" s="31">
        <f>Settings!$B$25*(U341-M$6)^2</f>
        <v>3.4433912013777386</v>
      </c>
      <c r="AD341" s="19">
        <f t="shared" si="20"/>
        <v>3.4322882194309594</v>
      </c>
      <c r="AE341" s="15">
        <f t="shared" si="21"/>
        <v>1.3585619032359715</v>
      </c>
      <c r="AF341" s="33">
        <f t="shared" si="22"/>
        <v>0.39738677729227789</v>
      </c>
      <c r="AG341" s="47">
        <f t="shared" si="23"/>
        <v>1.7139899139498409E-3</v>
      </c>
      <c r="AH341" s="18">
        <v>0.18185770403159171</v>
      </c>
      <c r="AI341" s="46">
        <v>1</v>
      </c>
      <c r="AJ341" s="18">
        <v>1.813841380147063E-3</v>
      </c>
      <c r="AK341" s="46">
        <v>1</v>
      </c>
      <c r="AL341" s="18">
        <v>-0.49272892583155092</v>
      </c>
      <c r="AM341" s="46">
        <v>1</v>
      </c>
    </row>
    <row r="342" spans="1:39" ht="20" customHeight="1" x14ac:dyDescent="0.45">
      <c r="A342" s="26">
        <v>332</v>
      </c>
      <c r="B342" s="16" t="s">
        <v>652</v>
      </c>
      <c r="C342" s="16" t="s">
        <v>214</v>
      </c>
      <c r="D342" s="46">
        <v>28</v>
      </c>
      <c r="E342" s="46">
        <v>1</v>
      </c>
      <c r="F342" s="13">
        <v>-0.1824433114526772</v>
      </c>
      <c r="G342" s="13">
        <v>0.41538449750340212</v>
      </c>
      <c r="H342" s="13">
        <v>5.9938585176718274E-4</v>
      </c>
      <c r="I342" s="13">
        <v>-0.226464972989976</v>
      </c>
      <c r="J342" s="13">
        <v>-0.1751078322021776</v>
      </c>
      <c r="K342" s="13">
        <v>12.016463414634149</v>
      </c>
      <c r="L342" s="13">
        <v>-0.2056179620760695</v>
      </c>
      <c r="M342" s="13">
        <v>-0.20827164386719699</v>
      </c>
      <c r="N342" s="19">
        <f>(F342-Settings!$D$18)/Settings!$E$18</f>
        <v>-1.3412633063436483</v>
      </c>
      <c r="O342" s="19">
        <f>(G342-Settings!$D$19)/Settings!$E$19</f>
        <v>1.7582157467681085</v>
      </c>
      <c r="P342" s="19">
        <f>(H342-Settings!$D$20)/Settings!$E$20</f>
        <v>-0.47591205969713357</v>
      </c>
      <c r="Q342" s="19">
        <f>(I342-Settings!$D$21)/Settings!$E$21</f>
        <v>-2.7487002966437393</v>
      </c>
      <c r="R342" s="19">
        <f>(J342-Settings!$D$22)/Settings!$E$22</f>
        <v>-1.1380181736113535</v>
      </c>
      <c r="S342" s="19">
        <f>(K342-Settings!$D$23)/Settings!$E$23</f>
        <v>-1.124742751277324</v>
      </c>
      <c r="T342" s="19">
        <f>(L342-Settings!$D$24)/Settings!$E$24</f>
        <v>-1.0466321159967313</v>
      </c>
      <c r="U342" s="19">
        <f>(M342-Settings!$D$25)/Settings!$E$25</f>
        <v>-0.10449045823517536</v>
      </c>
      <c r="V342" s="31">
        <f>Settings!$B$18*(N342-F$6)^2</f>
        <v>0.54724523414493886</v>
      </c>
      <c r="W342" s="31">
        <f>Settings!$B$19*(O342-G$6)^2</f>
        <v>1.134469271128409</v>
      </c>
      <c r="X342" s="31">
        <f>Settings!$B$20*(P342-H$6)^2</f>
        <v>1.2434161927924405</v>
      </c>
      <c r="Y342" s="31">
        <f>Settings!$B$21*(Q342-I$6)^2</f>
        <v>1.5508271420818689</v>
      </c>
      <c r="Z342" s="31">
        <f>Settings!$B$22*(R342-J$6)^2</f>
        <v>0.31069052907781236</v>
      </c>
      <c r="AA342" s="31">
        <f>Settings!$B$23*(S342-K$6)^2</f>
        <v>1.808702096418789</v>
      </c>
      <c r="AB342" s="31">
        <f>Settings!$B$24*(T342-L$6)^2</f>
        <v>3.0398247578018931</v>
      </c>
      <c r="AC342" s="31">
        <f>Settings!$B$25*(U342-M$6)^2</f>
        <v>2.1892034194035559</v>
      </c>
      <c r="AD342" s="19">
        <f t="shared" si="20"/>
        <v>3.4386594252484075</v>
      </c>
      <c r="AE342" s="15">
        <f t="shared" si="21"/>
        <v>1.3610837420058797</v>
      </c>
      <c r="AF342" s="33">
        <f t="shared" si="22"/>
        <v>0.39602637105314409</v>
      </c>
      <c r="AG342" s="47">
        <f t="shared" si="23"/>
        <v>1.7081222738923691E-3</v>
      </c>
      <c r="AH342" s="48"/>
      <c r="AI342" s="48"/>
      <c r="AJ342" s="48"/>
      <c r="AK342" s="48"/>
      <c r="AL342" s="48"/>
      <c r="AM342" s="48"/>
    </row>
    <row r="343" spans="1:39" ht="20" customHeight="1" x14ac:dyDescent="0.45">
      <c r="A343" s="26">
        <v>333</v>
      </c>
      <c r="B343" s="16" t="s">
        <v>772</v>
      </c>
      <c r="C343" s="16" t="s">
        <v>216</v>
      </c>
      <c r="D343" s="46">
        <v>28</v>
      </c>
      <c r="E343" s="46">
        <v>1</v>
      </c>
      <c r="F343" s="13">
        <v>0.4584702920097683</v>
      </c>
      <c r="G343" s="13">
        <v>-0.24420224306339111</v>
      </c>
      <c r="H343" s="13">
        <v>1.61969956539363E-3</v>
      </c>
      <c r="I343" s="13">
        <v>-7.568461357370683E-2</v>
      </c>
      <c r="J343" s="13">
        <v>0.22002315178774021</v>
      </c>
      <c r="K343" s="13">
        <v>11.88088235294118</v>
      </c>
      <c r="L343" s="13">
        <v>-0.1148367405957721</v>
      </c>
      <c r="M343" s="13">
        <v>1.0948023454764431</v>
      </c>
      <c r="N343" s="19">
        <f>(F343-Settings!$D$18)/Settings!$E$18</f>
        <v>0.95252652695324325</v>
      </c>
      <c r="O343" s="19">
        <f>(G343-Settings!$D$19)/Settings!$E$19</f>
        <v>-0.98970668291234809</v>
      </c>
      <c r="P343" s="19">
        <f>(H343-Settings!$D$20)/Settings!$E$20</f>
        <v>-0.46666782124721784</v>
      </c>
      <c r="Q343" s="19">
        <f>(I343-Settings!$D$21)/Settings!$E$21</f>
        <v>-0.89450784513723947</v>
      </c>
      <c r="R343" s="19">
        <f>(J343-Settings!$D$22)/Settings!$E$22</f>
        <v>-7.4899658188652032E-2</v>
      </c>
      <c r="S343" s="19">
        <f>(K343-Settings!$D$23)/Settings!$E$23</f>
        <v>-1.1718269354721216</v>
      </c>
      <c r="T343" s="19">
        <f>(L343-Settings!$D$24)/Settings!$E$24</f>
        <v>-0.98387009200141962</v>
      </c>
      <c r="U343" s="19">
        <f>(M343-Settings!$D$25)/Settings!$E$25</f>
        <v>0.77431715316828453</v>
      </c>
      <c r="V343" s="31">
        <f>Settings!$B$18*(N343-F$6)^2</f>
        <v>8.1826744550928421E-2</v>
      </c>
      <c r="W343" s="31">
        <f>Settings!$B$19*(O343-G$6)^2</f>
        <v>2.6828341705801631E-2</v>
      </c>
      <c r="X343" s="31">
        <f>Settings!$B$20*(P343-H$6)^2</f>
        <v>1.2342134225860664</v>
      </c>
      <c r="Y343" s="31">
        <f>Settings!$B$21*(Q343-I$6)^2</f>
        <v>0.17314090000284926</v>
      </c>
      <c r="Z343" s="31">
        <f>Settings!$B$22*(R343-J$6)^2</f>
        <v>6.7166467807614778E-3</v>
      </c>
      <c r="AA343" s="31">
        <f>Settings!$B$23*(S343-K$6)^2</f>
        <v>1.9375641679693607</v>
      </c>
      <c r="AB343" s="31">
        <f>Settings!$B$24*(T343-L$6)^2</f>
        <v>2.8249114815826228</v>
      </c>
      <c r="AC343" s="31">
        <f>Settings!$B$25*(U343-M$6)^2</f>
        <v>5.5620661536480238</v>
      </c>
      <c r="AD343" s="19">
        <f t="shared" si="20"/>
        <v>3.4419860340835804</v>
      </c>
      <c r="AE343" s="15">
        <f t="shared" si="21"/>
        <v>1.3624004740929021</v>
      </c>
      <c r="AF343" s="33">
        <f t="shared" si="22"/>
        <v>0.39531691239281935</v>
      </c>
      <c r="AG343" s="47">
        <f t="shared" si="23"/>
        <v>1.7050622702444204E-3</v>
      </c>
      <c r="AH343" s="18">
        <v>2.689603580249034E-2</v>
      </c>
      <c r="AI343" s="46">
        <v>1</v>
      </c>
      <c r="AJ343" s="18">
        <v>-0.47349551503606058</v>
      </c>
      <c r="AK343" s="46">
        <v>1</v>
      </c>
      <c r="AL343" s="48"/>
      <c r="AM343" s="48"/>
    </row>
    <row r="344" spans="1:39" ht="20" customHeight="1" x14ac:dyDescent="0.45">
      <c r="A344" s="26">
        <v>334</v>
      </c>
      <c r="B344" s="16" t="s">
        <v>614</v>
      </c>
      <c r="C344" s="16" t="s">
        <v>216</v>
      </c>
      <c r="D344" s="46">
        <v>28</v>
      </c>
      <c r="E344" s="46">
        <v>1</v>
      </c>
      <c r="F344" s="13">
        <v>0.51097250003078265</v>
      </c>
      <c r="G344" s="13">
        <v>3.3101467441702982E-2</v>
      </c>
      <c r="H344" s="13">
        <v>0.20352712864673189</v>
      </c>
      <c r="I344" s="13">
        <v>-4.4438030778521479E-5</v>
      </c>
      <c r="J344" s="13">
        <v>0.25235446585000398</v>
      </c>
      <c r="K344" s="13">
        <v>15.144742729306451</v>
      </c>
      <c r="L344" s="13">
        <v>0.97465652299831806</v>
      </c>
      <c r="M344" s="13">
        <v>2.4424269117448651</v>
      </c>
      <c r="N344" s="19">
        <f>(F344-Settings!$D$18)/Settings!$E$18</f>
        <v>1.1404286565595432</v>
      </c>
      <c r="O344" s="19">
        <f>(G344-Settings!$D$19)/Settings!$E$19</f>
        <v>0.16557591915414857</v>
      </c>
      <c r="P344" s="19">
        <f>(H344-Settings!$D$20)/Settings!$E$20</f>
        <v>1.3626523126588641</v>
      </c>
      <c r="Q344" s="19">
        <f>(I344-Settings!$D$21)/Settings!$E$21</f>
        <v>3.5662656281469515E-2</v>
      </c>
      <c r="R344" s="19">
        <f>(J344-Settings!$D$22)/Settings!$E$22</f>
        <v>1.2089264473044415E-2</v>
      </c>
      <c r="S344" s="19">
        <f>(K344-Settings!$D$23)/Settings!$E$23</f>
        <v>-3.8363299563355491E-2</v>
      </c>
      <c r="T344" s="19">
        <f>(L344-Settings!$D$24)/Settings!$E$24</f>
        <v>-0.23064380535949233</v>
      </c>
      <c r="U344" s="19">
        <f>(M344-Settings!$D$25)/Settings!$E$25</f>
        <v>1.6831701698319892</v>
      </c>
      <c r="V344" s="31">
        <f>Settings!$B$18*(N344-F$6)^2</f>
        <v>0.13696374446848714</v>
      </c>
      <c r="W344" s="31">
        <f>Settings!$B$19*(O344-G$6)^2</f>
        <v>0.12451334933571223</v>
      </c>
      <c r="X344" s="31">
        <f>Settings!$B$20*(P344-H$6)^2</f>
        <v>8.5763904517153794E-2</v>
      </c>
      <c r="Y344" s="31">
        <f>Settings!$B$21*(Q344-I$6)^2</f>
        <v>1.3720934528675554E-8</v>
      </c>
      <c r="Z344" s="31">
        <f>Settings!$B$22*(R344-J$6)^2</f>
        <v>1.853519664363525E-3</v>
      </c>
      <c r="AA344" s="31">
        <f>Settings!$B$23*(S344-K$6)^2</f>
        <v>6.6822510786909733E-2</v>
      </c>
      <c r="AB344" s="31">
        <f>Settings!$B$24*(T344-L$6)^2</f>
        <v>0.86029522753069909</v>
      </c>
      <c r="AC344" s="31">
        <f>Settings!$B$25*(U344-M$6)^2</f>
        <v>10.674963877842284</v>
      </c>
      <c r="AD344" s="19">
        <f t="shared" si="20"/>
        <v>3.4570473164055109</v>
      </c>
      <c r="AE344" s="15">
        <f t="shared" si="21"/>
        <v>1.3683620026908265</v>
      </c>
      <c r="AF344" s="33">
        <f t="shared" si="22"/>
        <v>0.39211218841397422</v>
      </c>
      <c r="AG344" s="47">
        <f t="shared" si="23"/>
        <v>1.6912398058580582E-3</v>
      </c>
      <c r="AH344" s="18">
        <v>0.63454921116949226</v>
      </c>
      <c r="AI344" s="46">
        <v>1</v>
      </c>
      <c r="AJ344" s="18">
        <v>5.2521035308167541E-2</v>
      </c>
      <c r="AK344" s="46">
        <v>1</v>
      </c>
      <c r="AL344" s="48"/>
      <c r="AM344" s="48"/>
    </row>
    <row r="345" spans="1:39" ht="20" customHeight="1" x14ac:dyDescent="0.45">
      <c r="A345" s="26">
        <v>335</v>
      </c>
      <c r="B345" s="16" t="s">
        <v>350</v>
      </c>
      <c r="C345" s="16" t="s">
        <v>212</v>
      </c>
      <c r="D345" s="46">
        <v>28</v>
      </c>
      <c r="E345" s="46">
        <v>0</v>
      </c>
      <c r="F345" s="13">
        <v>0.17260703647848219</v>
      </c>
      <c r="G345" s="13">
        <v>-0.13955878023892579</v>
      </c>
      <c r="H345" s="13">
        <v>-8.0155715305724629E-2</v>
      </c>
      <c r="I345" s="13">
        <v>1.7004560005099791E-2</v>
      </c>
      <c r="J345" s="13">
        <v>0.59067390797176755</v>
      </c>
      <c r="K345" s="13">
        <v>22.921097046413479</v>
      </c>
      <c r="L345" s="13">
        <v>2.209651169170241</v>
      </c>
      <c r="M345" s="13">
        <v>0.46490489549725739</v>
      </c>
      <c r="N345" s="19">
        <f>(F345-Settings!$D$18)/Settings!$E$18</f>
        <v>-7.0560244350148196E-2</v>
      </c>
      <c r="O345" s="19">
        <f>(G345-Settings!$D$19)/Settings!$E$19</f>
        <v>-0.55374867931803196</v>
      </c>
      <c r="P345" s="19">
        <f>(H345-Settings!$D$20)/Settings!$E$20</f>
        <v>-1.2075688052421945</v>
      </c>
      <c r="Q345" s="19">
        <f>(I345-Settings!$D$21)/Settings!$E$21</f>
        <v>0.24531942846491456</v>
      </c>
      <c r="R345" s="19">
        <f>(J345-Settings!$D$22)/Settings!$E$22</f>
        <v>0.9223536517788582</v>
      </c>
      <c r="S345" s="19">
        <f>(K345-Settings!$D$23)/Settings!$E$23</f>
        <v>2.66218568905445</v>
      </c>
      <c r="T345" s="19">
        <f>(L345-Settings!$D$24)/Settings!$E$24</f>
        <v>0.62317554574877843</v>
      </c>
      <c r="U345" s="19">
        <f>(M345-Settings!$D$25)/Settings!$E$25</f>
        <v>0.34950729741775516</v>
      </c>
      <c r="V345" s="31">
        <f>Settings!$B$18*(N345-F$6)^2</f>
        <v>2.9406957520982782E-2</v>
      </c>
      <c r="W345" s="31">
        <f>Settings!$B$19*(O345-G$6)^2</f>
        <v>9.7174043290587414E-4</v>
      </c>
      <c r="X345" s="31">
        <f>Settings!$B$20*(P345-H$6)^2</f>
        <v>2.0802078783303597</v>
      </c>
      <c r="Y345" s="31">
        <f>Settings!$B$21*(Q345-I$6)^2</f>
        <v>8.7692404106690658E-3</v>
      </c>
      <c r="Z345" s="31">
        <f>Settings!$B$22*(R345-J$6)^2</f>
        <v>0.13251790449043863</v>
      </c>
      <c r="AA345" s="31">
        <f>Settings!$B$23*(S345-K$6)^2</f>
        <v>5.9636007991584847</v>
      </c>
      <c r="AB345" s="31">
        <f>Settings!$B$24*(T345-L$6)^2</f>
        <v>5.4319348046271256E-3</v>
      </c>
      <c r="AC345" s="31">
        <f>Settings!$B$25*(U345-M$6)^2</f>
        <v>3.7387836307626259</v>
      </c>
      <c r="AD345" s="19">
        <f t="shared" si="20"/>
        <v>3.4582784858815367</v>
      </c>
      <c r="AE345" s="15">
        <f t="shared" si="21"/>
        <v>1.3688493218900377</v>
      </c>
      <c r="AF345" s="33">
        <f t="shared" si="22"/>
        <v>0.39185075723669333</v>
      </c>
      <c r="AG345" s="47">
        <f t="shared" si="23"/>
        <v>1.6901122132287698E-3</v>
      </c>
      <c r="AH345" s="18">
        <v>-0.40800269926514038</v>
      </c>
      <c r="AI345" s="46">
        <v>0</v>
      </c>
      <c r="AJ345" s="48"/>
      <c r="AK345" s="48"/>
      <c r="AL345" s="48"/>
      <c r="AM345" s="48"/>
    </row>
    <row r="346" spans="1:39" ht="20" customHeight="1" x14ac:dyDescent="0.45">
      <c r="A346" s="26">
        <v>336</v>
      </c>
      <c r="B346" s="16" t="s">
        <v>491</v>
      </c>
      <c r="C346" s="16" t="s">
        <v>236</v>
      </c>
      <c r="D346" s="46">
        <v>28</v>
      </c>
      <c r="E346" s="46">
        <v>0</v>
      </c>
      <c r="F346" s="13">
        <v>0.18767183152849801</v>
      </c>
      <c r="G346" s="13">
        <v>0.74873632612840235</v>
      </c>
      <c r="H346" s="13">
        <v>3.2078951207131119E-3</v>
      </c>
      <c r="I346" s="13">
        <v>-1.652903725560903E-2</v>
      </c>
      <c r="J346" s="13">
        <v>4.3854909966777357E-2</v>
      </c>
      <c r="K346" s="13">
        <v>14.335987261146499</v>
      </c>
      <c r="L346" s="13">
        <v>1.16935040912832</v>
      </c>
      <c r="M346" s="13">
        <v>1.488818174776789</v>
      </c>
      <c r="N346" s="19">
        <f>(F346-Settings!$D$18)/Settings!$E$18</f>
        <v>-1.6644281980576797E-2</v>
      </c>
      <c r="O346" s="19">
        <f>(G346-Settings!$D$19)/Settings!$E$19</f>
        <v>3.1470019526073578</v>
      </c>
      <c r="P346" s="19">
        <f>(H346-Settings!$D$20)/Settings!$E$20</f>
        <v>-0.45227846410892419</v>
      </c>
      <c r="Q346" s="19">
        <f>(I346-Settings!$D$21)/Settings!$E$21</f>
        <v>-0.16705353014441723</v>
      </c>
      <c r="R346" s="19">
        <f>(J346-Settings!$D$22)/Settings!$E$22</f>
        <v>-0.54888860691181351</v>
      </c>
      <c r="S346" s="19">
        <f>(K346-Settings!$D$23)/Settings!$E$23</f>
        <v>-0.31922547128484707</v>
      </c>
      <c r="T346" s="19">
        <f>(L346-Settings!$D$24)/Settings!$E$24</f>
        <v>-9.6041272437155642E-2</v>
      </c>
      <c r="U346" s="19">
        <f>(M346-Settings!$D$25)/Settings!$E$25</f>
        <v>1.0400458168008109</v>
      </c>
      <c r="V346" s="31">
        <f>Settings!$B$18*(N346-F$6)^2</f>
        <v>2.171868852193733E-2</v>
      </c>
      <c r="W346" s="31">
        <f>Settings!$B$19*(O346-G$6)^2</f>
        <v>2.8432662164117581</v>
      </c>
      <c r="X346" s="31">
        <f>Settings!$B$20*(P346-H$6)^2</f>
        <v>1.219956628358374</v>
      </c>
      <c r="Y346" s="31">
        <f>Settings!$B$21*(Q346-I$6)^2</f>
        <v>8.2400227384921351E-3</v>
      </c>
      <c r="Z346" s="31">
        <f>Settings!$B$22*(R346-J$6)^2</f>
        <v>8.6394523351601749E-2</v>
      </c>
      <c r="AA346" s="31">
        <f>Settings!$B$23*(S346-K$6)^2</f>
        <v>0.29091209641767324</v>
      </c>
      <c r="AB346" s="31">
        <f>Settings!$B$24*(T346-L$6)^2</f>
        <v>0.62871971431681706</v>
      </c>
      <c r="AC346" s="31">
        <f>Settings!$B$25*(U346-M$6)^2</f>
        <v>6.88606859393209</v>
      </c>
      <c r="AD346" s="19">
        <f t="shared" si="20"/>
        <v>3.4619758063927515</v>
      </c>
      <c r="AE346" s="15">
        <f t="shared" si="21"/>
        <v>1.3703127883792892</v>
      </c>
      <c r="AF346" s="33">
        <f t="shared" si="22"/>
        <v>0.39106614324346134</v>
      </c>
      <c r="AG346" s="47">
        <f t="shared" si="23"/>
        <v>1.6867280531419472E-3</v>
      </c>
      <c r="AH346" s="18">
        <v>-0.16381232274952501</v>
      </c>
      <c r="AI346" s="46">
        <v>0</v>
      </c>
      <c r="AJ346" s="18">
        <v>-0.65684456535254609</v>
      </c>
      <c r="AK346" s="46">
        <v>1</v>
      </c>
      <c r="AL346" s="18">
        <v>5.9033404767379671E-2</v>
      </c>
      <c r="AM346" s="46">
        <v>1</v>
      </c>
    </row>
    <row r="347" spans="1:39" ht="20" customHeight="1" x14ac:dyDescent="0.45">
      <c r="A347" s="26">
        <v>337</v>
      </c>
      <c r="B347" s="16" t="s">
        <v>552</v>
      </c>
      <c r="C347" s="16" t="s">
        <v>246</v>
      </c>
      <c r="D347" s="46">
        <v>28</v>
      </c>
      <c r="E347" s="46">
        <v>1</v>
      </c>
      <c r="F347" s="13">
        <v>0.21213270011048829</v>
      </c>
      <c r="G347" s="13">
        <v>-0.17633166869287201</v>
      </c>
      <c r="H347" s="13">
        <v>-7.7289918530339896E-2</v>
      </c>
      <c r="I347" s="13">
        <v>-8.9454234468125202E-3</v>
      </c>
      <c r="J347" s="13">
        <v>0.52530028921948724</v>
      </c>
      <c r="K347" s="13">
        <v>14.72183544303798</v>
      </c>
      <c r="L347" s="13">
        <v>1.482829604912872</v>
      </c>
      <c r="M347" s="13">
        <v>2.1350475969802241</v>
      </c>
      <c r="N347" s="19">
        <f>(F347-Settings!$D$18)/Settings!$E$18</f>
        <v>7.0899641824230281E-2</v>
      </c>
      <c r="O347" s="19">
        <f>(G347-Settings!$D$19)/Settings!$E$19</f>
        <v>-0.70694921955312418</v>
      </c>
      <c r="P347" s="19">
        <f>(H347-Settings!$D$20)/Settings!$E$20</f>
        <v>-1.1816041353697329</v>
      </c>
      <c r="Q347" s="19">
        <f>(I347-Settings!$D$21)/Settings!$E$21</f>
        <v>-7.379549883418203E-2</v>
      </c>
      <c r="R347" s="19">
        <f>(J347-Settings!$D$22)/Settings!$E$22</f>
        <v>0.7464628526976419</v>
      </c>
      <c r="S347" s="19">
        <f>(K347-Settings!$D$23)/Settings!$E$23</f>
        <v>-0.18522927269667566</v>
      </c>
      <c r="T347" s="19">
        <f>(L347-Settings!$D$24)/Settings!$E$24</f>
        <v>0.12068404241368194</v>
      </c>
      <c r="U347" s="19">
        <f>(M347-Settings!$D$25)/Settings!$E$25</f>
        <v>1.475870136516759</v>
      </c>
      <c r="V347" s="31">
        <f>Settings!$B$18*(N347-F$6)^2</f>
        <v>1.1711954753516059E-2</v>
      </c>
      <c r="W347" s="31">
        <f>Settings!$B$19*(O347-G$6)^2</f>
        <v>1.3943213778711706E-3</v>
      </c>
      <c r="X347" s="31">
        <f>Settings!$B$20*(P347-H$6)^2</f>
        <v>2.0468476197594021</v>
      </c>
      <c r="Y347" s="31">
        <f>Settings!$B$21*(Q347-I$6)^2</f>
        <v>2.4076991933538062E-3</v>
      </c>
      <c r="Z347" s="31">
        <f>Settings!$B$22*(R347-J$6)^2</f>
        <v>8.1435654886942876E-2</v>
      </c>
      <c r="AA347" s="31">
        <f>Settings!$B$23*(S347-K$6)^2</f>
        <v>0.16432198112636262</v>
      </c>
      <c r="AB347" s="31">
        <f>Settings!$B$24*(T347-L$6)^2</f>
        <v>0.33199856239561454</v>
      </c>
      <c r="AC347" s="31">
        <f>Settings!$B$25*(U347-M$6)^2</f>
        <v>9.3633324925887287</v>
      </c>
      <c r="AD347" s="19">
        <f t="shared" si="20"/>
        <v>3.4645995852452836</v>
      </c>
      <c r="AE347" s="15">
        <f t="shared" si="21"/>
        <v>1.3713513276171616</v>
      </c>
      <c r="AF347" s="33">
        <f t="shared" si="22"/>
        <v>0.39050979301295613</v>
      </c>
      <c r="AG347" s="47">
        <f t="shared" si="23"/>
        <v>1.6843284295555584E-3</v>
      </c>
      <c r="AH347" s="18">
        <v>5.8004259762830301E-2</v>
      </c>
      <c r="AI347" s="46">
        <v>1</v>
      </c>
      <c r="AJ347" s="48"/>
      <c r="AK347" s="48"/>
      <c r="AL347" s="48"/>
      <c r="AM347" s="48"/>
    </row>
    <row r="348" spans="1:39" ht="20" customHeight="1" x14ac:dyDescent="0.45">
      <c r="A348" s="26">
        <v>338</v>
      </c>
      <c r="B348" s="16" t="s">
        <v>304</v>
      </c>
      <c r="C348" s="16" t="s">
        <v>218</v>
      </c>
      <c r="D348" s="46">
        <v>28</v>
      </c>
      <c r="E348" s="46">
        <v>0</v>
      </c>
      <c r="F348" s="13">
        <v>0.46622474062026009</v>
      </c>
      <c r="G348" s="13">
        <v>-1.164967792557485E-2</v>
      </c>
      <c r="H348" s="13">
        <v>0.18548617016305571</v>
      </c>
      <c r="I348" s="13">
        <v>-2.859869120339148E-2</v>
      </c>
      <c r="J348" s="13">
        <v>0.30804072008771782</v>
      </c>
      <c r="K348" s="13">
        <v>18.229429429429459</v>
      </c>
      <c r="L348" s="13">
        <v>2.6095292441783049</v>
      </c>
      <c r="M348" s="13">
        <v>2.5510416442505068</v>
      </c>
      <c r="N348" s="19">
        <f>(F348-Settings!$D$18)/Settings!$E$18</f>
        <v>0.98027921513067795</v>
      </c>
      <c r="O348" s="19">
        <f>(G348-Settings!$D$19)/Settings!$E$19</f>
        <v>-2.0863056260913716E-2</v>
      </c>
      <c r="P348" s="19">
        <f>(H348-Settings!$D$20)/Settings!$E$20</f>
        <v>1.1991977595534535</v>
      </c>
      <c r="Q348" s="19">
        <f>(I348-Settings!$D$21)/Settings!$E$21</f>
        <v>-0.31547777670354243</v>
      </c>
      <c r="R348" s="19">
        <f>(J348-Settings!$D$22)/Settings!$E$22</f>
        <v>0.16191575324103238</v>
      </c>
      <c r="S348" s="19">
        <f>(K348-Settings!$D$23)/Settings!$E$23</f>
        <v>1.0328774398013929</v>
      </c>
      <c r="T348" s="19">
        <f>(L348-Settings!$D$24)/Settings!$E$24</f>
        <v>0.89963313168577874</v>
      </c>
      <c r="U348" s="19">
        <f>(M348-Settings!$D$25)/Settings!$E$25</f>
        <v>1.7564211551306732</v>
      </c>
      <c r="V348" s="31">
        <f>Settings!$B$18*(N348-F$6)^2</f>
        <v>8.908143002336226E-2</v>
      </c>
      <c r="W348" s="31">
        <f>Settings!$B$19*(O348-G$6)^2</f>
        <v>7.262294507716914E-2</v>
      </c>
      <c r="X348" s="31">
        <f>Settings!$B$20*(P348-H$6)^2</f>
        <v>0.13392221905471133</v>
      </c>
      <c r="Y348" s="31">
        <f>Settings!$B$21*(Q348-I$6)^2</f>
        <v>2.4696723430635573E-2</v>
      </c>
      <c r="Z348" s="31">
        <f>Settings!$B$22*(R348-J$6)^2</f>
        <v>5.736944996029041E-4</v>
      </c>
      <c r="AA348" s="31">
        <f>Settings!$B$23*(S348-K$6)^2</f>
        <v>0.66054668949328066</v>
      </c>
      <c r="AB348" s="31">
        <f>Settings!$B$24*(T348-L$6)^2</f>
        <v>4.1109965178301539E-2</v>
      </c>
      <c r="AC348" s="31">
        <f>Settings!$B$25*(U348-M$6)^2</f>
        <v>11.158989074403234</v>
      </c>
      <c r="AD348" s="19">
        <f t="shared" si="20"/>
        <v>3.4902066903208322</v>
      </c>
      <c r="AE348" s="15">
        <f t="shared" si="21"/>
        <v>1.3814870840524323</v>
      </c>
      <c r="AF348" s="33">
        <f t="shared" si="22"/>
        <v>0.38509959813273537</v>
      </c>
      <c r="AG348" s="47">
        <f t="shared" si="23"/>
        <v>1.6609934320491338E-3</v>
      </c>
      <c r="AH348" s="18">
        <v>-0.17968514169403221</v>
      </c>
      <c r="AI348" s="46">
        <v>0</v>
      </c>
      <c r="AJ348" s="18">
        <v>-1.276116811163027</v>
      </c>
      <c r="AK348" s="46">
        <v>0</v>
      </c>
      <c r="AL348" s="18">
        <v>0.98751932412942667</v>
      </c>
      <c r="AM348" s="46">
        <v>0</v>
      </c>
    </row>
    <row r="349" spans="1:39" ht="20" customHeight="1" x14ac:dyDescent="0.45">
      <c r="A349" s="26">
        <v>339</v>
      </c>
      <c r="B349" s="16" t="s">
        <v>773</v>
      </c>
      <c r="C349" s="16" t="s">
        <v>216</v>
      </c>
      <c r="D349" s="46">
        <v>28</v>
      </c>
      <c r="E349" s="46">
        <v>1</v>
      </c>
      <c r="F349" s="13">
        <v>-0.1891329385886282</v>
      </c>
      <c r="G349" s="13">
        <v>0.15291599592730301</v>
      </c>
      <c r="H349" s="13">
        <v>-8.7101257948846362E-4</v>
      </c>
      <c r="I349" s="13">
        <v>8.5309456261598388E-2</v>
      </c>
      <c r="J349" s="13">
        <v>-0.57177059664298191</v>
      </c>
      <c r="K349" s="13">
        <v>13.000894854586109</v>
      </c>
      <c r="L349" s="13">
        <v>-0.59563732743770836</v>
      </c>
      <c r="M349" s="13">
        <v>0.44388794173109652</v>
      </c>
      <c r="N349" s="19">
        <f>(F349-Settings!$D$18)/Settings!$E$18</f>
        <v>-1.3652050648429133</v>
      </c>
      <c r="O349" s="19">
        <f>(G349-Settings!$D$19)/Settings!$E$19</f>
        <v>0.66473851594050348</v>
      </c>
      <c r="P349" s="19">
        <f>(H349-Settings!$D$20)/Settings!$E$20</f>
        <v>-0.4892341522392375</v>
      </c>
      <c r="Q349" s="19">
        <f>(I349-Settings!$D$21)/Settings!$E$21</f>
        <v>1.0852857445690047</v>
      </c>
      <c r="R349" s="19">
        <f>(J349-Settings!$D$22)/Settings!$E$22</f>
        <v>-2.2052580164542848</v>
      </c>
      <c r="S349" s="19">
        <f>(K349-Settings!$D$23)/Settings!$E$23</f>
        <v>-0.78287235531588373</v>
      </c>
      <c r="T349" s="19">
        <f>(L349-Settings!$D$24)/Settings!$E$24</f>
        <v>-1.316273836699686</v>
      </c>
      <c r="U349" s="19">
        <f>(M349-Settings!$D$25)/Settings!$E$25</f>
        <v>0.33533322972147639</v>
      </c>
      <c r="V349" s="31">
        <f>Settings!$B$18*(N349-F$6)^2</f>
        <v>0.56320122001015027</v>
      </c>
      <c r="W349" s="31">
        <f>Settings!$B$19*(O349-G$6)^2</f>
        <v>0.33188751272874267</v>
      </c>
      <c r="X349" s="31">
        <f>Settings!$B$20*(P349-H$6)^2</f>
        <v>1.2567386506095561</v>
      </c>
      <c r="Y349" s="31">
        <f>Settings!$B$21*(Q349-I$6)^2</f>
        <v>0.22023177022966101</v>
      </c>
      <c r="Z349" s="31">
        <f>Settings!$B$22*(R349-J$6)^2</f>
        <v>1.0705634724832243</v>
      </c>
      <c r="AA349" s="31">
        <f>Settings!$B$23*(S349-K$6)^2</f>
        <v>1.006028177803368</v>
      </c>
      <c r="AB349" s="31">
        <f>Settings!$B$24*(T349-L$6)^2</f>
        <v>4.0527771229309844</v>
      </c>
      <c r="AC349" s="31">
        <f>Settings!$B$25*(U349-M$6)^2</f>
        <v>3.6841707660364738</v>
      </c>
      <c r="AD349" s="19">
        <f t="shared" si="20"/>
        <v>3.490787689452362</v>
      </c>
      <c r="AE349" s="15">
        <f t="shared" si="21"/>
        <v>1.381717054041969</v>
      </c>
      <c r="AF349" s="33">
        <f t="shared" si="22"/>
        <v>0.38497726102350482</v>
      </c>
      <c r="AG349" s="47">
        <f t="shared" si="23"/>
        <v>1.6604657733968965E-3</v>
      </c>
      <c r="AH349" s="18">
        <v>0.2568525234863589</v>
      </c>
      <c r="AI349" s="46">
        <v>1</v>
      </c>
      <c r="AJ349" s="18">
        <v>-5.3984643097661822E-2</v>
      </c>
      <c r="AK349" s="46">
        <v>1</v>
      </c>
      <c r="AL349" s="48"/>
      <c r="AM349" s="48"/>
    </row>
    <row r="350" spans="1:39" ht="20" customHeight="1" x14ac:dyDescent="0.45">
      <c r="A350" s="26">
        <v>340</v>
      </c>
      <c r="B350" s="16" t="s">
        <v>774</v>
      </c>
      <c r="C350" s="16" t="s">
        <v>246</v>
      </c>
      <c r="D350" s="46">
        <v>28</v>
      </c>
      <c r="E350" s="46">
        <v>1</v>
      </c>
      <c r="F350" s="13">
        <v>0.36260929443838058</v>
      </c>
      <c r="G350" s="13">
        <v>0.52891311607158387</v>
      </c>
      <c r="H350" s="13">
        <v>-6.1634209075055457E-3</v>
      </c>
      <c r="I350" s="13">
        <v>-1.987421344463591E-2</v>
      </c>
      <c r="J350" s="13">
        <v>-8.2439955137894011E-2</v>
      </c>
      <c r="K350" s="13">
        <v>9.2223809523809503</v>
      </c>
      <c r="L350" s="13">
        <v>9.5275244086546945E-2</v>
      </c>
      <c r="M350" s="13">
        <v>-0.69758306137603232</v>
      </c>
      <c r="N350" s="19">
        <f>(F350-Settings!$D$18)/Settings!$E$18</f>
        <v>0.60944599246146536</v>
      </c>
      <c r="O350" s="19">
        <f>(G350-Settings!$D$19)/Settings!$E$19</f>
        <v>2.2311904416597388</v>
      </c>
      <c r="P350" s="19">
        <f>(H350-Settings!$D$20)/Settings!$E$20</f>
        <v>-0.53718438941150959</v>
      </c>
      <c r="Q350" s="19">
        <f>(I350-Settings!$D$21)/Settings!$E$21</f>
        <v>-0.2081901905335134</v>
      </c>
      <c r="R350" s="19">
        <f>(J350-Settings!$D$22)/Settings!$E$22</f>
        <v>-0.8886908875120475</v>
      </c>
      <c r="S350" s="19">
        <f>(K350-Settings!$D$23)/Settings!$E$23</f>
        <v>-2.0950633230847742</v>
      </c>
      <c r="T350" s="19">
        <f>(L350-Settings!$D$24)/Settings!$E$24</f>
        <v>-0.83860818420481298</v>
      </c>
      <c r="U350" s="19">
        <f>(M350-Settings!$D$25)/Settings!$E$25</f>
        <v>-0.43448752791038042</v>
      </c>
      <c r="V350" s="31">
        <f>Settings!$B$18*(N350-F$6)^2</f>
        <v>1.7588983412660988E-2</v>
      </c>
      <c r="W350" s="31">
        <f>Settings!$B$19*(O350-G$6)^2</f>
        <v>1.6297979164217438</v>
      </c>
      <c r="X350" s="31">
        <f>Settings!$B$20*(P350-H$6)^2</f>
        <v>1.3052778070653672</v>
      </c>
      <c r="Y350" s="31">
        <f>Settings!$B$21*(Q350-I$6)^2</f>
        <v>1.1918404357508442E-2</v>
      </c>
      <c r="Z350" s="31">
        <f>Settings!$B$22*(R350-J$6)^2</f>
        <v>0.19882114950437565</v>
      </c>
      <c r="AA350" s="31">
        <f>Settings!$B$23*(S350-K$6)^2</f>
        <v>5.3601534845937948</v>
      </c>
      <c r="AB350" s="31">
        <f>Settings!$B$24*(T350-L$6)^2</f>
        <v>2.3577153852166437</v>
      </c>
      <c r="AC350" s="31">
        <f>Settings!$B$25*(U350-M$6)^2</f>
        <v>1.3215769983704733</v>
      </c>
      <c r="AD350" s="19">
        <f t="shared" si="20"/>
        <v>3.4932578102600109</v>
      </c>
      <c r="AE350" s="15">
        <f t="shared" si="21"/>
        <v>1.3826947726399188</v>
      </c>
      <c r="AF350" s="33">
        <f t="shared" si="22"/>
        <v>0.38445735089308852</v>
      </c>
      <c r="AG350" s="47">
        <f t="shared" si="23"/>
        <v>1.6582233215323282E-3</v>
      </c>
      <c r="AH350" s="18">
        <v>0.34544595269222178</v>
      </c>
      <c r="AI350" s="46">
        <v>1</v>
      </c>
      <c r="AJ350" s="48"/>
      <c r="AK350" s="48"/>
      <c r="AL350" s="48"/>
      <c r="AM350" s="48"/>
    </row>
    <row r="351" spans="1:39" ht="20" customHeight="1" x14ac:dyDescent="0.45">
      <c r="A351" s="26">
        <v>341</v>
      </c>
      <c r="B351" s="16" t="s">
        <v>613</v>
      </c>
      <c r="C351" s="16" t="s">
        <v>229</v>
      </c>
      <c r="D351" s="46">
        <v>28</v>
      </c>
      <c r="E351" s="46">
        <v>1</v>
      </c>
      <c r="F351" s="13">
        <v>-0.11821103924598721</v>
      </c>
      <c r="G351" s="13">
        <v>-0.60326805508918202</v>
      </c>
      <c r="H351" s="13">
        <v>1.7596075768642971E-3</v>
      </c>
      <c r="I351" s="13">
        <v>1.472125594359283E-2</v>
      </c>
      <c r="J351" s="13">
        <v>-0.26204004214437371</v>
      </c>
      <c r="K351" s="13">
        <v>9.1786458333333325</v>
      </c>
      <c r="L351" s="13">
        <v>-0.41010572243021282</v>
      </c>
      <c r="M351" s="13">
        <v>-1.316460774383182</v>
      </c>
      <c r="N351" s="19">
        <f>(F351-Settings!$D$18)/Settings!$E$18</f>
        <v>-1.1113800082496375</v>
      </c>
      <c r="O351" s="19">
        <f>(G351-Settings!$D$19)/Settings!$E$19</f>
        <v>-2.4856206210082288</v>
      </c>
      <c r="P351" s="19">
        <f>(H351-Settings!$D$20)/Settings!$E$20</f>
        <v>-0.465400227759239</v>
      </c>
      <c r="Q351" s="19">
        <f>(I351-Settings!$D$21)/Settings!$E$21</f>
        <v>0.21724093620152815</v>
      </c>
      <c r="R351" s="19">
        <f>(J351-Settings!$D$22)/Settings!$E$22</f>
        <v>-1.3719133772801204</v>
      </c>
      <c r="S351" s="19">
        <f>(K351-Settings!$D$23)/Settings!$E$23</f>
        <v>-2.1102515239684836</v>
      </c>
      <c r="T351" s="19">
        <f>(L351-Settings!$D$24)/Settings!$E$24</f>
        <v>-1.1880056898792961</v>
      </c>
      <c r="U351" s="19">
        <f>(M351-Settings!$D$25)/Settings!$E$25</f>
        <v>-0.85186555031461808</v>
      </c>
      <c r="V351" s="31">
        <f>Settings!$B$18*(N351-F$6)^2</f>
        <v>0.40570952958986739</v>
      </c>
      <c r="W351" s="31">
        <f>Settings!$B$19*(O351-G$6)^2</f>
        <v>0.69353359715579321</v>
      </c>
      <c r="X351" s="31">
        <f>Settings!$B$20*(P351-H$6)^2</f>
        <v>1.2329541802750539</v>
      </c>
      <c r="Y351" s="31">
        <f>Settings!$B$21*(Q351-I$6)^2</f>
        <v>6.5751241168656091E-3</v>
      </c>
      <c r="Z351" s="31">
        <f>Settings!$B$22*(R351-J$6)^2</f>
        <v>0.43824045136965895</v>
      </c>
      <c r="AA351" s="31">
        <f>Settings!$B$23*(S351-K$6)^2</f>
        <v>5.430711627448856</v>
      </c>
      <c r="AB351" s="31">
        <f>Settings!$B$24*(T351-L$6)^2</f>
        <v>3.5527835332457802</v>
      </c>
      <c r="AC351" s="31">
        <f>Settings!$B$25*(U351-M$6)^2</f>
        <v>0.53614701071830317</v>
      </c>
      <c r="AD351" s="19">
        <f t="shared" si="20"/>
        <v>3.506658673712082</v>
      </c>
      <c r="AE351" s="15">
        <f t="shared" si="21"/>
        <v>1.3879990773464361</v>
      </c>
      <c r="AF351" s="33">
        <f t="shared" si="22"/>
        <v>0.38164259658862976</v>
      </c>
      <c r="AG351" s="47">
        <f t="shared" si="23"/>
        <v>1.6460828559613238E-3</v>
      </c>
      <c r="AH351" s="18">
        <v>-0.19050336576357871</v>
      </c>
      <c r="AI351" s="46">
        <v>1</v>
      </c>
      <c r="AJ351" s="18">
        <v>0.1166088311691014</v>
      </c>
      <c r="AK351" s="46">
        <v>1</v>
      </c>
      <c r="AL351" s="48"/>
      <c r="AM351" s="48"/>
    </row>
    <row r="352" spans="1:39" ht="20" customHeight="1" x14ac:dyDescent="0.45">
      <c r="A352" s="26">
        <v>342</v>
      </c>
      <c r="B352" s="16" t="s">
        <v>775</v>
      </c>
      <c r="C352" s="16" t="s">
        <v>271</v>
      </c>
      <c r="D352" s="46">
        <v>28</v>
      </c>
      <c r="E352" s="46">
        <v>0</v>
      </c>
      <c r="F352" s="13">
        <v>0.12534250718185999</v>
      </c>
      <c r="G352" s="13">
        <v>-5.2187637875079858E-2</v>
      </c>
      <c r="H352" s="13">
        <v>0.13259008651933549</v>
      </c>
      <c r="I352" s="13">
        <v>7.1922369432323439E-4</v>
      </c>
      <c r="J352" s="13">
        <v>0.68916054472940136</v>
      </c>
      <c r="K352" s="13">
        <v>17.980729166666681</v>
      </c>
      <c r="L352" s="13">
        <v>3.8897398021594629</v>
      </c>
      <c r="M352" s="13">
        <v>2.2714202664403338</v>
      </c>
      <c r="N352" s="19">
        <f>(F352-Settings!$D$18)/Settings!$E$18</f>
        <v>-0.23971704831008736</v>
      </c>
      <c r="O352" s="19">
        <f>(G352-Settings!$D$19)/Settings!$E$19</f>
        <v>-0.18974936422854999</v>
      </c>
      <c r="P352" s="19">
        <f>(H352-Settings!$D$20)/Settings!$E$20</f>
        <v>0.71994906992125396</v>
      </c>
      <c r="Q352" s="19">
        <f>(I352-Settings!$D$21)/Settings!$E$21</f>
        <v>4.5053639375487294E-2</v>
      </c>
      <c r="R352" s="19">
        <f>(J352-Settings!$D$22)/Settings!$E$22</f>
        <v>1.1873365847837327</v>
      </c>
      <c r="S352" s="19">
        <f>(K352-Settings!$D$23)/Settings!$E$23</f>
        <v>0.94650955895580113</v>
      </c>
      <c r="T352" s="19">
        <f>(L352-Settings!$D$24)/Settings!$E$24</f>
        <v>1.784712715865016</v>
      </c>
      <c r="U352" s="19">
        <f>(M352-Settings!$D$25)/Settings!$E$25</f>
        <v>1.5678413836516349</v>
      </c>
      <c r="V352" s="31">
        <f>Settings!$B$18*(N352-F$6)^2</f>
        <v>6.1075111069236736E-2</v>
      </c>
      <c r="W352" s="31">
        <f>Settings!$B$19*(O352-G$6)^2</f>
        <v>3.7619780984738158E-2</v>
      </c>
      <c r="X352" s="31">
        <f>Settings!$B$20*(P352-H$6)^2</f>
        <v>0.33672531696054564</v>
      </c>
      <c r="Y352" s="31">
        <f>Settings!$B$21*(Q352-I$6)^2</f>
        <v>1.6667940566696713E-5</v>
      </c>
      <c r="Z352" s="31">
        <f>Settings!$B$22*(R352-J$6)^2</f>
        <v>0.23283911670293278</v>
      </c>
      <c r="AA352" s="31">
        <f>Settings!$B$23*(S352-K$6)^2</f>
        <v>0.52761679679529272</v>
      </c>
      <c r="AB352" s="31">
        <f>Settings!$B$24*(T352-L$6)^2</f>
        <v>1.183386095330073</v>
      </c>
      <c r="AC352" s="31">
        <f>Settings!$B$25*(U352-M$6)^2</f>
        <v>9.9346471951034019</v>
      </c>
      <c r="AD352" s="19">
        <f t="shared" si="20"/>
        <v>3.5091204141332608</v>
      </c>
      <c r="AE352" s="15">
        <f t="shared" si="21"/>
        <v>1.3889734788354882</v>
      </c>
      <c r="AF352" s="33">
        <f t="shared" si="22"/>
        <v>0.3811266050044263</v>
      </c>
      <c r="AG352" s="47">
        <f t="shared" si="23"/>
        <v>1.6438573053855501E-3</v>
      </c>
      <c r="AH352" s="18">
        <v>7.3849952339713809E-2</v>
      </c>
      <c r="AI352" s="46">
        <v>1</v>
      </c>
      <c r="AJ352" s="18">
        <v>-0.58053195987511153</v>
      </c>
      <c r="AK352" s="46">
        <v>1</v>
      </c>
      <c r="AL352" s="18">
        <v>0.72227747953277532</v>
      </c>
      <c r="AM352" s="46">
        <v>1</v>
      </c>
    </row>
    <row r="353" spans="1:39" ht="20" customHeight="1" x14ac:dyDescent="0.45">
      <c r="A353" s="26">
        <v>343</v>
      </c>
      <c r="B353" s="16" t="s">
        <v>669</v>
      </c>
      <c r="C353" s="16" t="s">
        <v>246</v>
      </c>
      <c r="D353" s="46">
        <v>28</v>
      </c>
      <c r="E353" s="46">
        <v>1</v>
      </c>
      <c r="F353" s="13">
        <v>0.22789616062597179</v>
      </c>
      <c r="G353" s="13">
        <v>0.36524565367443962</v>
      </c>
      <c r="H353" s="13">
        <v>-1.0784939986684249E-3</v>
      </c>
      <c r="I353" s="13">
        <v>2.2532396270131271E-2</v>
      </c>
      <c r="J353" s="13">
        <v>0.38324729543078889</v>
      </c>
      <c r="K353" s="13">
        <v>11.260617283950619</v>
      </c>
      <c r="L353" s="13">
        <v>1.2489602043799981</v>
      </c>
      <c r="M353" s="13">
        <v>1.512377834739955</v>
      </c>
      <c r="N353" s="19">
        <f>(F353-Settings!$D$18)/Settings!$E$18</f>
        <v>0.12731608434105965</v>
      </c>
      <c r="O353" s="19">
        <f>(G353-Settings!$D$19)/Settings!$E$19</f>
        <v>1.549330932865608</v>
      </c>
      <c r="P353" s="19">
        <f>(H353-Settings!$D$20)/Settings!$E$20</f>
        <v>-0.49111397379530525</v>
      </c>
      <c r="Q353" s="19">
        <f>(I353-Settings!$D$21)/Settings!$E$21</f>
        <v>0.31329693107510742</v>
      </c>
      <c r="R353" s="19">
        <f>(J353-Settings!$D$22)/Settings!$E$22</f>
        <v>0.36426258497111852</v>
      </c>
      <c r="S353" s="19">
        <f>(K353-Settings!$D$23)/Settings!$E$23</f>
        <v>-1.3872307270730899</v>
      </c>
      <c r="T353" s="19">
        <f>(L353-Settings!$D$24)/Settings!$E$24</f>
        <v>-4.1002666452634062E-2</v>
      </c>
      <c r="U353" s="19">
        <f>(M353-Settings!$D$25)/Settings!$E$25</f>
        <v>1.0559347138757471</v>
      </c>
      <c r="V353" s="31">
        <f>Settings!$B$18*(N353-F$6)^2</f>
        <v>6.8876031674520027E-3</v>
      </c>
      <c r="W353" s="31">
        <f>Settings!$B$19*(O353-G$6)^2</f>
        <v>0.94419806514657145</v>
      </c>
      <c r="X353" s="31">
        <f>Settings!$B$20*(P353-H$6)^2</f>
        <v>1.2586242390851285</v>
      </c>
      <c r="Y353" s="31">
        <f>Settings!$B$21*(Q353-I$6)^2</f>
        <v>1.5387084092994198E-2</v>
      </c>
      <c r="Z353" s="31">
        <f>Settings!$B$22*(R353-J$6)^2</f>
        <v>1.309746913164455E-2</v>
      </c>
      <c r="AA353" s="31">
        <f>Settings!$B$23*(S353-K$6)^2</f>
        <v>2.5836316686054941</v>
      </c>
      <c r="AB353" s="31">
        <f>Settings!$B$24*(T353-L$6)^2</f>
        <v>0.54446670698006872</v>
      </c>
      <c r="AC353" s="31">
        <f>Settings!$B$25*(U353-M$6)^2</f>
        <v>6.9697101765347327</v>
      </c>
      <c r="AD353" s="19">
        <f t="shared" si="20"/>
        <v>3.5122646558515611</v>
      </c>
      <c r="AE353" s="15">
        <f t="shared" si="21"/>
        <v>1.390218026711411</v>
      </c>
      <c r="AF353" s="33">
        <f t="shared" si="22"/>
        <v>0.38046804724990452</v>
      </c>
      <c r="AG353" s="47">
        <f t="shared" si="23"/>
        <v>1.6410168451249068E-3</v>
      </c>
      <c r="AH353" s="18">
        <v>1.1752245734569341E-2</v>
      </c>
      <c r="AI353" s="46">
        <v>1</v>
      </c>
      <c r="AJ353" s="48"/>
      <c r="AK353" s="48"/>
      <c r="AL353" s="48"/>
      <c r="AM353" s="48"/>
    </row>
    <row r="354" spans="1:39" ht="20" customHeight="1" x14ac:dyDescent="0.45">
      <c r="A354" s="26">
        <v>344</v>
      </c>
      <c r="B354" s="16" t="s">
        <v>776</v>
      </c>
      <c r="C354" s="16" t="s">
        <v>236</v>
      </c>
      <c r="D354" s="46">
        <v>28</v>
      </c>
      <c r="E354" s="46">
        <v>0</v>
      </c>
      <c r="F354" s="13">
        <v>0.16968910333431581</v>
      </c>
      <c r="G354" s="13">
        <v>-8.078710647275382E-2</v>
      </c>
      <c r="H354" s="13">
        <v>4.5817893577807439E-4</v>
      </c>
      <c r="I354" s="13">
        <v>0.28852304980418941</v>
      </c>
      <c r="J354" s="13">
        <v>0.46054256145296291</v>
      </c>
      <c r="K354" s="13">
        <v>9.8591549295774641</v>
      </c>
      <c r="L354" s="13">
        <v>0.45657398483293721</v>
      </c>
      <c r="M354" s="13">
        <v>-5.1488292785136343E-2</v>
      </c>
      <c r="N354" s="19">
        <f>(F354-Settings!$D$18)/Settings!$E$18</f>
        <v>-8.1003345173988134E-2</v>
      </c>
      <c r="O354" s="19">
        <f>(G354-Settings!$D$19)/Settings!$E$19</f>
        <v>-0.30889839558863658</v>
      </c>
      <c r="P354" s="19">
        <f>(H354-Settings!$D$20)/Settings!$E$20</f>
        <v>-0.47719142150982646</v>
      </c>
      <c r="Q354" s="19">
        <f>(I354-Settings!$D$21)/Settings!$E$21</f>
        <v>3.584265801712482</v>
      </c>
      <c r="R354" s="19">
        <f>(J354-Settings!$D$22)/Settings!$E$22</f>
        <v>0.57222913731010994</v>
      </c>
      <c r="S354" s="19">
        <f>(K354-Settings!$D$23)/Settings!$E$23</f>
        <v>-1.8739263673890716</v>
      </c>
      <c r="T354" s="19">
        <f>(L354-Settings!$D$24)/Settings!$E$24</f>
        <v>-0.58882260227009231</v>
      </c>
      <c r="U354" s="19">
        <f>(M354-Settings!$D$25)/Settings!$E$25</f>
        <v>1.2459799095664689E-3</v>
      </c>
      <c r="V354" s="31">
        <f>Settings!$B$18*(N354-F$6)^2</f>
        <v>3.1030536817392103E-2</v>
      </c>
      <c r="W354" s="31">
        <f>Settings!$B$19*(O354-G$6)^2</f>
        <v>1.9788928714787962E-2</v>
      </c>
      <c r="X354" s="31">
        <f>Settings!$B$20*(P354-H$6)^2</f>
        <v>1.2446925082816613</v>
      </c>
      <c r="Y354" s="31">
        <f>Settings!$B$21*(Q354-I$6)^2</f>
        <v>2.5181450834113313</v>
      </c>
      <c r="Z354" s="31">
        <f>Settings!$B$22*(R354-J$6)^2</f>
        <v>4.3035354942621257E-2</v>
      </c>
      <c r="AA354" s="31">
        <f>Settings!$B$23*(S354-K$6)^2</f>
        <v>4.3851022446187642</v>
      </c>
      <c r="AB354" s="31">
        <f>Settings!$B$24*(T354-L$6)^2</f>
        <v>1.6530239983959889</v>
      </c>
      <c r="AC354" s="31">
        <f>Settings!$B$25*(U354-M$6)^2</f>
        <v>2.5132779710323101</v>
      </c>
      <c r="AD354" s="19">
        <f t="shared" si="20"/>
        <v>3.5225128283960667</v>
      </c>
      <c r="AE354" s="15">
        <f t="shared" si="21"/>
        <v>1.3942744391997137</v>
      </c>
      <c r="AF354" s="33">
        <f t="shared" si="22"/>
        <v>0.37832540045957341</v>
      </c>
      <c r="AG354" s="47">
        <f t="shared" si="23"/>
        <v>1.6317752819989065E-3</v>
      </c>
      <c r="AH354" s="18">
        <v>0.25411633839177489</v>
      </c>
      <c r="AI354" s="46">
        <v>0</v>
      </c>
      <c r="AJ354" s="18">
        <v>8.9162305833918487E-2</v>
      </c>
      <c r="AK354" s="46">
        <v>1</v>
      </c>
      <c r="AL354" s="48"/>
      <c r="AM354" s="48"/>
    </row>
    <row r="355" spans="1:39" ht="20" customHeight="1" x14ac:dyDescent="0.45">
      <c r="A355" s="26">
        <v>345</v>
      </c>
      <c r="B355" s="16" t="s">
        <v>660</v>
      </c>
      <c r="C355" s="16" t="s">
        <v>260</v>
      </c>
      <c r="D355" s="46">
        <v>28</v>
      </c>
      <c r="E355" s="46">
        <v>1</v>
      </c>
      <c r="F355" s="13">
        <v>-0.34486458509787199</v>
      </c>
      <c r="G355" s="13">
        <v>-9.3124415590911572E-2</v>
      </c>
      <c r="H355" s="13">
        <v>-1.482439109821631E-4</v>
      </c>
      <c r="I355" s="13">
        <v>0.16715557785726429</v>
      </c>
      <c r="J355" s="13">
        <v>-0.39470717754297002</v>
      </c>
      <c r="K355" s="13">
        <v>11.53460144927536</v>
      </c>
      <c r="L355" s="13">
        <v>-0.56261237944092679</v>
      </c>
      <c r="M355" s="13">
        <v>-0.1056153663027174</v>
      </c>
      <c r="N355" s="19">
        <f>(F355-Settings!$D$18)/Settings!$E$18</f>
        <v>-1.9225589196459341</v>
      </c>
      <c r="O355" s="19">
        <f>(G355-Settings!$D$19)/Settings!$E$19</f>
        <v>-0.36029719784253639</v>
      </c>
      <c r="P355" s="19">
        <f>(H355-Settings!$D$20)/Settings!$E$20</f>
        <v>-0.48268572911547802</v>
      </c>
      <c r="Q355" s="19">
        <f>(I355-Settings!$D$21)/Settings!$E$21</f>
        <v>2.0917726732066888</v>
      </c>
      <c r="R355" s="19">
        <f>(J355-Settings!$D$22)/Settings!$E$22</f>
        <v>-1.7288605511163717</v>
      </c>
      <c r="S355" s="19">
        <f>(K355-Settings!$D$23)/Settings!$E$23</f>
        <v>-1.2920823284285841</v>
      </c>
      <c r="T355" s="19">
        <f>(L355-Settings!$D$24)/Settings!$E$24</f>
        <v>-1.2934418837382713</v>
      </c>
      <c r="U355" s="19">
        <f>(M355-Settings!$D$25)/Settings!$E$25</f>
        <v>-3.5257921311119066E-2</v>
      </c>
      <c r="V355" s="31">
        <f>Settings!$B$18*(N355-F$6)^2</f>
        <v>0.99944718797745336</v>
      </c>
      <c r="W355" s="31">
        <f>Settings!$B$19*(O355-G$6)^2</f>
        <v>1.385020267375596E-2</v>
      </c>
      <c r="X355" s="31">
        <f>Settings!$B$20*(P355-H$6)^2</f>
        <v>1.2501811765655855</v>
      </c>
      <c r="Y355" s="31">
        <f>Settings!$B$21*(Q355-I$6)^2</f>
        <v>0.84530227546628756</v>
      </c>
      <c r="Z355" s="31">
        <f>Settings!$B$22*(R355-J$6)^2</f>
        <v>0.67507412946517098</v>
      </c>
      <c r="AA355" s="31">
        <f>Settings!$B$23*(S355-K$6)^2</f>
        <v>2.2868079168582591</v>
      </c>
      <c r="AB355" s="31">
        <f>Settings!$B$24*(T355-L$6)^2</f>
        <v>3.9613700811596888</v>
      </c>
      <c r="AC355" s="31">
        <f>Settings!$B$25*(U355-M$6)^2</f>
        <v>2.3988688906871118</v>
      </c>
      <c r="AD355" s="19">
        <f t="shared" si="20"/>
        <v>3.525748411451576</v>
      </c>
      <c r="AE355" s="15">
        <f t="shared" si="21"/>
        <v>1.3955551416328853</v>
      </c>
      <c r="AF355" s="33">
        <f t="shared" si="22"/>
        <v>0.37765013654077528</v>
      </c>
      <c r="AG355" s="47">
        <f t="shared" si="23"/>
        <v>1.6288627654980792E-3</v>
      </c>
      <c r="AH355" s="48"/>
      <c r="AI355" s="48"/>
      <c r="AJ355" s="48"/>
      <c r="AK355" s="48"/>
      <c r="AL355" s="48"/>
      <c r="AM355" s="48"/>
    </row>
    <row r="356" spans="1:39" ht="20" customHeight="1" x14ac:dyDescent="0.45">
      <c r="A356" s="26">
        <v>346</v>
      </c>
      <c r="B356" s="16" t="s">
        <v>680</v>
      </c>
      <c r="C356" s="16" t="s">
        <v>214</v>
      </c>
      <c r="D356" s="46">
        <v>28</v>
      </c>
      <c r="E356" s="46">
        <v>1</v>
      </c>
      <c r="F356" s="13">
        <v>-0.23305392044517251</v>
      </c>
      <c r="G356" s="13">
        <v>0.1552083106102472</v>
      </c>
      <c r="H356" s="13">
        <v>1.4215249939260701E-3</v>
      </c>
      <c r="I356" s="13">
        <v>7.4624717854658074E-2</v>
      </c>
      <c r="J356" s="13">
        <v>-0.53569152609599624</v>
      </c>
      <c r="K356" s="13">
        <v>10.26933962264151</v>
      </c>
      <c r="L356" s="13">
        <v>6.4449056212492403E-4</v>
      </c>
      <c r="M356" s="13">
        <v>7.1235186793478816E-2</v>
      </c>
      <c r="N356" s="19">
        <f>(F356-Settings!$D$18)/Settings!$E$18</f>
        <v>-1.5223955209460369</v>
      </c>
      <c r="O356" s="19">
        <f>(G356-Settings!$D$19)/Settings!$E$19</f>
        <v>0.67428859107957506</v>
      </c>
      <c r="P356" s="19">
        <f>(H356-Settings!$D$20)/Settings!$E$20</f>
        <v>-0.46846332097332144</v>
      </c>
      <c r="Q356" s="19">
        <f>(I356-Settings!$D$21)/Settings!$E$21</f>
        <v>0.95389223033963988</v>
      </c>
      <c r="R356" s="19">
        <f>(J356-Settings!$D$22)/Settings!$E$22</f>
        <v>-2.1081855785238766</v>
      </c>
      <c r="S356" s="19">
        <f>(K356-Settings!$D$23)/Settings!$E$23</f>
        <v>-1.7314786582403565</v>
      </c>
      <c r="T356" s="19">
        <f>(L356-Settings!$D$24)/Settings!$E$24</f>
        <v>-0.90403160026540452</v>
      </c>
      <c r="U356" s="19">
        <f>(M356-Settings!$D$25)/Settings!$E$25</f>
        <v>8.4012061370472929E-2</v>
      </c>
      <c r="V356" s="31">
        <f>Settings!$B$18*(N356-F$6)^2</f>
        <v>0.67365525656254455</v>
      </c>
      <c r="W356" s="31">
        <f>Settings!$B$19*(O356-G$6)^2</f>
        <v>0.33682668409378236</v>
      </c>
      <c r="X356" s="31">
        <f>Settings!$B$20*(P356-H$6)^2</f>
        <v>1.2359981931326223</v>
      </c>
      <c r="Y356" s="31">
        <f>Settings!$B$21*(Q356-I$6)^2</f>
        <v>0.16853292096659497</v>
      </c>
      <c r="Z356" s="31">
        <f>Settings!$B$22*(R356-J$6)^2</f>
        <v>0.98261275960595418</v>
      </c>
      <c r="AA356" s="31">
        <f>Settings!$B$23*(S356-K$6)^2</f>
        <v>3.8088044771032927</v>
      </c>
      <c r="AB356" s="31">
        <f>Settings!$B$24*(T356-L$6)^2</f>
        <v>2.5629090077341008</v>
      </c>
      <c r="AC356" s="31">
        <f>Settings!$B$25*(U356-M$6)^2</f>
        <v>2.7825516521511786</v>
      </c>
      <c r="AD356" s="19">
        <f t="shared" si="20"/>
        <v>3.5428647943931013</v>
      </c>
      <c r="AE356" s="15">
        <f t="shared" si="21"/>
        <v>1.402330116314181</v>
      </c>
      <c r="AF356" s="33">
        <f t="shared" si="22"/>
        <v>0.37408775219162349</v>
      </c>
      <c r="AG356" s="47">
        <f t="shared" si="23"/>
        <v>1.6134976572635693E-3</v>
      </c>
      <c r="AH356" s="48"/>
      <c r="AI356" s="48"/>
      <c r="AJ356" s="48"/>
      <c r="AK356" s="48"/>
      <c r="AL356" s="48"/>
      <c r="AM356" s="48"/>
    </row>
    <row r="357" spans="1:39" ht="20" customHeight="1" x14ac:dyDescent="0.45">
      <c r="A357" s="26">
        <v>347</v>
      </c>
      <c r="B357" s="16" t="s">
        <v>659</v>
      </c>
      <c r="C357" s="16" t="s">
        <v>229</v>
      </c>
      <c r="D357" s="46">
        <v>28</v>
      </c>
      <c r="E357" s="46">
        <v>1</v>
      </c>
      <c r="F357" s="13">
        <v>0.65003403488344702</v>
      </c>
      <c r="G357" s="13">
        <v>0.2009593749857933</v>
      </c>
      <c r="H357" s="13">
        <v>6.230907996451672E-3</v>
      </c>
      <c r="I357" s="13">
        <v>-4.8114408032661812E-3</v>
      </c>
      <c r="J357" s="13">
        <v>0.1379642413310419</v>
      </c>
      <c r="K357" s="13">
        <v>11.95644257703082</v>
      </c>
      <c r="L357" s="13">
        <v>1.9351600475647359</v>
      </c>
      <c r="M357" s="13">
        <v>1.949897647206168</v>
      </c>
      <c r="N357" s="19">
        <f>(F357-Settings!$D$18)/Settings!$E$18</f>
        <v>1.6381212209308869</v>
      </c>
      <c r="O357" s="19">
        <f>(G357-Settings!$D$19)/Settings!$E$19</f>
        <v>0.86489335652905053</v>
      </c>
      <c r="P357" s="19">
        <f>(H357-Settings!$D$20)/Settings!$E$20</f>
        <v>-0.42488938613488841</v>
      </c>
      <c r="Q357" s="19">
        <f>(I357-Settings!$D$21)/Settings!$E$21</f>
        <v>-2.2958642880279632E-2</v>
      </c>
      <c r="R357" s="19">
        <f>(J357-Settings!$D$22)/Settings!$E$22</f>
        <v>-0.29568302015389714</v>
      </c>
      <c r="S357" s="19">
        <f>(K357-Settings!$D$23)/Settings!$E$23</f>
        <v>-1.1455866076238754</v>
      </c>
      <c r="T357" s="19">
        <f>(L357-Settings!$D$24)/Settings!$E$24</f>
        <v>0.43340481916251289</v>
      </c>
      <c r="U357" s="19">
        <f>(M357-Settings!$D$25)/Settings!$E$25</f>
        <v>1.3510029482810653</v>
      </c>
      <c r="V357" s="31">
        <f>Settings!$B$18*(N357-F$6)^2</f>
        <v>0.35124707551780565</v>
      </c>
      <c r="W357" s="31">
        <f>Settings!$B$19*(O357-G$6)^2</f>
        <v>0.44303501743186668</v>
      </c>
      <c r="X357" s="31">
        <f>Settings!$B$20*(P357-H$6)^2</f>
        <v>1.193048728651974</v>
      </c>
      <c r="Y357" s="31">
        <f>Settings!$B$21*(Q357-I$6)^2</f>
        <v>6.9344681605364319E-4</v>
      </c>
      <c r="Z357" s="31">
        <f>Settings!$B$22*(R357-J$6)^2</f>
        <v>3.264976949657733E-2</v>
      </c>
      <c r="AA357" s="31">
        <f>Settings!$B$23*(S357-K$6)^2</f>
        <v>1.8652015319843325</v>
      </c>
      <c r="AB357" s="31">
        <f>Settings!$B$24*(T357-L$6)^2</f>
        <v>6.9417698914835596E-2</v>
      </c>
      <c r="AC357" s="31">
        <f>Settings!$B$25*(U357-M$6)^2</f>
        <v>8.614748031341966</v>
      </c>
      <c r="AD357" s="19">
        <f t="shared" si="20"/>
        <v>3.545425404680715</v>
      </c>
      <c r="AE357" s="15">
        <f t="shared" si="21"/>
        <v>1.4033436522888383</v>
      </c>
      <c r="AF357" s="33">
        <f t="shared" si="22"/>
        <v>0.37355624257719194</v>
      </c>
      <c r="AG357" s="47">
        <f t="shared" si="23"/>
        <v>1.6112051750513769E-3</v>
      </c>
      <c r="AH357" s="18">
        <v>0.46101260615278111</v>
      </c>
      <c r="AI357" s="46">
        <v>1</v>
      </c>
      <c r="AJ357" s="18">
        <v>-1.396478786882019</v>
      </c>
      <c r="AK357" s="46">
        <v>1</v>
      </c>
      <c r="AL357" s="18">
        <v>-0.44496861050887698</v>
      </c>
      <c r="AM357" s="46">
        <v>1</v>
      </c>
    </row>
    <row r="358" spans="1:39" ht="20" customHeight="1" x14ac:dyDescent="0.45">
      <c r="A358" s="26">
        <v>348</v>
      </c>
      <c r="B358" s="16" t="s">
        <v>494</v>
      </c>
      <c r="C358" s="16" t="s">
        <v>216</v>
      </c>
      <c r="D358" s="46">
        <v>28</v>
      </c>
      <c r="E358" s="46">
        <v>1</v>
      </c>
      <c r="F358" s="13">
        <v>0.33631926916105681</v>
      </c>
      <c r="G358" s="13">
        <v>0.31633061524857098</v>
      </c>
      <c r="H358" s="13">
        <v>1.2238132087073779E-2</v>
      </c>
      <c r="I358" s="13">
        <v>-1.6927818605359361E-2</v>
      </c>
      <c r="J358" s="13">
        <v>0.31818416489793899</v>
      </c>
      <c r="K358" s="13">
        <v>17.090661938534279</v>
      </c>
      <c r="L358" s="13">
        <v>1.4398225810321721</v>
      </c>
      <c r="M358" s="13">
        <v>2.340710108717575</v>
      </c>
      <c r="N358" s="19">
        <f>(F358-Settings!$D$18)/Settings!$E$18</f>
        <v>0.51535563087066627</v>
      </c>
      <c r="O358" s="19">
        <f>(G358-Settings!$D$19)/Settings!$E$19</f>
        <v>1.3455446482540931</v>
      </c>
      <c r="P358" s="19">
        <f>(H358-Settings!$D$20)/Settings!$E$20</f>
        <v>-0.37046278069565164</v>
      </c>
      <c r="Q358" s="19">
        <f>(I358-Settings!$D$21)/Settings!$E$21</f>
        <v>-0.1719574670455575</v>
      </c>
      <c r="R358" s="19">
        <f>(J358-Settings!$D$22)/Settings!$E$22</f>
        <v>0.18920716906224674</v>
      </c>
      <c r="S358" s="19">
        <f>(K358-Settings!$D$23)/Settings!$E$23</f>
        <v>0.63740968326636249</v>
      </c>
      <c r="T358" s="19">
        <f>(L358-Settings!$D$24)/Settings!$E$24</f>
        <v>9.0950934390308963E-2</v>
      </c>
      <c r="U358" s="19">
        <f>(M358-Settings!$D$25)/Settings!$E$25</f>
        <v>1.6145712249992137</v>
      </c>
      <c r="V358" s="31">
        <f>Settings!$B$18*(N358-F$6)^2</f>
        <v>8.1983926571405734E-3</v>
      </c>
      <c r="W358" s="31">
        <f>Settings!$B$19*(O358-G$6)^2</f>
        <v>0.77539040337357334</v>
      </c>
      <c r="X358" s="31">
        <f>Settings!$B$20*(P358-H$6)^2</f>
        <v>1.1404688936034926</v>
      </c>
      <c r="Y358" s="31">
        <f>Settings!$B$21*(Q358-I$6)^2</f>
        <v>8.642989198092775E-3</v>
      </c>
      <c r="Z358" s="31">
        <f>Settings!$B$22*(R358-J$6)^2</f>
        <v>1.3073295730610694E-3</v>
      </c>
      <c r="AA358" s="31">
        <f>Settings!$B$23*(S358-K$6)^2</f>
        <v>0.17411632123574255</v>
      </c>
      <c r="AB358" s="31">
        <f>Settings!$B$24*(T358-L$6)^2</f>
        <v>0.3671466472914392</v>
      </c>
      <c r="AC358" s="31">
        <f>Settings!$B$25*(U358-M$6)^2</f>
        <v>10.231409020611581</v>
      </c>
      <c r="AD358" s="19">
        <f t="shared" si="20"/>
        <v>3.5646430392879624</v>
      </c>
      <c r="AE358" s="15">
        <f t="shared" si="21"/>
        <v>1.4109503404742625</v>
      </c>
      <c r="AF358" s="33">
        <f t="shared" si="22"/>
        <v>0.36957912098851375</v>
      </c>
      <c r="AG358" s="47">
        <f t="shared" si="23"/>
        <v>1.5940512417071558E-3</v>
      </c>
      <c r="AH358" s="18">
        <v>0.2631397069553747</v>
      </c>
      <c r="AI358" s="46">
        <v>1</v>
      </c>
      <c r="AJ358" s="18">
        <v>-0.71873361965808269</v>
      </c>
      <c r="AK358" s="46">
        <v>1</v>
      </c>
      <c r="AL358" s="48"/>
      <c r="AM358" s="48"/>
    </row>
    <row r="359" spans="1:39" ht="20" customHeight="1" x14ac:dyDescent="0.45">
      <c r="A359" s="26">
        <v>349</v>
      </c>
      <c r="B359" s="16" t="s">
        <v>516</v>
      </c>
      <c r="C359" s="16" t="s">
        <v>260</v>
      </c>
      <c r="D359" s="46">
        <v>28</v>
      </c>
      <c r="E359" s="46">
        <v>1</v>
      </c>
      <c r="F359" s="13">
        <v>0.12214930668127059</v>
      </c>
      <c r="G359" s="13">
        <v>-3.1445977675258953E-2</v>
      </c>
      <c r="H359" s="13">
        <v>-1.2664368586252431E-3</v>
      </c>
      <c r="I359" s="13">
        <v>8.2303392832238045E-2</v>
      </c>
      <c r="J359" s="13">
        <v>-0.76283488595260707</v>
      </c>
      <c r="K359" s="13">
        <v>11.789887640449439</v>
      </c>
      <c r="L359" s="13">
        <v>-0.81651153935548071</v>
      </c>
      <c r="M359" s="13">
        <v>0.1035920451550235</v>
      </c>
      <c r="N359" s="19">
        <f>(F359-Settings!$D$18)/Settings!$E$18</f>
        <v>-0.25114531384285299</v>
      </c>
      <c r="O359" s="19">
        <f>(G359-Settings!$D$19)/Settings!$E$19</f>
        <v>-0.10333696418102882</v>
      </c>
      <c r="P359" s="19">
        <f>(H359-Settings!$D$20)/Settings!$E$20</f>
        <v>-0.49281677224758208</v>
      </c>
      <c r="Q359" s="19">
        <f>(I359-Settings!$D$21)/Settings!$E$21</f>
        <v>1.0483192580780045</v>
      </c>
      <c r="R359" s="19">
        <f>(J359-Settings!$D$22)/Settings!$E$22</f>
        <v>-2.7193254822603206</v>
      </c>
      <c r="S359" s="19">
        <f>(K359-Settings!$D$23)/Settings!$E$23</f>
        <v>-1.203427306130201</v>
      </c>
      <c r="T359" s="19">
        <f>(L359-Settings!$D$24)/Settings!$E$24</f>
        <v>-1.4689762608605841</v>
      </c>
      <c r="U359" s="19">
        <f>(M359-Settings!$D$25)/Settings!$E$25</f>
        <v>0.10583388702409688</v>
      </c>
      <c r="V359" s="31">
        <f>Settings!$B$18*(N359-F$6)^2</f>
        <v>6.3627372312090369E-2</v>
      </c>
      <c r="W359" s="31">
        <f>Settings!$B$19*(O359-G$6)^2</f>
        <v>5.4104152832091496E-2</v>
      </c>
      <c r="X359" s="31">
        <f>Settings!$B$20*(P359-H$6)^2</f>
        <v>1.2603334814811167</v>
      </c>
      <c r="Y359" s="31">
        <f>Settings!$B$21*(Q359-I$6)^2</f>
        <v>0.20498859634668834</v>
      </c>
      <c r="Z359" s="31">
        <f>Settings!$B$22*(R359-J$6)^2</f>
        <v>1.5991583573808357</v>
      </c>
      <c r="AA359" s="31">
        <f>Settings!$B$23*(S359-K$6)^2</f>
        <v>2.0265359169495616</v>
      </c>
      <c r="AB359" s="31">
        <f>Settings!$B$24*(T359-L$6)^2</f>
        <v>4.6909212422876561</v>
      </c>
      <c r="AC359" s="31">
        <f>Settings!$B$25*(U359-M$6)^2</f>
        <v>2.8558297410319597</v>
      </c>
      <c r="AD359" s="19">
        <f t="shared" si="20"/>
        <v>3.571484125769286</v>
      </c>
      <c r="AE359" s="15">
        <f t="shared" si="21"/>
        <v>1.4136581665296772</v>
      </c>
      <c r="AF359" s="33">
        <f t="shared" si="22"/>
        <v>0.36816844818973354</v>
      </c>
      <c r="AG359" s="47">
        <f t="shared" si="23"/>
        <v>1.5879667942943162E-3</v>
      </c>
      <c r="AH359" s="18">
        <v>0.15777098729409961</v>
      </c>
      <c r="AI359" s="46">
        <v>1</v>
      </c>
      <c r="AJ359" s="18">
        <v>0.22314444852323151</v>
      </c>
      <c r="AK359" s="46">
        <v>1</v>
      </c>
      <c r="AL359" s="18">
        <v>0.88883616397251675</v>
      </c>
      <c r="AM359" s="46">
        <v>1</v>
      </c>
    </row>
    <row r="360" spans="1:39" ht="20" customHeight="1" x14ac:dyDescent="0.45">
      <c r="A360" s="26">
        <v>350</v>
      </c>
      <c r="B360" s="16" t="s">
        <v>777</v>
      </c>
      <c r="C360" s="16" t="s">
        <v>271</v>
      </c>
      <c r="D360" s="46">
        <v>28</v>
      </c>
      <c r="E360" s="46">
        <v>0</v>
      </c>
      <c r="F360" s="13">
        <v>-0.55255932057761059</v>
      </c>
      <c r="G360" s="13">
        <v>2.0085978830262398E-3</v>
      </c>
      <c r="H360" s="13">
        <v>2.125435100351392E-5</v>
      </c>
      <c r="I360" s="13">
        <v>-3.3413620150091118E-2</v>
      </c>
      <c r="J360" s="13">
        <v>0.41199720703826859</v>
      </c>
      <c r="K360" s="13">
        <v>9.9478070175438553</v>
      </c>
      <c r="L360" s="13">
        <v>-0.1791689921194877</v>
      </c>
      <c r="M360" s="13">
        <v>-0.11754304177727321</v>
      </c>
      <c r="N360" s="19">
        <f>(F360-Settings!$D$18)/Settings!$E$18</f>
        <v>-2.6658854305812363</v>
      </c>
      <c r="O360" s="19">
        <f>(G360-Settings!$D$19)/Settings!$E$19</f>
        <v>3.6039061590887218E-2</v>
      </c>
      <c r="P360" s="19">
        <f>(H360-Settings!$D$20)/Settings!$E$20</f>
        <v>-0.48115004226768215</v>
      </c>
      <c r="Q360" s="19">
        <f>(I360-Settings!$D$21)/Settings!$E$21</f>
        <v>-0.37468843876903757</v>
      </c>
      <c r="R360" s="19">
        <f>(J360-Settings!$D$22)/Settings!$E$22</f>
        <v>0.44161557571369614</v>
      </c>
      <c r="S360" s="19">
        <f>(K360-Settings!$D$23)/Settings!$E$23</f>
        <v>-1.8431395363454006</v>
      </c>
      <c r="T360" s="19">
        <f>(L360-Settings!$D$24)/Settings!$E$24</f>
        <v>-1.0283464963498692</v>
      </c>
      <c r="U360" s="19">
        <f>(M360-Settings!$D$25)/Settings!$E$25</f>
        <v>-4.3302078495677618E-2</v>
      </c>
      <c r="V360" s="31">
        <f>Settings!$B$18*(N360-F$6)^2</f>
        <v>1.7746216971809958</v>
      </c>
      <c r="W360" s="31">
        <f>Settings!$B$19*(O360-G$6)^2</f>
        <v>8.698597448535772E-2</v>
      </c>
      <c r="X360" s="31">
        <f>Settings!$B$20*(P360-H$6)^2</f>
        <v>1.2486458500964535</v>
      </c>
      <c r="Y360" s="31">
        <f>Settings!$B$21*(Q360-I$6)^2</f>
        <v>3.3720610436658742E-2</v>
      </c>
      <c r="Z360" s="31">
        <f>Settings!$B$22*(R360-J$6)^2</f>
        <v>2.2212171592774554E-2</v>
      </c>
      <c r="AA360" s="31">
        <f>Settings!$B$23*(S360-K$6)^2</f>
        <v>4.2571109107974259</v>
      </c>
      <c r="AB360" s="31">
        <f>Settings!$B$24*(T360-L$6)^2</f>
        <v>2.9763968250421238</v>
      </c>
      <c r="AC360" s="31">
        <f>Settings!$B$25*(U360-M$6)^2</f>
        <v>2.3740155636598077</v>
      </c>
      <c r="AD360" s="19">
        <f t="shared" si="20"/>
        <v>3.5740326807811362</v>
      </c>
      <c r="AE360" s="15">
        <f t="shared" si="21"/>
        <v>1.4146669308076303</v>
      </c>
      <c r="AF360" s="33">
        <f t="shared" si="22"/>
        <v>0.3676436094821981</v>
      </c>
      <c r="AG360" s="47">
        <f t="shared" si="23"/>
        <v>1.5857030847232637E-3</v>
      </c>
      <c r="AH360" s="48"/>
      <c r="AI360" s="48"/>
      <c r="AJ360" s="48"/>
      <c r="AK360" s="48"/>
      <c r="AL360" s="48"/>
      <c r="AM360" s="48"/>
    </row>
    <row r="361" spans="1:39" ht="20" customHeight="1" x14ac:dyDescent="0.45">
      <c r="A361" s="26">
        <v>351</v>
      </c>
      <c r="B361" s="16" t="s">
        <v>778</v>
      </c>
      <c r="C361" s="16" t="s">
        <v>271</v>
      </c>
      <c r="D361" s="46">
        <v>28</v>
      </c>
      <c r="E361" s="46">
        <v>0</v>
      </c>
      <c r="F361" s="13">
        <v>-0.30415665052898239</v>
      </c>
      <c r="G361" s="13">
        <v>-0.37580026030550412</v>
      </c>
      <c r="H361" s="13">
        <v>3.6854956714307022E-4</v>
      </c>
      <c r="I361" s="13">
        <v>0.1144885318426848</v>
      </c>
      <c r="J361" s="13">
        <v>-0.20518600775568571</v>
      </c>
      <c r="K361" s="13">
        <v>10.189528023598809</v>
      </c>
      <c r="L361" s="13">
        <v>-0.5708641582992624</v>
      </c>
      <c r="M361" s="13">
        <v>-0.34272522736781041</v>
      </c>
      <c r="N361" s="19">
        <f>(F361-Settings!$D$18)/Settings!$E$18</f>
        <v>-1.7768677594892663</v>
      </c>
      <c r="O361" s="19">
        <f>(G361-Settings!$D$19)/Settings!$E$19</f>
        <v>-1.5379607957381021</v>
      </c>
      <c r="P361" s="19">
        <f>(H361-Settings!$D$20)/Settings!$E$20</f>
        <v>-0.4780034808252232</v>
      </c>
      <c r="Q361" s="19">
        <f>(I361-Settings!$D$21)/Settings!$E$21</f>
        <v>1.4441098108721011</v>
      </c>
      <c r="R361" s="19">
        <f>(J361-Settings!$D$22)/Settings!$E$22</f>
        <v>-1.218944921036164</v>
      </c>
      <c r="S361" s="19">
        <f>(K361-Settings!$D$23)/Settings!$E$23</f>
        <v>-1.7591953908229481</v>
      </c>
      <c r="T361" s="19">
        <f>(L361-Settings!$D$24)/Settings!$E$24</f>
        <v>-1.2991467898219955</v>
      </c>
      <c r="U361" s="19">
        <f>(M361-Settings!$D$25)/Settings!$E$25</f>
        <v>-0.19516745242514183</v>
      </c>
      <c r="V361" s="31">
        <f>Settings!$B$18*(N361-F$6)^2</f>
        <v>0.87341825915848781</v>
      </c>
      <c r="W361" s="31">
        <f>Settings!$B$19*(O361-G$6)^2</f>
        <v>0.16726487586603722</v>
      </c>
      <c r="X361" s="31">
        <f>Settings!$B$20*(P361-H$6)^2</f>
        <v>1.24550297365197</v>
      </c>
      <c r="Y361" s="31">
        <f>Settings!$B$21*(Q361-I$6)^2</f>
        <v>0.39659712820290777</v>
      </c>
      <c r="Z361" s="31">
        <f>Settings!$B$22*(R361-J$6)^2</f>
        <v>0.3523464127299385</v>
      </c>
      <c r="AA361" s="31">
        <f>Settings!$B$23*(S361-K$6)^2</f>
        <v>3.9177575243313165</v>
      </c>
      <c r="AB361" s="31">
        <f>Settings!$B$24*(T361-L$6)^2</f>
        <v>3.9841117940865711</v>
      </c>
      <c r="AC361" s="31">
        <f>Settings!$B$25*(U361-M$6)^2</f>
        <v>1.9290951562780103</v>
      </c>
      <c r="AD361" s="19">
        <f t="shared" si="20"/>
        <v>3.5869338053977575</v>
      </c>
      <c r="AE361" s="15">
        <f t="shared" si="21"/>
        <v>1.4197734298230151</v>
      </c>
      <c r="AF361" s="33">
        <f t="shared" si="22"/>
        <v>0.36499256480086861</v>
      </c>
      <c r="AG361" s="47">
        <f t="shared" si="23"/>
        <v>1.5742687237810347E-3</v>
      </c>
      <c r="AH361" s="18">
        <v>-3.3704652833344012E-4</v>
      </c>
      <c r="AI361" s="46">
        <v>1</v>
      </c>
      <c r="AJ361" s="48"/>
      <c r="AK361" s="48"/>
      <c r="AL361" s="48"/>
      <c r="AM361" s="48"/>
    </row>
    <row r="362" spans="1:39" ht="20" customHeight="1" x14ac:dyDescent="0.45">
      <c r="A362" s="26">
        <v>352</v>
      </c>
      <c r="B362" s="16" t="s">
        <v>409</v>
      </c>
      <c r="C362" s="16" t="s">
        <v>220</v>
      </c>
      <c r="D362" s="46">
        <v>28</v>
      </c>
      <c r="E362" s="46">
        <v>1</v>
      </c>
      <c r="F362" s="13">
        <v>0.6115304632222901</v>
      </c>
      <c r="G362" s="13">
        <v>5.9315387553681473E-2</v>
      </c>
      <c r="H362" s="13">
        <v>7.9975275686841832E-2</v>
      </c>
      <c r="I362" s="13">
        <v>-7.0279327559679985E-2</v>
      </c>
      <c r="J362" s="13">
        <v>0.1788995459775066</v>
      </c>
      <c r="K362" s="13">
        <v>17.119318181818159</v>
      </c>
      <c r="L362" s="13">
        <v>1.697712010973867</v>
      </c>
      <c r="M362" s="13">
        <v>2.5780140107514642</v>
      </c>
      <c r="N362" s="19">
        <f>(F362-Settings!$D$18)/Settings!$E$18</f>
        <v>1.5003193382046527</v>
      </c>
      <c r="O362" s="19">
        <f>(G362-Settings!$D$19)/Settings!$E$19</f>
        <v>0.27478645146966713</v>
      </c>
      <c r="P362" s="19">
        <f>(H362-Settings!$D$20)/Settings!$E$20</f>
        <v>0.24324876604701415</v>
      </c>
      <c r="Q362" s="19">
        <f>(I362-Settings!$D$21)/Settings!$E$21</f>
        <v>-0.82803738065338295</v>
      </c>
      <c r="R362" s="19">
        <f>(J362-Settings!$D$22)/Settings!$E$22</f>
        <v>-0.18554465574449919</v>
      </c>
      <c r="S362" s="19">
        <f>(K362-Settings!$D$23)/Settings!$E$23</f>
        <v>0.64736133743001401</v>
      </c>
      <c r="T362" s="19">
        <f>(L362-Settings!$D$24)/Settings!$E$24</f>
        <v>0.26924400344370075</v>
      </c>
      <c r="U362" s="19">
        <f>(M362-Settings!$D$25)/Settings!$E$25</f>
        <v>1.7746116195037245</v>
      </c>
      <c r="V362" s="31">
        <f>Settings!$B$18*(N362-F$6)^2</f>
        <v>0.2819972545254828</v>
      </c>
      <c r="W362" s="31">
        <f>Settings!$B$19*(O362-G$6)^2</f>
        <v>0.16136684780297966</v>
      </c>
      <c r="X362" s="31">
        <f>Settings!$B$20*(P362-H$6)^2</f>
        <v>0.62959025263515123</v>
      </c>
      <c r="Y362" s="31">
        <f>Settings!$B$21*(Q362-I$6)^2</f>
        <v>0.14928605431230588</v>
      </c>
      <c r="Z362" s="31">
        <f>Settings!$B$22*(R362-J$6)^2</f>
        <v>1.727571078679686E-2</v>
      </c>
      <c r="AA362" s="31">
        <f>Settings!$B$23*(S362-K$6)^2</f>
        <v>0.18252045945056367</v>
      </c>
      <c r="AB362" s="31">
        <f>Settings!$B$24*(T362-L$6)^2</f>
        <v>0.18287015639761195</v>
      </c>
      <c r="AC362" s="31">
        <f>Settings!$B$25*(U362-M$6)^2</f>
        <v>11.280850725743354</v>
      </c>
      <c r="AD362" s="19">
        <f t="shared" si="20"/>
        <v>3.5896737263509406</v>
      </c>
      <c r="AE362" s="15">
        <f t="shared" si="21"/>
        <v>1.4208579402099342</v>
      </c>
      <c r="AF362" s="33">
        <f t="shared" si="22"/>
        <v>0.36443078233844722</v>
      </c>
      <c r="AG362" s="47">
        <f t="shared" si="23"/>
        <v>1.5718456701480348E-3</v>
      </c>
      <c r="AH362" s="18">
        <v>0.6452872021500673</v>
      </c>
      <c r="AI362" s="46">
        <v>1</v>
      </c>
      <c r="AJ362" s="18">
        <v>-0.60225610299950549</v>
      </c>
      <c r="AK362" s="46">
        <v>1</v>
      </c>
      <c r="AL362" s="18">
        <v>-0.51297341404414132</v>
      </c>
      <c r="AM362" s="46">
        <v>1</v>
      </c>
    </row>
    <row r="363" spans="1:39" ht="20" customHeight="1" x14ac:dyDescent="0.45">
      <c r="A363" s="26">
        <v>353</v>
      </c>
      <c r="B363" s="16" t="s">
        <v>627</v>
      </c>
      <c r="C363" s="16" t="s">
        <v>218</v>
      </c>
      <c r="D363" s="46">
        <v>28</v>
      </c>
      <c r="E363" s="46">
        <v>0</v>
      </c>
      <c r="F363" s="13">
        <v>0.12693913426278369</v>
      </c>
      <c r="G363" s="13">
        <v>-5.1201299476385423E-2</v>
      </c>
      <c r="H363" s="13">
        <v>-5.1468940888504087E-3</v>
      </c>
      <c r="I363" s="13">
        <v>2.6788164315952091E-2</v>
      </c>
      <c r="J363" s="13">
        <v>-0.78992450785602841</v>
      </c>
      <c r="K363" s="13">
        <v>11.53181818181818</v>
      </c>
      <c r="L363" s="13">
        <v>-0.98607756766539634</v>
      </c>
      <c r="M363" s="13">
        <v>-6.4947172654501006E-2</v>
      </c>
      <c r="N363" s="19">
        <f>(F363-Settings!$D$18)/Settings!$E$18</f>
        <v>-0.23400281951855589</v>
      </c>
      <c r="O363" s="19">
        <f>(G363-Settings!$D$19)/Settings!$E$19</f>
        <v>-0.18564015274455553</v>
      </c>
      <c r="P363" s="19">
        <f>(H363-Settings!$D$20)/Settings!$E$20</f>
        <v>-0.52797446095824696</v>
      </c>
      <c r="Q363" s="19">
        <f>(I363-Settings!$D$21)/Settings!$E$21</f>
        <v>0.365631419575286</v>
      </c>
      <c r="R363" s="19">
        <f>(J363-Settings!$D$22)/Settings!$E$22</f>
        <v>-2.7922113853867185</v>
      </c>
      <c r="S363" s="19">
        <f>(K363-Settings!$D$23)/Settings!$E$23</f>
        <v>-1.2930488931978883</v>
      </c>
      <c r="T363" s="19">
        <f>(L363-Settings!$D$24)/Settings!$E$24</f>
        <v>-1.5862065312187148</v>
      </c>
      <c r="U363" s="19">
        <f>(M363-Settings!$D$25)/Settings!$E$25</f>
        <v>-7.8308385726442997E-3</v>
      </c>
      <c r="V363" s="31">
        <f>Settings!$B$18*(N363-F$6)^2</f>
        <v>5.9818550229550509E-2</v>
      </c>
      <c r="W363" s="31">
        <f>Settings!$B$19*(O363-G$6)^2</f>
        <v>3.8336030208897566E-2</v>
      </c>
      <c r="X363" s="31">
        <f>Settings!$B$20*(P363-H$6)^2</f>
        <v>1.2958834042385785</v>
      </c>
      <c r="Y363" s="31">
        <f>Settings!$B$21*(Q363-I$6)^2</f>
        <v>2.1741319851844319E-2</v>
      </c>
      <c r="Z363" s="31">
        <f>Settings!$B$22*(R363-J$6)^2</f>
        <v>1.6826601233309484</v>
      </c>
      <c r="AA363" s="31">
        <f>Settings!$B$23*(S363-K$6)^2</f>
        <v>2.2897321673543725</v>
      </c>
      <c r="AB363" s="31">
        <f>Settings!$B$24*(T363-L$6)^2</f>
        <v>5.2124713536568041</v>
      </c>
      <c r="AC363" s="31">
        <f>Settings!$B$25*(U363-M$6)^2</f>
        <v>2.4845808156606508</v>
      </c>
      <c r="AD363" s="19">
        <f t="shared" si="20"/>
        <v>3.6173503790110861</v>
      </c>
      <c r="AE363" s="15">
        <f t="shared" si="21"/>
        <v>1.4318128610992418</v>
      </c>
      <c r="AF363" s="33">
        <f t="shared" si="22"/>
        <v>0.35878066629332261</v>
      </c>
      <c r="AG363" s="47">
        <f t="shared" si="23"/>
        <v>1.5474758559836672E-3</v>
      </c>
      <c r="AH363" s="18">
        <v>0.75549547937031392</v>
      </c>
      <c r="AI363" s="46">
        <v>0</v>
      </c>
      <c r="AJ363" s="18">
        <v>0.9788723137741715</v>
      </c>
      <c r="AK363" s="46">
        <v>0</v>
      </c>
      <c r="AL363" s="18">
        <v>0.106425524867246</v>
      </c>
      <c r="AM363" s="46">
        <v>0</v>
      </c>
    </row>
    <row r="364" spans="1:39" ht="20" customHeight="1" x14ac:dyDescent="0.45">
      <c r="A364" s="26">
        <v>354</v>
      </c>
      <c r="B364" s="16" t="s">
        <v>566</v>
      </c>
      <c r="C364" s="16" t="s">
        <v>234</v>
      </c>
      <c r="D364" s="46">
        <v>28</v>
      </c>
      <c r="E364" s="46">
        <v>1</v>
      </c>
      <c r="F364" s="13">
        <v>0.25315517836122192</v>
      </c>
      <c r="G364" s="13">
        <v>0.15142111443827239</v>
      </c>
      <c r="H364" s="13">
        <v>-1.5332691553838779E-3</v>
      </c>
      <c r="I364" s="13">
        <v>-1.6798640392589059E-2</v>
      </c>
      <c r="J364" s="13">
        <v>0.57709179765253282</v>
      </c>
      <c r="K364" s="13">
        <v>14.07028985507244</v>
      </c>
      <c r="L364" s="13">
        <v>1.63140032109071</v>
      </c>
      <c r="M364" s="13">
        <v>2.4730115180428691</v>
      </c>
      <c r="N364" s="19">
        <f>(F364-Settings!$D$18)/Settings!$E$18</f>
        <v>0.21771653421008411</v>
      </c>
      <c r="O364" s="19">
        <f>(G364-Settings!$D$19)/Settings!$E$19</f>
        <v>0.65851064912515267</v>
      </c>
      <c r="P364" s="19">
        <f>(H364-Settings!$D$20)/Settings!$E$20</f>
        <v>-0.49523432416757768</v>
      </c>
      <c r="Q364" s="19">
        <f>(I364-Settings!$D$21)/Settings!$E$21</f>
        <v>-0.17036892283499139</v>
      </c>
      <c r="R364" s="19">
        <f>(J364-Settings!$D$22)/Settings!$E$22</f>
        <v>0.88581034451125951</v>
      </c>
      <c r="S364" s="19">
        <f>(K364-Settings!$D$23)/Settings!$E$23</f>
        <v>-0.41149606904724573</v>
      </c>
      <c r="T364" s="19">
        <f>(L364-Settings!$D$24)/Settings!$E$24</f>
        <v>0.22339910508529262</v>
      </c>
      <c r="U364" s="19">
        <f>(M364-Settings!$D$25)/Settings!$E$25</f>
        <v>1.7037967689554991</v>
      </c>
      <c r="V364" s="31">
        <f>Settings!$B$18*(N364-F$6)^2</f>
        <v>1.811632353082822E-3</v>
      </c>
      <c r="W364" s="31">
        <f>Settings!$B$19*(O364-G$6)^2</f>
        <v>0.32868619574029495</v>
      </c>
      <c r="X364" s="31">
        <f>Settings!$B$20*(P364-H$6)^2</f>
        <v>1.2627621744368331</v>
      </c>
      <c r="Y364" s="31">
        <f>Settings!$B$21*(Q364-I$6)^2</f>
        <v>8.5114019629343538E-3</v>
      </c>
      <c r="Z364" s="31">
        <f>Settings!$B$22*(R364-J$6)^2</f>
        <v>0.1208865444654172</v>
      </c>
      <c r="AA364" s="31">
        <f>Settings!$B$23*(S364-K$6)^2</f>
        <v>0.39896059270624945</v>
      </c>
      <c r="AB364" s="31">
        <f>Settings!$B$24*(T364-L$6)^2</f>
        <v>0.22418151256513852</v>
      </c>
      <c r="AC364" s="31">
        <f>Settings!$B$25*(U364-M$6)^2</f>
        <v>10.810174107235454</v>
      </c>
      <c r="AD364" s="19">
        <f t="shared" si="20"/>
        <v>3.6271165078427527</v>
      </c>
      <c r="AE364" s="15">
        <f t="shared" si="21"/>
        <v>1.4356784719467468</v>
      </c>
      <c r="AF364" s="33">
        <f t="shared" si="22"/>
        <v>0.35679769539007644</v>
      </c>
      <c r="AG364" s="47">
        <f t="shared" si="23"/>
        <v>1.5389229993662962E-3</v>
      </c>
      <c r="AH364" s="18">
        <v>-0.22083493272961549</v>
      </c>
      <c r="AI364" s="46">
        <v>1</v>
      </c>
      <c r="AJ364" s="18">
        <v>-1.488142866068572</v>
      </c>
      <c r="AK364" s="46">
        <v>1</v>
      </c>
      <c r="AL364" s="18">
        <v>0.76961228748346266</v>
      </c>
      <c r="AM364" s="46">
        <v>1</v>
      </c>
    </row>
    <row r="365" spans="1:39" ht="20" customHeight="1" x14ac:dyDescent="0.45">
      <c r="A365" s="26">
        <v>355</v>
      </c>
      <c r="B365" s="16" t="s">
        <v>601</v>
      </c>
      <c r="C365" s="16" t="s">
        <v>271</v>
      </c>
      <c r="D365" s="46">
        <v>28</v>
      </c>
      <c r="E365" s="46">
        <v>0</v>
      </c>
      <c r="F365" s="13">
        <v>4.130403965136039E-2</v>
      </c>
      <c r="G365" s="13">
        <v>0.15705719990880851</v>
      </c>
      <c r="H365" s="13">
        <v>-1.1167464912431431E-4</v>
      </c>
      <c r="I365" s="13">
        <v>1.968754702026081E-3</v>
      </c>
      <c r="J365" s="13">
        <v>-0.7995583310886808</v>
      </c>
      <c r="K365" s="13">
        <v>9.0610032362459521</v>
      </c>
      <c r="L365" s="13">
        <v>-0.1586006576819623</v>
      </c>
      <c r="M365" s="13">
        <v>-0.79987949415167492</v>
      </c>
      <c r="N365" s="19">
        <f>(F365-Settings!$D$18)/Settings!$E$18</f>
        <v>-0.54048548478251757</v>
      </c>
      <c r="O365" s="19">
        <f>(G365-Settings!$D$19)/Settings!$E$19</f>
        <v>0.68199129954995297</v>
      </c>
      <c r="P365" s="19">
        <f>(H365-Settings!$D$20)/Settings!$E$20</f>
        <v>-0.48235440457084378</v>
      </c>
      <c r="Q365" s="19">
        <f>(I365-Settings!$D$21)/Settings!$E$21</f>
        <v>6.0419506464380435E-2</v>
      </c>
      <c r="R365" s="19">
        <f>(J365-Settings!$D$22)/Settings!$E$22</f>
        <v>-2.8181316403602019</v>
      </c>
      <c r="S365" s="19">
        <f>(K365-Settings!$D$23)/Settings!$E$23</f>
        <v>-2.1511060920125087</v>
      </c>
      <c r="T365" s="19">
        <f>(L365-Settings!$D$24)/Settings!$E$24</f>
        <v>-1.0141264816985822</v>
      </c>
      <c r="U365" s="19">
        <f>(M365-Settings!$D$25)/Settings!$E$25</f>
        <v>-0.5034773815010728</v>
      </c>
      <c r="V365" s="31">
        <f>Settings!$B$18*(N365-F$6)^2</f>
        <v>0.14565025415982566</v>
      </c>
      <c r="W365" s="31">
        <f>Settings!$B$19*(O365-G$6)^2</f>
        <v>0.34083700071326289</v>
      </c>
      <c r="X365" s="31">
        <f>Settings!$B$20*(P365-H$6)^2</f>
        <v>1.2498498499657149</v>
      </c>
      <c r="Y365" s="31">
        <f>Settings!$B$21*(Q365-I$6)^2</f>
        <v>1.2000027256016148E-4</v>
      </c>
      <c r="Z365" s="31">
        <f>Settings!$B$22*(R365-J$6)^2</f>
        <v>1.7128678906398236</v>
      </c>
      <c r="AA365" s="31">
        <f>Settings!$B$23*(S365-K$6)^2</f>
        <v>5.6227947729607903</v>
      </c>
      <c r="AB365" s="31">
        <f>Settings!$B$24*(T365-L$6)^2</f>
        <v>2.9275336211948848</v>
      </c>
      <c r="AC365" s="31">
        <f>Settings!$B$25*(U365-M$6)^2</f>
        <v>1.1677153166292038</v>
      </c>
      <c r="AD365" s="19">
        <f t="shared" si="20"/>
        <v>3.6286869121675496</v>
      </c>
      <c r="AE365" s="15">
        <f t="shared" si="21"/>
        <v>1.4363000664492913</v>
      </c>
      <c r="AF365" s="33">
        <f t="shared" si="22"/>
        <v>0.35647935877937958</v>
      </c>
      <c r="AG365" s="47">
        <f t="shared" si="23"/>
        <v>1.5375499649042711E-3</v>
      </c>
      <c r="AH365" s="48"/>
      <c r="AI365" s="48"/>
      <c r="AJ365" s="48"/>
      <c r="AK365" s="48"/>
      <c r="AL365" s="48"/>
      <c r="AM365" s="48"/>
    </row>
    <row r="366" spans="1:39" ht="20" customHeight="1" x14ac:dyDescent="0.45">
      <c r="A366" s="26">
        <v>356</v>
      </c>
      <c r="B366" s="16" t="s">
        <v>582</v>
      </c>
      <c r="C366" s="16" t="s">
        <v>214</v>
      </c>
      <c r="D366" s="46">
        <v>28</v>
      </c>
      <c r="E366" s="46">
        <v>1</v>
      </c>
      <c r="F366" s="13">
        <v>0.33159698195623738</v>
      </c>
      <c r="G366" s="13">
        <v>0.42042675371389071</v>
      </c>
      <c r="H366" s="13">
        <v>1.988493044229567E-4</v>
      </c>
      <c r="I366" s="13">
        <v>-6.1687384482617971E-2</v>
      </c>
      <c r="J366" s="13">
        <v>-0.18609003054283099</v>
      </c>
      <c r="K366" s="13">
        <v>10.545307443365701</v>
      </c>
      <c r="L366" s="13">
        <v>0.19497344194881119</v>
      </c>
      <c r="M366" s="13">
        <v>0.83787460461059826</v>
      </c>
      <c r="N366" s="19">
        <f>(F366-Settings!$D$18)/Settings!$E$18</f>
        <v>0.49845485934420025</v>
      </c>
      <c r="O366" s="19">
        <f>(G366-Settings!$D$19)/Settings!$E$19</f>
        <v>1.7792224288082763</v>
      </c>
      <c r="P366" s="19">
        <f>(H366-Settings!$D$20)/Settings!$E$20</f>
        <v>-0.47954099783851739</v>
      </c>
      <c r="Q366" s="19">
        <f>(I366-Settings!$D$21)/Settings!$E$21</f>
        <v>-0.722379614224535</v>
      </c>
      <c r="R366" s="19">
        <f>(J366-Settings!$D$22)/Settings!$E$22</f>
        <v>-1.1675662952952026</v>
      </c>
      <c r="S366" s="19">
        <f>(K366-Settings!$D$23)/Settings!$E$23</f>
        <v>-1.635641381702136</v>
      </c>
      <c r="T366" s="19">
        <f>(L366-Settings!$D$24)/Settings!$E$24</f>
        <v>-0.76968136669246223</v>
      </c>
      <c r="U366" s="19">
        <f>(M366-Settings!$D$25)/Settings!$E$25</f>
        <v>0.60104222319494438</v>
      </c>
      <c r="V366" s="31">
        <f>Settings!$B$18*(N366-F$6)^2</f>
        <v>6.8867958754596521E-3</v>
      </c>
      <c r="W366" s="31">
        <f>Settings!$B$19*(O366-G$6)^2</f>
        <v>1.1545699110950824</v>
      </c>
      <c r="X366" s="31">
        <f>Settings!$B$20*(P366-H$6)^2</f>
        <v>1.2470381952631981</v>
      </c>
      <c r="Y366" s="31">
        <f>Settings!$B$21*(Q366-I$6)^2</f>
        <v>0.11500505056530462</v>
      </c>
      <c r="Z366" s="31">
        <f>Settings!$B$22*(R366-J$6)^2</f>
        <v>0.32559637294778887</v>
      </c>
      <c r="AA366" s="31">
        <f>Settings!$B$23*(S366-K$6)^2</f>
        <v>3.4439141623409841</v>
      </c>
      <c r="AB366" s="31">
        <f>Settings!$B$24*(T366-L$6)^2</f>
        <v>2.1507940487463664</v>
      </c>
      <c r="AC366" s="31">
        <f>Settings!$B$25*(U366-M$6)^2</f>
        <v>4.7747860196208212</v>
      </c>
      <c r="AD366" s="19">
        <f t="shared" si="20"/>
        <v>3.6357379658681408</v>
      </c>
      <c r="AE366" s="15">
        <f t="shared" si="21"/>
        <v>1.4390910013367124</v>
      </c>
      <c r="AF366" s="33">
        <f t="shared" si="22"/>
        <v>0.35505184601267215</v>
      </c>
      <c r="AG366" s="47">
        <f t="shared" si="23"/>
        <v>1.5313928841356485E-3</v>
      </c>
      <c r="AH366" s="48"/>
      <c r="AI366" s="48"/>
      <c r="AJ366" s="48"/>
      <c r="AK366" s="48"/>
      <c r="AL366" s="48"/>
      <c r="AM366" s="48"/>
    </row>
    <row r="367" spans="1:39" ht="20" customHeight="1" x14ac:dyDescent="0.45">
      <c r="A367" s="26">
        <v>357</v>
      </c>
      <c r="B367" s="16" t="s">
        <v>675</v>
      </c>
      <c r="C367" s="16" t="s">
        <v>258</v>
      </c>
      <c r="D367" s="46">
        <v>28</v>
      </c>
      <c r="E367" s="46">
        <v>0</v>
      </c>
      <c r="F367" s="13">
        <v>-0.16716249428804991</v>
      </c>
      <c r="G367" s="13">
        <v>0.16435866150418479</v>
      </c>
      <c r="H367" s="13">
        <v>0.1035028913916701</v>
      </c>
      <c r="I367" s="13">
        <v>-0.17237421321088009</v>
      </c>
      <c r="J367" s="13">
        <v>0.39260173960521522</v>
      </c>
      <c r="K367" s="13">
        <v>9.3502710027100253</v>
      </c>
      <c r="L367" s="13">
        <v>-0.28632711726592619</v>
      </c>
      <c r="M367" s="13">
        <v>6.7420718853019035E-2</v>
      </c>
      <c r="N367" s="19">
        <f>(F367-Settings!$D$18)/Settings!$E$18</f>
        <v>-1.2865742142923442</v>
      </c>
      <c r="O367" s="19">
        <f>(G367-Settings!$D$19)/Settings!$E$19</f>
        <v>0.71241011917350061</v>
      </c>
      <c r="P367" s="19">
        <f>(H367-Settings!$D$20)/Settings!$E$20</f>
        <v>0.45641348865020692</v>
      </c>
      <c r="Q367" s="19">
        <f>(I367-Settings!$D$21)/Settings!$E$21</f>
        <v>-2.0835295882906641</v>
      </c>
      <c r="R367" s="19">
        <f>(J367-Settings!$D$22)/Settings!$E$22</f>
        <v>0.38943115743511542</v>
      </c>
      <c r="S367" s="19">
        <f>(K367-Settings!$D$23)/Settings!$E$23</f>
        <v>-2.0506500502339366</v>
      </c>
      <c r="T367" s="19">
        <f>(L367-Settings!$D$24)/Settings!$E$24</f>
        <v>-1.1024307696397262</v>
      </c>
      <c r="U367" s="19">
        <f>(M367-Settings!$D$25)/Settings!$E$25</f>
        <v>8.143954170777977E-2</v>
      </c>
      <c r="V367" s="31">
        <f>Settings!$B$18*(N367-F$6)^2</f>
        <v>0.51165773662572911</v>
      </c>
      <c r="W367" s="31">
        <f>Settings!$B$19*(O367-G$6)^2</f>
        <v>0.35690609236043497</v>
      </c>
      <c r="X367" s="31">
        <f>Settings!$B$20*(P367-H$6)^2</f>
        <v>0.4873953723190092</v>
      </c>
      <c r="Y367" s="31">
        <f>Settings!$B$21*(Q367-I$6)^2</f>
        <v>0.89841719532996422</v>
      </c>
      <c r="Z367" s="31">
        <f>Settings!$B$22*(R367-J$6)^2</f>
        <v>1.5800465494548978E-2</v>
      </c>
      <c r="AA367" s="31">
        <f>Settings!$B$23*(S367-K$6)^2</f>
        <v>5.1564747578951264</v>
      </c>
      <c r="AB367" s="31">
        <f>Settings!$B$24*(T367-L$6)^2</f>
        <v>3.2375091931743238</v>
      </c>
      <c r="AC367" s="31">
        <f>Settings!$B$25*(U367-M$6)^2</f>
        <v>2.7739758390980298</v>
      </c>
      <c r="AD367" s="19">
        <f t="shared" si="20"/>
        <v>3.665806412277818</v>
      </c>
      <c r="AE367" s="15">
        <f t="shared" si="21"/>
        <v>1.4509926375543294</v>
      </c>
      <c r="AF367" s="33">
        <f t="shared" si="22"/>
        <v>0.34899774534906797</v>
      </c>
      <c r="AG367" s="47">
        <f t="shared" si="23"/>
        <v>1.5052806225597619E-3</v>
      </c>
      <c r="AH367" s="18">
        <v>-2.684053969963468E-2</v>
      </c>
      <c r="AI367" s="46">
        <v>0</v>
      </c>
      <c r="AJ367" s="18">
        <v>-0.1164486757294922</v>
      </c>
      <c r="AK367" s="46">
        <v>0</v>
      </c>
      <c r="AL367" s="18">
        <v>0.35626252101891748</v>
      </c>
      <c r="AM367" s="46">
        <v>0</v>
      </c>
    </row>
    <row r="368" spans="1:39" ht="20" customHeight="1" x14ac:dyDescent="0.45">
      <c r="A368" s="26">
        <v>358</v>
      </c>
      <c r="B368" s="16" t="s">
        <v>353</v>
      </c>
      <c r="C368" s="16" t="s">
        <v>214</v>
      </c>
      <c r="D368" s="46">
        <v>28</v>
      </c>
      <c r="E368" s="46">
        <v>1</v>
      </c>
      <c r="F368" s="13">
        <v>0.14897199686059581</v>
      </c>
      <c r="G368" s="13">
        <v>-0.1425727828255052</v>
      </c>
      <c r="H368" s="13">
        <v>0.23235985963773151</v>
      </c>
      <c r="I368" s="13">
        <v>2.160781693742219E-2</v>
      </c>
      <c r="J368" s="13">
        <v>0.45448754373874539</v>
      </c>
      <c r="K368" s="13">
        <v>17.337187499999999</v>
      </c>
      <c r="L368" s="13">
        <v>1.3361540504510521</v>
      </c>
      <c r="M368" s="13">
        <v>2.871057364145809</v>
      </c>
      <c r="N368" s="19">
        <f>(F368-Settings!$D$18)/Settings!$E$18</f>
        <v>-0.15514857777324068</v>
      </c>
      <c r="O368" s="19">
        <f>(G368-Settings!$D$19)/Settings!$E$19</f>
        <v>-0.56630539824731096</v>
      </c>
      <c r="P368" s="19">
        <f>(H368-Settings!$D$20)/Settings!$E$20</f>
        <v>1.6238823999187317</v>
      </c>
      <c r="Q368" s="19">
        <f>(I368-Settings!$D$21)/Settings!$E$21</f>
        <v>0.30192709467091644</v>
      </c>
      <c r="R368" s="19">
        <f>(J368-Settings!$D$22)/Settings!$E$22</f>
        <v>0.55593782707623229</v>
      </c>
      <c r="S368" s="19">
        <f>(K368-Settings!$D$23)/Settings!$E$23</f>
        <v>0.72302234037229052</v>
      </c>
      <c r="T368" s="19">
        <f>(L368-Settings!$D$24)/Settings!$E$24</f>
        <v>1.9279208698635138E-2</v>
      </c>
      <c r="U368" s="19">
        <f>(M368-Settings!$D$25)/Settings!$E$25</f>
        <v>1.972243320804018</v>
      </c>
      <c r="V368" s="31">
        <f>Settings!$B$18*(N368-F$6)^2</f>
        <v>4.3812192382105944E-2</v>
      </c>
      <c r="W368" s="31">
        <f>Settings!$B$19*(O368-G$6)^2</f>
        <v>6.5317129115454993E-4</v>
      </c>
      <c r="X368" s="31">
        <f>Settings!$B$20*(P368-H$6)^2</f>
        <v>3.09862452038361E-2</v>
      </c>
      <c r="Y368" s="31">
        <f>Settings!$B$21*(Q368-I$6)^2</f>
        <v>1.4151467432599594E-2</v>
      </c>
      <c r="Z368" s="31">
        <f>Settings!$B$22*(R368-J$6)^2</f>
        <v>4.0065606450831681E-2</v>
      </c>
      <c r="AA368" s="31">
        <f>Settings!$B$23*(S368-K$6)^2</f>
        <v>0.25289345951964182</v>
      </c>
      <c r="AB368" s="31">
        <f>Settings!$B$24*(T368-L$6)^2</f>
        <v>0.45913904669005279</v>
      </c>
      <c r="AC368" s="31">
        <f>Settings!$B$25*(U368-M$6)^2</f>
        <v>12.647479324893832</v>
      </c>
      <c r="AD368" s="19">
        <f t="shared" si="20"/>
        <v>3.6727619734831789</v>
      </c>
      <c r="AE368" s="15">
        <f t="shared" si="21"/>
        <v>1.4537457747808984</v>
      </c>
      <c r="AF368" s="33">
        <f t="shared" si="22"/>
        <v>0.34760503910482404</v>
      </c>
      <c r="AG368" s="47">
        <f t="shared" si="23"/>
        <v>1.4992736676429572E-3</v>
      </c>
      <c r="AH368" s="48"/>
      <c r="AI368" s="48"/>
      <c r="AJ368" s="48"/>
      <c r="AK368" s="48"/>
      <c r="AL368" s="48"/>
      <c r="AM368" s="48"/>
    </row>
    <row r="369" spans="1:39" ht="20" customHeight="1" x14ac:dyDescent="0.45">
      <c r="A369" s="26">
        <v>359</v>
      </c>
      <c r="B369" s="16" t="s">
        <v>561</v>
      </c>
      <c r="C369" s="16" t="s">
        <v>216</v>
      </c>
      <c r="D369" s="46">
        <v>28</v>
      </c>
      <c r="E369" s="46">
        <v>1</v>
      </c>
      <c r="F369" s="13">
        <v>-0.67341030697009663</v>
      </c>
      <c r="G369" s="13">
        <v>-5.480756535630636E-3</v>
      </c>
      <c r="H369" s="13">
        <v>-2.2007574723826521E-4</v>
      </c>
      <c r="I369" s="13">
        <v>-0.15616261641847731</v>
      </c>
      <c r="J369" s="13">
        <v>0.16472624432855729</v>
      </c>
      <c r="K369" s="13">
        <v>11.621372549019609</v>
      </c>
      <c r="L369" s="13">
        <v>-0.65386639394009261</v>
      </c>
      <c r="M369" s="13">
        <v>3.6109915384850533E-2</v>
      </c>
      <c r="N369" s="19">
        <f>(F369-Settings!$D$18)/Settings!$E$18</f>
        <v>-3.0984035772291074</v>
      </c>
      <c r="O369" s="19">
        <f>(G369-Settings!$D$19)/Settings!$E$19</f>
        <v>4.8374565174304461E-3</v>
      </c>
      <c r="P369" s="19">
        <f>(H369-Settings!$D$20)/Settings!$E$20</f>
        <v>-0.48333653936508897</v>
      </c>
      <c r="Q369" s="19">
        <f>(I369-Settings!$D$21)/Settings!$E$21</f>
        <v>-1.8841705967369087</v>
      </c>
      <c r="R369" s="19">
        <f>(J369-Settings!$D$22)/Settings!$E$22</f>
        <v>-0.22367859111832852</v>
      </c>
      <c r="S369" s="19">
        <f>(K369-Settings!$D$23)/Settings!$E$23</f>
        <v>-1.2619487213294207</v>
      </c>
      <c r="T369" s="19">
        <f>(L369-Settings!$D$24)/Settings!$E$24</f>
        <v>-1.3565307754085403</v>
      </c>
      <c r="U369" s="19">
        <f>(M369-Settings!$D$25)/Settings!$E$25</f>
        <v>6.0323187124687934E-2</v>
      </c>
      <c r="V369" s="31">
        <f>Settings!$B$18*(N369-F$6)^2</f>
        <v>2.3273860154218302</v>
      </c>
      <c r="W369" s="31">
        <f>Settings!$B$19*(O369-G$6)^2</f>
        <v>7.8949797294072588E-2</v>
      </c>
      <c r="X369" s="31">
        <f>Settings!$B$20*(P369-H$6)^2</f>
        <v>1.2508321186889102</v>
      </c>
      <c r="Y369" s="31">
        <f>Settings!$B$21*(Q369-I$6)^2</f>
        <v>0.73735309848152975</v>
      </c>
      <c r="Z369" s="31">
        <f>Settings!$B$22*(R369-J$6)^2</f>
        <v>2.2049610510089857E-2</v>
      </c>
      <c r="AA369" s="31">
        <f>Settings!$B$23*(S369-K$6)^2</f>
        <v>2.1965786926074951</v>
      </c>
      <c r="AB369" s="31">
        <f>Settings!$B$24*(T369-L$6)^2</f>
        <v>4.2164843403646035</v>
      </c>
      <c r="AC369" s="31">
        <f>Settings!$B$25*(U369-M$6)^2</f>
        <v>2.7040820772635445</v>
      </c>
      <c r="AD369" s="19">
        <f t="shared" si="20"/>
        <v>3.6788198855926715</v>
      </c>
      <c r="AE369" s="15">
        <f t="shared" si="21"/>
        <v>1.4561436062213107</v>
      </c>
      <c r="AF369" s="33">
        <f t="shared" si="22"/>
        <v>0.34639445810305364</v>
      </c>
      <c r="AG369" s="47">
        <f t="shared" si="23"/>
        <v>1.4940522467361218E-3</v>
      </c>
      <c r="AH369" s="48"/>
      <c r="AI369" s="48"/>
      <c r="AJ369" s="48"/>
      <c r="AK369" s="48"/>
      <c r="AL369" s="48"/>
      <c r="AM369" s="48"/>
    </row>
    <row r="370" spans="1:39" ht="20" customHeight="1" x14ac:dyDescent="0.45">
      <c r="A370" s="26">
        <v>360</v>
      </c>
      <c r="B370" s="16" t="s">
        <v>395</v>
      </c>
      <c r="C370" s="16" t="s">
        <v>260</v>
      </c>
      <c r="D370" s="46">
        <v>28</v>
      </c>
      <c r="E370" s="46">
        <v>1</v>
      </c>
      <c r="F370" s="13">
        <v>0.50332489614415588</v>
      </c>
      <c r="G370" s="13">
        <v>0.17489586042573019</v>
      </c>
      <c r="H370" s="13">
        <v>-5.6560042850674258E-2</v>
      </c>
      <c r="I370" s="13">
        <v>-6.9227139783461654E-4</v>
      </c>
      <c r="J370" s="13">
        <v>0.26452692918160498</v>
      </c>
      <c r="K370" s="13">
        <v>14.92533875338753</v>
      </c>
      <c r="L370" s="13">
        <v>1.432961320256855</v>
      </c>
      <c r="M370" s="13">
        <v>2.4907922151366781</v>
      </c>
      <c r="N370" s="19">
        <f>(F370-Settings!$D$18)/Settings!$E$18</f>
        <v>1.1130583589882979</v>
      </c>
      <c r="O370" s="19">
        <f>(G370-Settings!$D$19)/Settings!$E$19</f>
        <v>0.75630943291294517</v>
      </c>
      <c r="P370" s="19">
        <f>(H370-Settings!$D$20)/Settings!$E$20</f>
        <v>-0.99378747539480083</v>
      </c>
      <c r="Q370" s="19">
        <f>(I370-Settings!$D$21)/Settings!$E$21</f>
        <v>2.7696050128786204E-2</v>
      </c>
      <c r="R370" s="19">
        <f>(J370-Settings!$D$22)/Settings!$E$22</f>
        <v>4.4839850153409876E-2</v>
      </c>
      <c r="S370" s="19">
        <f>(K370-Settings!$D$23)/Settings!$E$23</f>
        <v>-0.11455725383870458</v>
      </c>
      <c r="T370" s="19">
        <f>(L370-Settings!$D$24)/Settings!$E$24</f>
        <v>8.6207369516465474E-2</v>
      </c>
      <c r="U370" s="19">
        <f>(M370-Settings!$D$25)/Settings!$E$25</f>
        <v>1.7157882691081263</v>
      </c>
      <c r="V370" s="31">
        <f>Settings!$B$18*(N370-F$6)^2</f>
        <v>0.12805358935401398</v>
      </c>
      <c r="W370" s="31">
        <f>Settings!$B$19*(O370-G$6)^2</f>
        <v>0.38074891322219845</v>
      </c>
      <c r="X370" s="31">
        <f>Settings!$B$20*(P370-H$6)^2</f>
        <v>1.8135649603764312</v>
      </c>
      <c r="Y370" s="31">
        <f>Settings!$B$21*(Q370-I$6)^2</f>
        <v>1.3541744778908433E-5</v>
      </c>
      <c r="Z370" s="31">
        <f>Settings!$B$22*(R370-J$6)^2</f>
        <v>8.0690168724049732E-4</v>
      </c>
      <c r="AA370" s="31">
        <f>Settings!$B$23*(S370-K$6)^2</f>
        <v>0.11202038068333471</v>
      </c>
      <c r="AB370" s="31">
        <f>Settings!$B$24*(T370-L$6)^2</f>
        <v>0.37291764986064802</v>
      </c>
      <c r="AC370" s="31">
        <f>Settings!$B$25*(U370-M$6)^2</f>
        <v>10.8891712004277</v>
      </c>
      <c r="AD370" s="19">
        <f t="shared" si="20"/>
        <v>3.7009859682733661</v>
      </c>
      <c r="AE370" s="15">
        <f t="shared" si="21"/>
        <v>1.4649173436083658</v>
      </c>
      <c r="AF370" s="33">
        <f t="shared" si="22"/>
        <v>0.34198397087573934</v>
      </c>
      <c r="AG370" s="47">
        <f t="shared" si="23"/>
        <v>1.4750291411493417E-3</v>
      </c>
      <c r="AH370" s="18">
        <v>1.3914827466751569</v>
      </c>
      <c r="AI370" s="46">
        <v>1</v>
      </c>
      <c r="AJ370" s="18">
        <v>-0.16436245997257301</v>
      </c>
      <c r="AK370" s="46">
        <v>1</v>
      </c>
      <c r="AL370" s="18">
        <v>-1.0756290249850311</v>
      </c>
      <c r="AM370" s="46">
        <v>1</v>
      </c>
    </row>
    <row r="371" spans="1:39" ht="20" customHeight="1" x14ac:dyDescent="0.45">
      <c r="A371" s="26">
        <v>361</v>
      </c>
      <c r="B371" s="16" t="s">
        <v>505</v>
      </c>
      <c r="C371" s="16" t="s">
        <v>229</v>
      </c>
      <c r="D371" s="46">
        <v>28</v>
      </c>
      <c r="E371" s="46">
        <v>1</v>
      </c>
      <c r="F371" s="13">
        <v>-0.21989463308921001</v>
      </c>
      <c r="G371" s="13">
        <v>0.65856492936411293</v>
      </c>
      <c r="H371" s="13">
        <v>-1.1172508798958361E-3</v>
      </c>
      <c r="I371" s="13">
        <v>4.376366179069853E-2</v>
      </c>
      <c r="J371" s="13">
        <v>-7.6659524876082547E-2</v>
      </c>
      <c r="K371" s="13">
        <v>11.775</v>
      </c>
      <c r="L371" s="13">
        <v>0.19275207104047301</v>
      </c>
      <c r="M371" s="13">
        <v>0.93567696651725818</v>
      </c>
      <c r="N371" s="19">
        <f>(F371-Settings!$D$18)/Settings!$E$18</f>
        <v>-1.4752992518272807</v>
      </c>
      <c r="O371" s="19">
        <f>(G371-Settings!$D$19)/Settings!$E$19</f>
        <v>2.7713364207755897</v>
      </c>
      <c r="P371" s="19">
        <f>(H371-Settings!$D$20)/Settings!$E$20</f>
        <v>-0.4914651185921029</v>
      </c>
      <c r="Q371" s="19">
        <f>(I371-Settings!$D$21)/Settings!$E$21</f>
        <v>0.57438433275375311</v>
      </c>
      <c r="R371" s="19">
        <f>(J371-Settings!$D$22)/Settings!$E$22</f>
        <v>-0.87313836774660603</v>
      </c>
      <c r="S371" s="19">
        <f>(K371-Settings!$D$23)/Settings!$E$23</f>
        <v>-1.2085974412242504</v>
      </c>
      <c r="T371" s="19">
        <f>(L371-Settings!$D$24)/Settings!$E$24</f>
        <v>-0.77121712190679204</v>
      </c>
      <c r="U371" s="19">
        <f>(M371-Settings!$D$25)/Settings!$E$25</f>
        <v>0.66700122533886819</v>
      </c>
      <c r="V371" s="31">
        <f>Settings!$B$18*(N371-F$6)^2</f>
        <v>0.63952481081490697</v>
      </c>
      <c r="W371" s="31">
        <f>Settings!$B$19*(O371-G$6)^2</f>
        <v>2.3049191381560838</v>
      </c>
      <c r="X371" s="31">
        <f>Settings!$B$20*(P371-H$6)^2</f>
        <v>1.2589766178029276</v>
      </c>
      <c r="Y371" s="31">
        <f>Settings!$B$21*(Q371-I$6)^2</f>
        <v>5.7987780804679256E-2</v>
      </c>
      <c r="Z371" s="31">
        <f>Settings!$B$22*(R371-J$6)^2</f>
        <v>0.19266687896440621</v>
      </c>
      <c r="AA371" s="31">
        <f>Settings!$B$23*(S371-K$6)^2</f>
        <v>2.0412826889202753</v>
      </c>
      <c r="AB371" s="31">
        <f>Settings!$B$24*(T371-L$6)^2</f>
        <v>2.1553009572423942</v>
      </c>
      <c r="AC371" s="31">
        <f>Settings!$B$25*(U371-M$6)^2</f>
        <v>5.0673943840599245</v>
      </c>
      <c r="AD371" s="19">
        <f t="shared" si="20"/>
        <v>3.703789040532087</v>
      </c>
      <c r="AE371" s="15">
        <f t="shared" si="21"/>
        <v>1.466026850426924</v>
      </c>
      <c r="AF371" s="33">
        <f t="shared" si="22"/>
        <v>0.34142837340878107</v>
      </c>
      <c r="AG371" s="47">
        <f t="shared" si="23"/>
        <v>1.4726327643471962E-3</v>
      </c>
      <c r="AH371" s="48"/>
      <c r="AI371" s="48"/>
      <c r="AJ371" s="48"/>
      <c r="AK371" s="48"/>
      <c r="AL371" s="18">
        <v>-0.19238267733063541</v>
      </c>
      <c r="AM371" s="46">
        <v>1</v>
      </c>
    </row>
    <row r="372" spans="1:39" ht="20" customHeight="1" x14ac:dyDescent="0.45">
      <c r="A372" s="26">
        <v>362</v>
      </c>
      <c r="B372" s="16" t="s">
        <v>583</v>
      </c>
      <c r="C372" s="16" t="s">
        <v>224</v>
      </c>
      <c r="D372" s="46">
        <v>28</v>
      </c>
      <c r="E372" s="46">
        <v>0</v>
      </c>
      <c r="F372" s="13">
        <v>-0.39756457942316248</v>
      </c>
      <c r="G372" s="13">
        <v>0.21573991286114369</v>
      </c>
      <c r="H372" s="13">
        <v>2.9317421816826869E-3</v>
      </c>
      <c r="I372" s="13">
        <v>9.1309865762396775E-2</v>
      </c>
      <c r="J372" s="13">
        <v>0.29245389977161429</v>
      </c>
      <c r="K372" s="13">
        <v>11.72554517133956</v>
      </c>
      <c r="L372" s="13">
        <v>0.3907635780233456</v>
      </c>
      <c r="M372" s="13">
        <v>1.4771121863636909</v>
      </c>
      <c r="N372" s="19">
        <f>(F372-Settings!$D$18)/Settings!$E$18</f>
        <v>-2.111168914105567</v>
      </c>
      <c r="O372" s="19">
        <f>(G372-Settings!$D$19)/Settings!$E$19</f>
        <v>0.92647096119028904</v>
      </c>
      <c r="P372" s="19">
        <f>(H372-Settings!$D$20)/Settings!$E$20</f>
        <v>-0.4547804628402447</v>
      </c>
      <c r="Q372" s="19">
        <f>(I372-Settings!$D$21)/Settings!$E$21</f>
        <v>1.1590746255970186</v>
      </c>
      <c r="R372" s="19">
        <f>(J372-Settings!$D$22)/Settings!$E$22</f>
        <v>0.11997867934393903</v>
      </c>
      <c r="S372" s="19">
        <f>(K372-Settings!$D$23)/Settings!$E$23</f>
        <v>-1.2257719656961377</v>
      </c>
      <c r="T372" s="19">
        <f>(L372-Settings!$D$24)/Settings!$E$24</f>
        <v>-0.63432093622037133</v>
      </c>
      <c r="U372" s="19">
        <f>(M372-Settings!$D$25)/Settings!$E$25</f>
        <v>1.0321511678395396</v>
      </c>
      <c r="V372" s="31">
        <f>Settings!$B$18*(N372-F$6)^2</f>
        <v>1.1752132059567062</v>
      </c>
      <c r="W372" s="31">
        <f>Settings!$B$19*(O372-G$6)^2</f>
        <v>0.48045290086661291</v>
      </c>
      <c r="X372" s="31">
        <f>Settings!$B$20*(P372-H$6)^2</f>
        <v>1.2224296288286824</v>
      </c>
      <c r="Y372" s="31">
        <f>Settings!$B$21*(Q372-I$6)^2</f>
        <v>0.25229320443748943</v>
      </c>
      <c r="Z372" s="31">
        <f>Settings!$B$22*(R372-J$6)^2</f>
        <v>2.7009754659539803E-5</v>
      </c>
      <c r="AA372" s="31">
        <f>Settings!$B$23*(S372-K$6)^2</f>
        <v>2.0906533294971106</v>
      </c>
      <c r="AB372" s="31">
        <f>Settings!$B$24*(T372-L$6)^2</f>
        <v>1.77208849531111</v>
      </c>
      <c r="AC372" s="31">
        <f>Settings!$B$25*(U372-M$6)^2</f>
        <v>6.8446977179580655</v>
      </c>
      <c r="AD372" s="19">
        <f t="shared" si="20"/>
        <v>3.7199268128029668</v>
      </c>
      <c r="AE372" s="15">
        <f t="shared" si="21"/>
        <v>1.472414473262966</v>
      </c>
      <c r="AF372" s="33">
        <f t="shared" si="22"/>
        <v>0.3382391157616787</v>
      </c>
      <c r="AG372" s="47">
        <f t="shared" si="23"/>
        <v>1.458877008613783E-3</v>
      </c>
      <c r="AH372" s="48"/>
      <c r="AI372" s="48"/>
      <c r="AJ372" s="48"/>
      <c r="AK372" s="48"/>
      <c r="AL372" s="48"/>
      <c r="AM372" s="48"/>
    </row>
    <row r="373" spans="1:39" ht="20" customHeight="1" x14ac:dyDescent="0.45">
      <c r="A373" s="26">
        <v>363</v>
      </c>
      <c r="B373" s="16" t="s">
        <v>634</v>
      </c>
      <c r="C373" s="16" t="s">
        <v>271</v>
      </c>
      <c r="D373" s="46">
        <v>28</v>
      </c>
      <c r="E373" s="46">
        <v>0</v>
      </c>
      <c r="F373" s="13">
        <v>-0.1165221225257863</v>
      </c>
      <c r="G373" s="13">
        <v>0.50085258791757115</v>
      </c>
      <c r="H373" s="13">
        <v>5.6275539359538563E-4</v>
      </c>
      <c r="I373" s="13">
        <v>-0.1658392869615615</v>
      </c>
      <c r="J373" s="13">
        <v>-0.2162232472014857</v>
      </c>
      <c r="K373" s="13">
        <v>10.428825136612019</v>
      </c>
      <c r="L373" s="13">
        <v>-4.5130239992542197E-2</v>
      </c>
      <c r="M373" s="13">
        <v>0.27889845761822563</v>
      </c>
      <c r="N373" s="19">
        <f>(F373-Settings!$D$18)/Settings!$E$18</f>
        <v>-1.1053354805923166</v>
      </c>
      <c r="O373" s="19">
        <f>(G373-Settings!$D$19)/Settings!$E$19</f>
        <v>2.1142867048792944</v>
      </c>
      <c r="P373" s="19">
        <f>(H373-Settings!$D$20)/Settings!$E$20</f>
        <v>-0.47624393869214016</v>
      </c>
      <c r="Q373" s="19">
        <f>(I373-Settings!$D$21)/Settings!$E$21</f>
        <v>-2.0031675904180766</v>
      </c>
      <c r="R373" s="19">
        <f>(J373-Settings!$D$22)/Settings!$E$22</f>
        <v>-1.2486411334047773</v>
      </c>
      <c r="S373" s="19">
        <f>(K373-Settings!$D$23)/Settings!$E$23</f>
        <v>-1.676093007601372</v>
      </c>
      <c r="T373" s="19">
        <f>(L373-Settings!$D$24)/Settings!$E$24</f>
        <v>-0.9356781753015696</v>
      </c>
      <c r="U373" s="19">
        <f>(M373-Settings!$D$25)/Settings!$E$25</f>
        <v>0.22406248406492718</v>
      </c>
      <c r="V373" s="31">
        <f>Settings!$B$18*(N373-F$6)^2</f>
        <v>0.40227321887056444</v>
      </c>
      <c r="W373" s="31">
        <f>Settings!$B$19*(O373-G$6)^2</f>
        <v>1.4990438156525228</v>
      </c>
      <c r="X373" s="31">
        <f>Settings!$B$20*(P373-H$6)^2</f>
        <v>1.2437472186513483</v>
      </c>
      <c r="Y373" s="31">
        <f>Settings!$B$21*(Q373-I$6)^2</f>
        <v>0.83157937688592165</v>
      </c>
      <c r="Z373" s="31">
        <f>Settings!$B$22*(R373-J$6)^2</f>
        <v>0.36828912911637524</v>
      </c>
      <c r="AA373" s="31">
        <f>Settings!$B$23*(S373-K$6)^2</f>
        <v>3.5956890186496904</v>
      </c>
      <c r="AB373" s="31">
        <f>Settings!$B$24*(T373-L$6)^2</f>
        <v>2.6652370748074032</v>
      </c>
      <c r="AC373" s="31">
        <f>Settings!$B$25*(U373-M$6)^2</f>
        <v>3.2694014930316775</v>
      </c>
      <c r="AD373" s="19">
        <f t="shared" si="20"/>
        <v>3.7249510527878757</v>
      </c>
      <c r="AE373" s="15">
        <f t="shared" si="21"/>
        <v>1.4744031585364143</v>
      </c>
      <c r="AF373" s="33">
        <f t="shared" si="22"/>
        <v>0.33724947623199902</v>
      </c>
      <c r="AG373" s="47">
        <f t="shared" si="23"/>
        <v>1.4546085420486022E-3</v>
      </c>
      <c r="AH373" s="48"/>
      <c r="AI373" s="48"/>
      <c r="AJ373" s="48"/>
      <c r="AK373" s="48"/>
      <c r="AL373" s="48"/>
      <c r="AM373" s="48"/>
    </row>
    <row r="374" spans="1:39" ht="20" customHeight="1" x14ac:dyDescent="0.45">
      <c r="A374" s="26">
        <v>364</v>
      </c>
      <c r="B374" s="16" t="s">
        <v>642</v>
      </c>
      <c r="C374" s="16" t="s">
        <v>260</v>
      </c>
      <c r="D374" s="46">
        <v>28</v>
      </c>
      <c r="E374" s="46">
        <v>1</v>
      </c>
      <c r="F374" s="13">
        <v>-4.372323548121286E-2</v>
      </c>
      <c r="G374" s="13">
        <v>0.1205006850167878</v>
      </c>
      <c r="H374" s="13">
        <v>-6.8527940416792657E-4</v>
      </c>
      <c r="I374" s="13">
        <v>-0.13659634158684791</v>
      </c>
      <c r="J374" s="13">
        <v>-0.69849445851098346</v>
      </c>
      <c r="K374" s="13">
        <v>11.456565656565649</v>
      </c>
      <c r="L374" s="13">
        <v>1.0141206062726451E-2</v>
      </c>
      <c r="M374" s="13">
        <v>1.090404247636892</v>
      </c>
      <c r="N374" s="19">
        <f>(F374-Settings!$D$18)/Settings!$E$18</f>
        <v>-0.84479280202213725</v>
      </c>
      <c r="O374" s="19">
        <f>(G374-Settings!$D$19)/Settings!$E$19</f>
        <v>0.52969219915201404</v>
      </c>
      <c r="P374" s="19">
        <f>(H374-Settings!$D$20)/Settings!$E$20</f>
        <v>-0.48755137395468368</v>
      </c>
      <c r="Q374" s="19">
        <f>(I374-Settings!$D$21)/Settings!$E$21</f>
        <v>-1.6435580976199031</v>
      </c>
      <c r="R374" s="19">
        <f>(J374-Settings!$D$22)/Settings!$E$22</f>
        <v>-2.5462145330436767</v>
      </c>
      <c r="S374" s="19">
        <f>(K374-Settings!$D$23)/Settings!$E$23</f>
        <v>-1.3191823643174578</v>
      </c>
      <c r="T374" s="19">
        <f>(L374-Settings!$D$24)/Settings!$E$24</f>
        <v>-0.89746600138486121</v>
      </c>
      <c r="U374" s="19">
        <f>(M374-Settings!$D$25)/Settings!$E$25</f>
        <v>0.77135102700146463</v>
      </c>
      <c r="V374" s="31">
        <f>Settings!$B$18*(N374-F$6)^2</f>
        <v>0.26804631531510198</v>
      </c>
      <c r="W374" s="31">
        <f>Settings!$B$19*(O374-G$6)^2</f>
        <v>0.2659488026320746</v>
      </c>
      <c r="X374" s="31">
        <f>Settings!$B$20*(P374-H$6)^2</f>
        <v>1.2550519089082837</v>
      </c>
      <c r="Y374" s="31">
        <f>Settings!$B$21*(Q374-I$6)^2</f>
        <v>0.56413241370365008</v>
      </c>
      <c r="Z374" s="31">
        <f>Settings!$B$22*(R374-J$6)^2</f>
        <v>1.4093506744263022</v>
      </c>
      <c r="AA374" s="31">
        <f>Settings!$B$23*(S374-K$6)^2</f>
        <v>2.3695047360513675</v>
      </c>
      <c r="AB374" s="31">
        <f>Settings!$B$24*(T374-L$6)^2</f>
        <v>2.5419302646830224</v>
      </c>
      <c r="AC374" s="31">
        <f>Settings!$B$25*(U374-M$6)^2</f>
        <v>5.54808430803691</v>
      </c>
      <c r="AD374" s="19">
        <f t="shared" si="20"/>
        <v>3.7712132562024006</v>
      </c>
      <c r="AE374" s="15">
        <f t="shared" si="21"/>
        <v>1.4927145773627581</v>
      </c>
      <c r="AF374" s="33">
        <f t="shared" si="22"/>
        <v>0.32821105907912462</v>
      </c>
      <c r="AG374" s="47">
        <f t="shared" si="23"/>
        <v>1.4156244672797939E-3</v>
      </c>
      <c r="AH374" s="48"/>
      <c r="AI374" s="48"/>
      <c r="AJ374" s="48"/>
      <c r="AK374" s="48"/>
      <c r="AL374" s="48"/>
      <c r="AM374" s="48"/>
    </row>
    <row r="375" spans="1:39" ht="20" customHeight="1" x14ac:dyDescent="0.45">
      <c r="A375" s="26">
        <v>365</v>
      </c>
      <c r="B375" s="16" t="s">
        <v>462</v>
      </c>
      <c r="C375" s="16" t="s">
        <v>220</v>
      </c>
      <c r="D375" s="46">
        <v>28</v>
      </c>
      <c r="E375" s="46">
        <v>1</v>
      </c>
      <c r="F375" s="13">
        <v>-0.4404539750744042</v>
      </c>
      <c r="G375" s="13">
        <v>-0.19991879126605139</v>
      </c>
      <c r="H375" s="13">
        <v>-5.2278351955678093E-2</v>
      </c>
      <c r="I375" s="13">
        <v>1.6944511911368351E-2</v>
      </c>
      <c r="J375" s="13">
        <v>-0.29040436979249801</v>
      </c>
      <c r="K375" s="13">
        <v>16.09734848484851</v>
      </c>
      <c r="L375" s="13">
        <v>-1.85353950239785</v>
      </c>
      <c r="M375" s="13">
        <v>-0.1094229840821892</v>
      </c>
      <c r="N375" s="19">
        <f>(F375-Settings!$D$18)/Settings!$E$18</f>
        <v>-2.2646673874872927</v>
      </c>
      <c r="O375" s="19">
        <f>(G375-Settings!$D$19)/Settings!$E$19</f>
        <v>-0.80521617852013549</v>
      </c>
      <c r="P375" s="19">
        <f>(H375-Settings!$D$20)/Settings!$E$20</f>
        <v>-0.95499453252481126</v>
      </c>
      <c r="Q375" s="19">
        <f>(I375-Settings!$D$21)/Settings!$E$21</f>
        <v>0.2445809985888005</v>
      </c>
      <c r="R375" s="19">
        <f>(J375-Settings!$D$22)/Settings!$E$22</f>
        <v>-1.4482289362265339</v>
      </c>
      <c r="S375" s="19">
        <f>(K375-Settings!$D$23)/Settings!$E$23</f>
        <v>0.29245476823241029</v>
      </c>
      <c r="T375" s="19">
        <f>(L375-Settings!$D$24)/Settings!$E$24</f>
        <v>-2.1859304154640258</v>
      </c>
      <c r="U375" s="19">
        <f>(M375-Settings!$D$25)/Settings!$E$25</f>
        <v>-3.7825821148948252E-2</v>
      </c>
      <c r="V375" s="31">
        <f>Settings!$B$18*(N375-F$6)^2</f>
        <v>1.328761355163868</v>
      </c>
      <c r="W375" s="31">
        <f>Settings!$B$19*(O375-G$6)^2</f>
        <v>6.6075654798759143E-3</v>
      </c>
      <c r="X375" s="31">
        <f>Settings!$B$20*(P375-H$6)^2</f>
        <v>1.7671393284050785</v>
      </c>
      <c r="Y375" s="31">
        <f>Settings!$B$21*(Q375-I$6)^2</f>
        <v>8.7075001019610212E-3</v>
      </c>
      <c r="Z375" s="31">
        <f>Settings!$B$22*(R375-J$6)^2</f>
        <v>0.48459234802133944</v>
      </c>
      <c r="AA375" s="31">
        <f>Settings!$B$23*(S375-K$6)^2</f>
        <v>5.2298299721839801E-3</v>
      </c>
      <c r="AB375" s="31">
        <f>Settings!$B$24*(T375-L$6)^2</f>
        <v>8.3105797855331183</v>
      </c>
      <c r="AC375" s="31">
        <f>Settings!$B$25*(U375-M$6)^2</f>
        <v>2.3909210132677079</v>
      </c>
      <c r="AD375" s="19">
        <f t="shared" si="20"/>
        <v>3.781869739420586</v>
      </c>
      <c r="AE375" s="15">
        <f t="shared" si="21"/>
        <v>1.4969326066182094</v>
      </c>
      <c r="AF375" s="33">
        <f t="shared" si="22"/>
        <v>0.32614812997920944</v>
      </c>
      <c r="AG375" s="47">
        <f t="shared" si="23"/>
        <v>1.4067267387379919E-3</v>
      </c>
      <c r="AH375" s="18">
        <v>1.3702646628555151</v>
      </c>
      <c r="AI375" s="46">
        <v>1</v>
      </c>
      <c r="AJ375" s="18">
        <v>0.77628065256073464</v>
      </c>
      <c r="AK375" s="46">
        <v>1</v>
      </c>
      <c r="AL375" s="18">
        <v>-0.38254894843949627</v>
      </c>
      <c r="AM375" s="46">
        <v>1</v>
      </c>
    </row>
    <row r="376" spans="1:39" ht="20" customHeight="1" x14ac:dyDescent="0.45">
      <c r="A376" s="26">
        <v>366</v>
      </c>
      <c r="B376" s="16" t="s">
        <v>694</v>
      </c>
      <c r="C376" s="16" t="s">
        <v>236</v>
      </c>
      <c r="D376" s="46">
        <v>28</v>
      </c>
      <c r="E376" s="46">
        <v>0</v>
      </c>
      <c r="F376" s="13">
        <v>-0.48645858083387777</v>
      </c>
      <c r="G376" s="13">
        <v>0.38918913946567002</v>
      </c>
      <c r="H376" s="13">
        <v>-4.2047969288321963E-3</v>
      </c>
      <c r="I376" s="13">
        <v>-1.421353804834415E-3</v>
      </c>
      <c r="J376" s="13">
        <v>0.11872612896678569</v>
      </c>
      <c r="K376" s="13">
        <v>10.08202898550724</v>
      </c>
      <c r="L376" s="13">
        <v>-0.23317010880252889</v>
      </c>
      <c r="M376" s="13">
        <v>0.28484707118151609</v>
      </c>
      <c r="N376" s="19">
        <f>(F376-Settings!$D$18)/Settings!$E$18</f>
        <v>-2.4293150036493287</v>
      </c>
      <c r="O376" s="19">
        <f>(G376-Settings!$D$19)/Settings!$E$19</f>
        <v>1.6490825464197536</v>
      </c>
      <c r="P376" s="19">
        <f>(H376-Settings!$D$20)/Settings!$E$20</f>
        <v>-0.51943887952492185</v>
      </c>
      <c r="Q376" s="19">
        <f>(I376-Settings!$D$21)/Settings!$E$21</f>
        <v>1.8730299544168945E-2</v>
      </c>
      <c r="R376" s="19">
        <f>(J376-Settings!$D$22)/Settings!$E$22</f>
        <v>-0.34744406721151044</v>
      </c>
      <c r="S376" s="19">
        <f>(K376-Settings!$D$23)/Settings!$E$23</f>
        <v>-1.7965273341420607</v>
      </c>
      <c r="T376" s="19">
        <f>(L376-Settings!$D$24)/Settings!$E$24</f>
        <v>-1.0656804220865947</v>
      </c>
      <c r="U376" s="19">
        <f>(M376-Settings!$D$25)/Settings!$E$25</f>
        <v>0.22807429530471005</v>
      </c>
      <c r="V376" s="31">
        <f>Settings!$B$18*(N376-F$6)^2</f>
        <v>1.5039386543310311</v>
      </c>
      <c r="W376" s="31">
        <f>Settings!$B$19*(O376-G$6)^2</f>
        <v>1.0328836261281893</v>
      </c>
      <c r="X376" s="31">
        <f>Settings!$B$20*(P376-H$6)^2</f>
        <v>1.287207149215353</v>
      </c>
      <c r="Y376" s="31">
        <f>Settings!$B$21*(Q376-I$6)^2</f>
        <v>5.9128664459312401E-5</v>
      </c>
      <c r="Z376" s="31">
        <f>Settings!$B$22*(R376-J$6)^2</f>
        <v>4.155103755036646E-2</v>
      </c>
      <c r="AA376" s="31">
        <f>Settings!$B$23*(S376-K$6)^2</f>
        <v>4.0669358628666821</v>
      </c>
      <c r="AB376" s="31">
        <f>Settings!$B$24*(T376-L$6)^2</f>
        <v>3.1066093942595279</v>
      </c>
      <c r="AC376" s="31">
        <f>Settings!$B$25*(U376-M$6)^2</f>
        <v>3.2839254897103247</v>
      </c>
      <c r="AD376" s="19">
        <f t="shared" si="20"/>
        <v>3.7845885301741764</v>
      </c>
      <c r="AE376" s="15">
        <f t="shared" si="21"/>
        <v>1.4980087532890476</v>
      </c>
      <c r="AF376" s="33">
        <f t="shared" si="22"/>
        <v>0.32562296615559816</v>
      </c>
      <c r="AG376" s="47">
        <f t="shared" si="23"/>
        <v>1.4044616268916079E-3</v>
      </c>
      <c r="AH376" s="48"/>
      <c r="AI376" s="48"/>
      <c r="AJ376" s="48"/>
      <c r="AK376" s="48"/>
      <c r="AL376" s="48"/>
      <c r="AM376" s="48"/>
    </row>
    <row r="377" spans="1:39" ht="20" customHeight="1" x14ac:dyDescent="0.45">
      <c r="A377" s="26">
        <v>367</v>
      </c>
      <c r="B377" s="16" t="s">
        <v>429</v>
      </c>
      <c r="C377" s="16" t="s">
        <v>218</v>
      </c>
      <c r="D377" s="46">
        <v>28</v>
      </c>
      <c r="E377" s="46">
        <v>0</v>
      </c>
      <c r="F377" s="13">
        <v>0.22375659245596119</v>
      </c>
      <c r="G377" s="13">
        <v>-0.273894974736625</v>
      </c>
      <c r="H377" s="13">
        <v>3.6447043025627512E-2</v>
      </c>
      <c r="I377" s="13">
        <v>-0.2856370611814682</v>
      </c>
      <c r="J377" s="13">
        <v>0.18026432860031799</v>
      </c>
      <c r="K377" s="13">
        <v>17.613362068965511</v>
      </c>
      <c r="L377" s="13">
        <v>-0.19779199643523879</v>
      </c>
      <c r="M377" s="13">
        <v>1.761246989956085</v>
      </c>
      <c r="N377" s="19">
        <f>(F377-Settings!$D$18)/Settings!$E$18</f>
        <v>0.11250082791443254</v>
      </c>
      <c r="O377" s="19">
        <f>(G377-Settings!$D$19)/Settings!$E$19</f>
        <v>-1.1134103875884735</v>
      </c>
      <c r="P377" s="19">
        <f>(H377-Settings!$D$20)/Settings!$E$20</f>
        <v>-0.15112539226307936</v>
      </c>
      <c r="Q377" s="19">
        <f>(I377-Settings!$D$21)/Settings!$E$21</f>
        <v>-3.4763576632218385</v>
      </c>
      <c r="R377" s="19">
        <f>(J377-Settings!$D$22)/Settings!$E$22</f>
        <v>-0.18187264384306101</v>
      </c>
      <c r="S377" s="19">
        <f>(K377-Settings!$D$23)/Settings!$E$23</f>
        <v>0.81893141581925843</v>
      </c>
      <c r="T377" s="19">
        <f>(L377-Settings!$D$24)/Settings!$E$24</f>
        <v>-1.0412215978815624</v>
      </c>
      <c r="U377" s="19">
        <f>(M377-Settings!$D$25)/Settings!$E$25</f>
        <v>1.2237748439343998</v>
      </c>
      <c r="V377" s="31">
        <f>Settings!$B$18*(N377-F$6)^2</f>
        <v>8.0312369821401823E-3</v>
      </c>
      <c r="W377" s="31">
        <f>Settings!$B$19*(O377-G$6)^2</f>
        <v>4.8011634493350039E-2</v>
      </c>
      <c r="X377" s="31">
        <f>Settings!$B$20*(P377-H$6)^2</f>
        <v>0.94058326359328892</v>
      </c>
      <c r="Y377" s="31">
        <f>Settings!$B$21*(Q377-I$6)^2</f>
        <v>2.4672253129221855</v>
      </c>
      <c r="Z377" s="31">
        <f>Settings!$B$22*(R377-J$6)^2</f>
        <v>1.6846722443712332E-2</v>
      </c>
      <c r="AA377" s="31">
        <f>Settings!$B$23*(S377-K$6)^2</f>
        <v>0.35855450707882935</v>
      </c>
      <c r="AB377" s="31">
        <f>Settings!$B$24*(T377-L$6)^2</f>
        <v>3.0209874539609749</v>
      </c>
      <c r="AC377" s="31">
        <f>Settings!$B$25*(U377-M$6)^2</f>
        <v>7.8840833770369327</v>
      </c>
      <c r="AD377" s="19">
        <f t="shared" si="20"/>
        <v>3.8398337865735042</v>
      </c>
      <c r="AE377" s="15">
        <f t="shared" si="21"/>
        <v>1.5198758273458626</v>
      </c>
      <c r="AF377" s="33">
        <f t="shared" si="22"/>
        <v>0.31505398771356802</v>
      </c>
      <c r="AG377" s="47">
        <f t="shared" si="23"/>
        <v>1.3588760073251337E-3</v>
      </c>
      <c r="AH377" s="18">
        <v>1.1763278477341541</v>
      </c>
      <c r="AI377" s="46">
        <v>0</v>
      </c>
      <c r="AJ377" s="18">
        <v>4.6977323239775333E-2</v>
      </c>
      <c r="AK377" s="46">
        <v>0</v>
      </c>
      <c r="AL377" s="18">
        <v>-0.79610743483883517</v>
      </c>
      <c r="AM377" s="46">
        <v>0</v>
      </c>
    </row>
    <row r="378" spans="1:39" ht="20" customHeight="1" x14ac:dyDescent="0.45">
      <c r="A378" s="26">
        <v>368</v>
      </c>
      <c r="B378" s="16" t="s">
        <v>593</v>
      </c>
      <c r="C378" s="16" t="s">
        <v>216</v>
      </c>
      <c r="D378" s="46">
        <v>28</v>
      </c>
      <c r="E378" s="46">
        <v>1</v>
      </c>
      <c r="F378" s="13">
        <v>-0.34705396068239552</v>
      </c>
      <c r="G378" s="13">
        <v>0.28181478814485328</v>
      </c>
      <c r="H378" s="13">
        <v>-4.1605302481200461E-4</v>
      </c>
      <c r="I378" s="13">
        <v>-8.1458887340196565E-6</v>
      </c>
      <c r="J378" s="13">
        <v>0.37070705225920508</v>
      </c>
      <c r="K378" s="13">
        <v>9.3284615384615392</v>
      </c>
      <c r="L378" s="13">
        <v>0.76978359062411084</v>
      </c>
      <c r="M378" s="13">
        <v>1.071252859374221</v>
      </c>
      <c r="N378" s="19">
        <f>(F378-Settings!$D$18)/Settings!$E$18</f>
        <v>-1.930394558380887</v>
      </c>
      <c r="O378" s="19">
        <f>(G378-Settings!$D$19)/Settings!$E$19</f>
        <v>1.2017473132807199</v>
      </c>
      <c r="P378" s="19">
        <f>(H378-Settings!$D$20)/Settings!$E$20</f>
        <v>-0.48511213118597896</v>
      </c>
      <c r="Q378" s="19">
        <f>(I378-Settings!$D$21)/Settings!$E$21</f>
        <v>3.6108951913662153E-2</v>
      </c>
      <c r="R378" s="19">
        <f>(J378-Settings!$D$22)/Settings!$E$22</f>
        <v>0.3305224703159893</v>
      </c>
      <c r="S378" s="19">
        <f>(K378-Settings!$D$23)/Settings!$E$23</f>
        <v>-2.0582239755229343</v>
      </c>
      <c r="T378" s="19">
        <f>(L378-Settings!$D$24)/Settings!$E$24</f>
        <v>-0.37228366972781374</v>
      </c>
      <c r="U378" s="19">
        <f>(M378-Settings!$D$25)/Settings!$E$25</f>
        <v>0.75843511745848025</v>
      </c>
      <c r="V378" s="31">
        <f>Settings!$B$18*(N378-F$6)^2</f>
        <v>1.0064659383337327</v>
      </c>
      <c r="W378" s="31">
        <f>Settings!$B$19*(O378-G$6)^2</f>
        <v>0.66627128826649162</v>
      </c>
      <c r="X378" s="31">
        <f>Settings!$B$20*(P378-H$6)^2</f>
        <v>1.2526089319579943</v>
      </c>
      <c r="Y378" s="31">
        <f>Settings!$B$21*(Q378-I$6)^2</f>
        <v>6.7985106462176353E-9</v>
      </c>
      <c r="Z378" s="31">
        <f>Settings!$B$22*(R378-J$6)^2</f>
        <v>9.8714431988689132E-3</v>
      </c>
      <c r="AA378" s="31">
        <f>Settings!$B$23*(S378-K$6)^2</f>
        <v>5.1909296682739825</v>
      </c>
      <c r="AB378" s="31">
        <f>Settings!$B$24*(T378-L$6)^2</f>
        <v>1.1431049793597885</v>
      </c>
      <c r="AC378" s="31">
        <f>Settings!$B$25*(U378-M$6)^2</f>
        <v>5.4874059016589847</v>
      </c>
      <c r="AD378" s="19">
        <f t="shared" si="20"/>
        <v>3.8414395944552289</v>
      </c>
      <c r="AE378" s="15">
        <f t="shared" si="21"/>
        <v>1.5205114352180908</v>
      </c>
      <c r="AF378" s="33">
        <f t="shared" si="22"/>
        <v>0.31474971475579866</v>
      </c>
      <c r="AG378" s="47">
        <f t="shared" si="23"/>
        <v>1.3575636315479177E-3</v>
      </c>
      <c r="AH378" s="48"/>
      <c r="AI378" s="48"/>
      <c r="AJ378" s="48"/>
      <c r="AK378" s="48"/>
      <c r="AL378" s="48"/>
      <c r="AM378" s="48"/>
    </row>
    <row r="379" spans="1:39" ht="20" customHeight="1" x14ac:dyDescent="0.45">
      <c r="A379" s="26">
        <v>369</v>
      </c>
      <c r="B379" s="16" t="s">
        <v>617</v>
      </c>
      <c r="C379" s="16" t="s">
        <v>220</v>
      </c>
      <c r="D379" s="46">
        <v>28</v>
      </c>
      <c r="E379" s="46">
        <v>1</v>
      </c>
      <c r="F379" s="13">
        <v>0.16896820353862629</v>
      </c>
      <c r="G379" s="13">
        <v>0.17995515294967121</v>
      </c>
      <c r="H379" s="13">
        <v>1.740422322138165E-3</v>
      </c>
      <c r="I379" s="13">
        <v>-0.2835417787071331</v>
      </c>
      <c r="J379" s="13">
        <v>-0.3657944424824312</v>
      </c>
      <c r="K379" s="13">
        <v>9.0448356807511843</v>
      </c>
      <c r="L379" s="13">
        <v>-0.7225629707016108</v>
      </c>
      <c r="M379" s="13">
        <v>-2.0646926782611539</v>
      </c>
      <c r="N379" s="19">
        <f>(F379-Settings!$D$18)/Settings!$E$18</f>
        <v>-8.3583400603058619E-2</v>
      </c>
      <c r="O379" s="19">
        <f>(G379-Settings!$D$19)/Settings!$E$19</f>
        <v>0.77738709040634102</v>
      </c>
      <c r="P379" s="19">
        <f>(H379-Settings!$D$20)/Settings!$E$20</f>
        <v>-0.46557404985634715</v>
      </c>
      <c r="Q379" s="19">
        <f>(I379-Settings!$D$21)/Settings!$E$21</f>
        <v>-3.4505913302410272</v>
      </c>
      <c r="R379" s="19">
        <f>(J379-Settings!$D$22)/Settings!$E$22</f>
        <v>-1.6510694762075151</v>
      </c>
      <c r="S379" s="19">
        <f>(K379-Settings!$D$23)/Settings!$E$23</f>
        <v>-2.1567207121621808</v>
      </c>
      <c r="T379" s="19">
        <f>(L379-Settings!$D$24)/Settings!$E$24</f>
        <v>-1.4040244765154142</v>
      </c>
      <c r="U379" s="19">
        <f>(M379-Settings!$D$25)/Settings!$E$25</f>
        <v>-1.3564814797247919</v>
      </c>
      <c r="V379" s="31">
        <f>Settings!$B$18*(N379-F$6)^2</f>
        <v>3.1438375758986586E-2</v>
      </c>
      <c r="W379" s="31">
        <f>Settings!$B$19*(O379-G$6)^2</f>
        <v>0.39247063133982341</v>
      </c>
      <c r="X379" s="31">
        <f>Settings!$B$20*(P379-H$6)^2</f>
        <v>1.2331268191706883</v>
      </c>
      <c r="Y379" s="31">
        <f>Settings!$B$21*(Q379-I$6)^2</f>
        <v>2.4311586401721046</v>
      </c>
      <c r="Z379" s="31">
        <f>Settings!$B$22*(R379-J$6)^2</f>
        <v>0.61911674885232304</v>
      </c>
      <c r="AA379" s="31">
        <f>Settings!$B$23*(S379-K$6)^2</f>
        <v>5.649453557709001</v>
      </c>
      <c r="AB379" s="31">
        <f>Settings!$B$24*(T379-L$6)^2</f>
        <v>4.4137878819005003</v>
      </c>
      <c r="AC379" s="31">
        <f>Settings!$B$25*(U379-M$6)^2</f>
        <v>5.1803887210101061E-2</v>
      </c>
      <c r="AD379" s="19">
        <f t="shared" si="20"/>
        <v>3.8499813690605738</v>
      </c>
      <c r="AE379" s="15">
        <f t="shared" si="21"/>
        <v>1.5238924244657754</v>
      </c>
      <c r="AF379" s="33">
        <f t="shared" si="22"/>
        <v>0.31313400136808445</v>
      </c>
      <c r="AG379" s="47">
        <f t="shared" si="23"/>
        <v>1.3505948127330452E-3</v>
      </c>
      <c r="AH379" s="48"/>
      <c r="AI379" s="48"/>
      <c r="AJ379" s="48"/>
      <c r="AK379" s="48"/>
      <c r="AL379" s="48"/>
      <c r="AM379" s="48"/>
    </row>
    <row r="380" spans="1:39" ht="20" customHeight="1" x14ac:dyDescent="0.45">
      <c r="A380" s="26">
        <v>370</v>
      </c>
      <c r="B380" s="16" t="s">
        <v>779</v>
      </c>
      <c r="C380" s="16" t="s">
        <v>242</v>
      </c>
      <c r="D380" s="46">
        <v>28</v>
      </c>
      <c r="E380" s="46">
        <v>0</v>
      </c>
      <c r="F380" s="13">
        <v>0.19465929205726051</v>
      </c>
      <c r="G380" s="13">
        <v>0.1290902322153725</v>
      </c>
      <c r="H380" s="13">
        <v>-9.0814530767123119E-2</v>
      </c>
      <c r="I380" s="13">
        <v>-1.000756251530764E-2</v>
      </c>
      <c r="J380" s="13">
        <v>-0.57542838244493622</v>
      </c>
      <c r="K380" s="13">
        <v>15.977717391304351</v>
      </c>
      <c r="L380" s="13">
        <v>-0.39594981990267542</v>
      </c>
      <c r="M380" s="13">
        <v>1.762909231793903</v>
      </c>
      <c r="N380" s="19">
        <f>(F380-Settings!$D$18)/Settings!$E$18</f>
        <v>8.3634036651186773E-3</v>
      </c>
      <c r="O380" s="19">
        <f>(G380-Settings!$D$19)/Settings!$E$19</f>
        <v>0.56547734757314061</v>
      </c>
      <c r="P380" s="19">
        <f>(H380-Settings!$D$20)/Settings!$E$20</f>
        <v>-1.3041397229931742</v>
      </c>
      <c r="Q380" s="19">
        <f>(I380-Settings!$D$21)/Settings!$E$21</f>
        <v>-8.6856949615160189E-2</v>
      </c>
      <c r="R380" s="19">
        <f>(J380-Settings!$D$22)/Settings!$E$22</f>
        <v>-2.2150994613651376</v>
      </c>
      <c r="S380" s="19">
        <f>(K380-Settings!$D$23)/Settings!$E$23</f>
        <v>0.25090964110681013</v>
      </c>
      <c r="T380" s="19">
        <f>(L380-Settings!$D$24)/Settings!$E$24</f>
        <v>-1.1782189401570375</v>
      </c>
      <c r="U380" s="19">
        <f>(M380-Settings!$D$25)/Settings!$E$25</f>
        <v>1.2248958783430473</v>
      </c>
      <c r="V380" s="31">
        <f>Settings!$B$18*(N380-F$6)^2</f>
        <v>1.8547400396295849E-2</v>
      </c>
      <c r="W380" s="31">
        <f>Settings!$B$19*(O380-G$6)^2</f>
        <v>0.28271110785331283</v>
      </c>
      <c r="X380" s="31">
        <f>Settings!$B$20*(P380-H$6)^2</f>
        <v>2.206652032383186</v>
      </c>
      <c r="Y380" s="31">
        <f>Settings!$B$21*(Q380-I$6)^2</f>
        <v>3.0150608627718743E-3</v>
      </c>
      <c r="Z380" s="31">
        <f>Settings!$B$22*(R380-J$6)^2</f>
        <v>1.0796905716650631</v>
      </c>
      <c r="AA380" s="31">
        <f>Settings!$B$23*(S380-K$6)^2</f>
        <v>9.4694283259012183E-4</v>
      </c>
      <c r="AB380" s="31">
        <f>Settings!$B$24*(T380-L$6)^2</f>
        <v>3.5159855593896987</v>
      </c>
      <c r="AC380" s="31">
        <f>Settings!$B$25*(U380-M$6)^2</f>
        <v>7.890380051339176</v>
      </c>
      <c r="AD380" s="19">
        <f t="shared" si="20"/>
        <v>3.872715936745438</v>
      </c>
      <c r="AE380" s="15">
        <f t="shared" si="21"/>
        <v>1.5328911785238821</v>
      </c>
      <c r="AF380" s="33">
        <f t="shared" si="22"/>
        <v>0.30885675593355066</v>
      </c>
      <c r="AG380" s="47">
        <f t="shared" si="23"/>
        <v>1.3321463993655144E-3</v>
      </c>
      <c r="AH380" s="18">
        <v>1.663847038434519</v>
      </c>
      <c r="AI380" s="46">
        <v>0</v>
      </c>
      <c r="AJ380" s="18">
        <v>0.83171682377209222</v>
      </c>
      <c r="AK380" s="46">
        <v>0</v>
      </c>
      <c r="AL380" s="18">
        <v>0.1215748693117789</v>
      </c>
      <c r="AM380" s="46">
        <v>0</v>
      </c>
    </row>
    <row r="381" spans="1:39" ht="20" customHeight="1" x14ac:dyDescent="0.45">
      <c r="A381" s="26">
        <v>371</v>
      </c>
      <c r="B381" s="16" t="s">
        <v>352</v>
      </c>
      <c r="C381" s="16" t="s">
        <v>220</v>
      </c>
      <c r="D381" s="46">
        <v>28</v>
      </c>
      <c r="E381" s="46">
        <v>1</v>
      </c>
      <c r="F381" s="13">
        <v>0.26739672603221037</v>
      </c>
      <c r="G381" s="13">
        <v>-0.1121862123951852</v>
      </c>
      <c r="H381" s="13">
        <v>9.7388323523963191E-2</v>
      </c>
      <c r="I381" s="13">
        <v>-6.212349233263724E-2</v>
      </c>
      <c r="J381" s="13">
        <v>0.46090524571600378</v>
      </c>
      <c r="K381" s="13">
        <v>20.139974937343379</v>
      </c>
      <c r="L381" s="13">
        <v>1.384314969300622</v>
      </c>
      <c r="M381" s="13">
        <v>2.7311096163351469</v>
      </c>
      <c r="N381" s="19">
        <f>(F381-Settings!$D$18)/Settings!$E$18</f>
        <v>0.26868614552999809</v>
      </c>
      <c r="O381" s="19">
        <f>(G381-Settings!$D$19)/Settings!$E$19</f>
        <v>-0.43971107287505068</v>
      </c>
      <c r="P381" s="19">
        <f>(H381-Settings!$D$20)/Settings!$E$20</f>
        <v>0.40101432794856995</v>
      </c>
      <c r="Q381" s="19">
        <f>(I381-Settings!$D$21)/Settings!$E$21</f>
        <v>-0.72774256657906566</v>
      </c>
      <c r="R381" s="19">
        <f>(J381-Settings!$D$22)/Settings!$E$22</f>
        <v>0.57320495639520863</v>
      </c>
      <c r="S381" s="19">
        <f>(K381-Settings!$D$23)/Settings!$E$23</f>
        <v>1.6963659498034269</v>
      </c>
      <c r="T381" s="19">
        <f>(L381-Settings!$D$24)/Settings!$E$24</f>
        <v>5.2575486223706711E-2</v>
      </c>
      <c r="U381" s="19">
        <f>(M381-Settings!$D$25)/Settings!$E$25</f>
        <v>1.8778610010120846</v>
      </c>
      <c r="V381" s="31">
        <f>Settings!$B$18*(N381-F$6)^2</f>
        <v>3.9081223650665371E-4</v>
      </c>
      <c r="W381" s="31">
        <f>Settings!$B$19*(O381-G$6)^2</f>
        <v>6.7522243458755715E-3</v>
      </c>
      <c r="X381" s="31">
        <f>Settings!$B$20*(P381-H$6)^2</f>
        <v>0.52260223769642378</v>
      </c>
      <c r="Y381" s="31">
        <f>Settings!$B$21*(Q381-I$6)^2</f>
        <v>0.1166375025250567</v>
      </c>
      <c r="Z381" s="31">
        <f>Settings!$B$22*(R381-J$6)^2</f>
        <v>4.3216607254900848E-2</v>
      </c>
      <c r="AA381" s="31">
        <f>Settings!$B$23*(S381-K$6)^2</f>
        <v>2.1792513073984985</v>
      </c>
      <c r="AB381" s="31">
        <f>Settings!$B$24*(T381-L$6)^2</f>
        <v>0.41512470681340002</v>
      </c>
      <c r="AC381" s="31">
        <f>Settings!$B$25*(U381-M$6)^2</f>
        <v>11.985078095854954</v>
      </c>
      <c r="AD381" s="19">
        <f t="shared" si="20"/>
        <v>3.9075636263694564</v>
      </c>
      <c r="AE381" s="15">
        <f t="shared" si="21"/>
        <v>1.5466845258514652</v>
      </c>
      <c r="AF381" s="33">
        <f t="shared" si="22"/>
        <v>0.30236617041539054</v>
      </c>
      <c r="AG381" s="47">
        <f t="shared" si="23"/>
        <v>1.3041515118920113E-3</v>
      </c>
      <c r="AH381" s="18">
        <v>0.93612419378378209</v>
      </c>
      <c r="AI381" s="46">
        <v>1</v>
      </c>
      <c r="AJ381" s="18">
        <v>0.6900950090012139</v>
      </c>
      <c r="AK381" s="46">
        <v>1</v>
      </c>
      <c r="AL381" s="18">
        <v>-0.28994968953503258</v>
      </c>
      <c r="AM381" s="46">
        <v>1</v>
      </c>
    </row>
    <row r="382" spans="1:39" ht="20" customHeight="1" x14ac:dyDescent="0.45">
      <c r="A382" s="26">
        <v>372</v>
      </c>
      <c r="B382" s="16" t="s">
        <v>636</v>
      </c>
      <c r="C382" s="16" t="s">
        <v>214</v>
      </c>
      <c r="D382" s="46">
        <v>28</v>
      </c>
      <c r="E382" s="46">
        <v>1</v>
      </c>
      <c r="F382" s="13">
        <v>-0.40683724651381598</v>
      </c>
      <c r="G382" s="13">
        <v>-9.1302652503413753E-2</v>
      </c>
      <c r="H382" s="13">
        <v>9.4612015278481582E-3</v>
      </c>
      <c r="I382" s="13">
        <v>5.7459556104866437E-2</v>
      </c>
      <c r="J382" s="13">
        <v>0.43493934335005568</v>
      </c>
      <c r="K382" s="13">
        <v>9.9378947368421038</v>
      </c>
      <c r="L382" s="13">
        <v>7.0267113111592727E-2</v>
      </c>
      <c r="M382" s="13">
        <v>1.2513501624765451</v>
      </c>
      <c r="N382" s="19">
        <f>(F382-Settings!$D$18)/Settings!$E$18</f>
        <v>-2.1443552115802689</v>
      </c>
      <c r="O382" s="19">
        <f>(G382-Settings!$D$19)/Settings!$E$19</f>
        <v>-0.35270750062485523</v>
      </c>
      <c r="P382" s="19">
        <f>(H382-Settings!$D$20)/Settings!$E$20</f>
        <v>-0.395622305560901</v>
      </c>
      <c r="Q382" s="19">
        <f>(I382-Settings!$D$21)/Settings!$E$21</f>
        <v>0.74280695724061863</v>
      </c>
      <c r="R382" s="19">
        <f>(J382-Settings!$D$22)/Settings!$E$22</f>
        <v>0.50334247358975515</v>
      </c>
      <c r="S382" s="19">
        <f>(K382-Settings!$D$23)/Settings!$E$23</f>
        <v>-1.8465818434384715</v>
      </c>
      <c r="T382" s="19">
        <f>(L382-Settings!$D$24)/Settings!$E$24</f>
        <v>-0.85589767305211428</v>
      </c>
      <c r="U382" s="19">
        <f>(M382-Settings!$D$25)/Settings!$E$25</f>
        <v>0.87989474450489191</v>
      </c>
      <c r="V382" s="31">
        <f>Settings!$B$18*(N382-F$6)^2</f>
        <v>1.2076117001895184</v>
      </c>
      <c r="W382" s="31">
        <f>Settings!$B$19*(O382-G$6)^2</f>
        <v>1.4660632732652439E-2</v>
      </c>
      <c r="X382" s="31">
        <f>Settings!$B$20*(P382-H$6)^2</f>
        <v>1.1646274516430017</v>
      </c>
      <c r="Y382" s="31">
        <f>Settings!$B$21*(Q382-I$6)^2</f>
        <v>9.9936538706132505E-2</v>
      </c>
      <c r="Z382" s="31">
        <f>Settings!$B$22*(R382-J$6)^2</f>
        <v>3.1202605234172787E-2</v>
      </c>
      <c r="AA382" s="31">
        <f>Settings!$B$23*(S382-K$6)^2</f>
        <v>4.2713276245979843</v>
      </c>
      <c r="AB382" s="31">
        <f>Settings!$B$24*(T382-L$6)^2</f>
        <v>2.4111098267184894</v>
      </c>
      <c r="AC382" s="31">
        <f>Settings!$B$25*(U382-M$6)^2</f>
        <v>6.0712018623313657</v>
      </c>
      <c r="AD382" s="19">
        <f t="shared" si="20"/>
        <v>3.9078994667408371</v>
      </c>
      <c r="AE382" s="15">
        <f t="shared" si="21"/>
        <v>1.5468174575591065</v>
      </c>
      <c r="AF382" s="33">
        <f t="shared" si="22"/>
        <v>0.30230400661761719</v>
      </c>
      <c r="AG382" s="47">
        <f t="shared" si="23"/>
        <v>1.3038833899300217E-3</v>
      </c>
      <c r="AH382" s="48"/>
      <c r="AI382" s="48"/>
      <c r="AJ382" s="48"/>
      <c r="AK382" s="48"/>
      <c r="AL382" s="48"/>
      <c r="AM382" s="48"/>
    </row>
    <row r="383" spans="1:39" ht="20" customHeight="1" x14ac:dyDescent="0.45">
      <c r="A383" s="26">
        <v>373</v>
      </c>
      <c r="B383" s="16" t="s">
        <v>522</v>
      </c>
      <c r="C383" s="16" t="s">
        <v>236</v>
      </c>
      <c r="D383" s="46">
        <v>28</v>
      </c>
      <c r="E383" s="46">
        <v>0</v>
      </c>
      <c r="F383" s="13">
        <v>-0.20084869150106671</v>
      </c>
      <c r="G383" s="13">
        <v>-1.6688698081721649E-2</v>
      </c>
      <c r="H383" s="13">
        <v>1.9724526815060501E-2</v>
      </c>
      <c r="I383" s="13">
        <v>-7.0359614235463106E-5</v>
      </c>
      <c r="J383" s="13">
        <v>-0.7626677239879156</v>
      </c>
      <c r="K383" s="13">
        <v>10.094688644688651</v>
      </c>
      <c r="L383" s="13">
        <v>-0.84490687313110935</v>
      </c>
      <c r="M383" s="13">
        <v>0.27500430203197118</v>
      </c>
      <c r="N383" s="19">
        <f>(F383-Settings!$D$18)/Settings!$E$18</f>
        <v>-1.4071350141758492</v>
      </c>
      <c r="O383" s="19">
        <f>(G383-Settings!$D$19)/Settings!$E$19</f>
        <v>-4.1856256486237982E-2</v>
      </c>
      <c r="P383" s="19">
        <f>(H383-Settings!$D$20)/Settings!$E$20</f>
        <v>-0.30263460484008453</v>
      </c>
      <c r="Q383" s="19">
        <f>(I383-Settings!$D$21)/Settings!$E$21</f>
        <v>3.5343890597642855E-2</v>
      </c>
      <c r="R383" s="19">
        <f>(J383-Settings!$D$22)/Settings!$E$22</f>
        <v>-2.7188757251242341</v>
      </c>
      <c r="S383" s="19">
        <f>(K383-Settings!$D$23)/Settings!$E$23</f>
        <v>-1.792130925696088</v>
      </c>
      <c r="T383" s="19">
        <f>(L383-Settings!$D$24)/Settings!$E$24</f>
        <v>-1.488607508278506</v>
      </c>
      <c r="U383" s="19">
        <f>(M383-Settings!$D$25)/Settings!$E$25</f>
        <v>0.22143622216638867</v>
      </c>
      <c r="V383" s="31">
        <f>Settings!$B$18*(N383-F$6)^2</f>
        <v>0.59169783581708535</v>
      </c>
      <c r="W383" s="31">
        <f>Settings!$B$19*(O383-G$6)^2</f>
        <v>6.7650970838356125E-2</v>
      </c>
      <c r="X383" s="31">
        <f>Settings!$B$20*(P383-H$6)^2</f>
        <v>1.0766006858158075</v>
      </c>
      <c r="Y383" s="31">
        <f>Settings!$B$21*(Q383-I$6)^2</f>
        <v>6.744031943248816E-8</v>
      </c>
      <c r="Z383" s="31">
        <f>Settings!$B$22*(R383-J$6)^2</f>
        <v>1.5986496895736872</v>
      </c>
      <c r="AA383" s="31">
        <f>Settings!$B$23*(S383-K$6)^2</f>
        <v>4.0492230292499842</v>
      </c>
      <c r="AB383" s="31">
        <f>Settings!$B$24*(T383-L$6)^2</f>
        <v>4.7763434387421801</v>
      </c>
      <c r="AC383" s="31">
        <f>Settings!$B$25*(U383-M$6)^2</f>
        <v>3.2599110465394001</v>
      </c>
      <c r="AD383" s="19">
        <f t="shared" si="20"/>
        <v>3.9268405574987151</v>
      </c>
      <c r="AE383" s="15">
        <f t="shared" si="21"/>
        <v>1.5543146846753231</v>
      </c>
      <c r="AF383" s="33">
        <f t="shared" si="22"/>
        <v>0.29881008653021096</v>
      </c>
      <c r="AG383" s="47">
        <f t="shared" si="23"/>
        <v>1.2888135785216856E-3</v>
      </c>
      <c r="AH383" s="48"/>
      <c r="AI383" s="48"/>
      <c r="AJ383" s="48"/>
      <c r="AK383" s="48"/>
      <c r="AL383" s="48"/>
      <c r="AM383" s="48"/>
    </row>
    <row r="384" spans="1:39" ht="20" customHeight="1" x14ac:dyDescent="0.45">
      <c r="A384" s="26">
        <v>374</v>
      </c>
      <c r="B384" s="16" t="s">
        <v>655</v>
      </c>
      <c r="C384" s="16" t="s">
        <v>214</v>
      </c>
      <c r="D384" s="46">
        <v>28</v>
      </c>
      <c r="E384" s="46">
        <v>1</v>
      </c>
      <c r="F384" s="13">
        <v>-0.50575638468462558</v>
      </c>
      <c r="G384" s="13">
        <v>-0.32833468807317262</v>
      </c>
      <c r="H384" s="13">
        <v>-5.990805712165536E-2</v>
      </c>
      <c r="I384" s="13">
        <v>5.8000545781468259E-2</v>
      </c>
      <c r="J384" s="13">
        <v>-4.8000324339078339E-2</v>
      </c>
      <c r="K384" s="13">
        <v>12.24099756691</v>
      </c>
      <c r="L384" s="13">
        <v>-0.71545720805993895</v>
      </c>
      <c r="M384" s="13">
        <v>1.1433174125119969</v>
      </c>
      <c r="N384" s="19">
        <f>(F384-Settings!$D$18)/Settings!$E$18</f>
        <v>-2.4983806406379445</v>
      </c>
      <c r="O384" s="19">
        <f>(G384-Settings!$D$19)/Settings!$E$19</f>
        <v>-1.3402131720324473</v>
      </c>
      <c r="P384" s="19">
        <f>(H384-Settings!$D$20)/Settings!$E$20</f>
        <v>-1.0241211285069076</v>
      </c>
      <c r="Q384" s="19">
        <f>(I384-Settings!$D$21)/Settings!$E$21</f>
        <v>0.74945967367252952</v>
      </c>
      <c r="R384" s="19">
        <f>(J384-Settings!$D$22)/Settings!$E$22</f>
        <v>-0.79602943940987303</v>
      </c>
      <c r="S384" s="19">
        <f>(K384-Settings!$D$23)/Settings!$E$23</f>
        <v>-1.046767204753579</v>
      </c>
      <c r="T384" s="19">
        <f>(L384-Settings!$D$24)/Settings!$E$24</f>
        <v>-1.3991118741275033</v>
      </c>
      <c r="U384" s="19">
        <f>(M384-Settings!$D$25)/Settings!$E$25</f>
        <v>0.8070362547137534</v>
      </c>
      <c r="V384" s="31">
        <f>Settings!$B$18*(N384-F$6)^2</f>
        <v>1.5806495460395802</v>
      </c>
      <c r="W384" s="31">
        <f>Settings!$B$19*(O384-G$6)^2</f>
        <v>0.10274900859998055</v>
      </c>
      <c r="X384" s="31">
        <f>Settings!$B$20*(P384-H$6)^2</f>
        <v>1.8502862710406021</v>
      </c>
      <c r="Y384" s="31">
        <f>Settings!$B$21*(Q384-I$6)^2</f>
        <v>0.10182646563267339</v>
      </c>
      <c r="Z384" s="31">
        <f>Settings!$B$22*(R384-J$6)^2</f>
        <v>0.16358319448972339</v>
      </c>
      <c r="AA384" s="31">
        <f>Settings!$B$23*(S384-K$6)^2</f>
        <v>1.6050467830972557</v>
      </c>
      <c r="AB384" s="31">
        <f>Settings!$B$24*(T384-L$6)^2</f>
        <v>4.3931702263127503</v>
      </c>
      <c r="AC384" s="31">
        <f>Settings!$B$25*(U384-M$6)^2</f>
        <v>5.7174663677608937</v>
      </c>
      <c r="AD384" s="19">
        <f t="shared" si="20"/>
        <v>3.9388802803555047</v>
      </c>
      <c r="AE384" s="15">
        <f t="shared" si="21"/>
        <v>1.5590802252573042</v>
      </c>
      <c r="AF384" s="33">
        <f t="shared" si="22"/>
        <v>0.296601564534757</v>
      </c>
      <c r="AG384" s="47">
        <f t="shared" si="23"/>
        <v>1.2792878855664813E-3</v>
      </c>
      <c r="AH384" s="48"/>
      <c r="AI384" s="48"/>
      <c r="AJ384" s="48"/>
      <c r="AK384" s="48"/>
      <c r="AL384" s="48"/>
      <c r="AM384" s="48"/>
    </row>
    <row r="385" spans="1:39" ht="20" customHeight="1" x14ac:dyDescent="0.45">
      <c r="A385" s="26">
        <v>375</v>
      </c>
      <c r="B385" s="16" t="s">
        <v>780</v>
      </c>
      <c r="C385" s="16" t="s">
        <v>229</v>
      </c>
      <c r="D385" s="46">
        <v>28</v>
      </c>
      <c r="E385" s="46">
        <v>1</v>
      </c>
      <c r="F385" s="13">
        <v>-0.36404505837032031</v>
      </c>
      <c r="G385" s="13">
        <v>0.34105989576421297</v>
      </c>
      <c r="H385" s="13">
        <v>-3.4675707330721322E-4</v>
      </c>
      <c r="I385" s="13">
        <v>0.1363911848694826</v>
      </c>
      <c r="J385" s="13">
        <v>-0.1581571039226769</v>
      </c>
      <c r="K385" s="13">
        <v>10.55666666666666</v>
      </c>
      <c r="L385" s="13">
        <v>-0.47910184879856782</v>
      </c>
      <c r="M385" s="13">
        <v>0.78882078696831248</v>
      </c>
      <c r="N385" s="19">
        <f>(F385-Settings!$D$18)/Settings!$E$18</f>
        <v>-1.9912046378090102</v>
      </c>
      <c r="O385" s="19">
        <f>(G385-Settings!$D$19)/Settings!$E$19</f>
        <v>1.4485699827846181</v>
      </c>
      <c r="P385" s="19">
        <f>(H385-Settings!$D$20)/Settings!$E$20</f>
        <v>-0.4844842965398608</v>
      </c>
      <c r="Q385" s="19">
        <f>(I385-Settings!$D$21)/Settings!$E$21</f>
        <v>1.713453471196819</v>
      </c>
      <c r="R385" s="19">
        <f>(J385-Settings!$D$22)/Settings!$E$22</f>
        <v>-1.0924114411251555</v>
      </c>
      <c r="S385" s="19">
        <f>(K385-Settings!$D$23)/Settings!$E$23</f>
        <v>-1.6316965847258196</v>
      </c>
      <c r="T385" s="19">
        <f>(L385-Settings!$D$24)/Settings!$E$24</f>
        <v>-1.2357064860142555</v>
      </c>
      <c r="U385" s="19">
        <f>(M385-Settings!$D$25)/Settings!$E$25</f>
        <v>0.56795978223995913</v>
      </c>
      <c r="V385" s="31">
        <f>Settings!$B$18*(N385-F$6)^2</f>
        <v>1.0617712584853078</v>
      </c>
      <c r="W385" s="31">
        <f>Settings!$B$19*(O385-G$6)^2</f>
        <v>0.85865590675467185</v>
      </c>
      <c r="X385" s="31">
        <f>Settings!$B$20*(P385-H$6)^2</f>
        <v>1.2519805212975093</v>
      </c>
      <c r="Y385" s="31">
        <f>Settings!$B$21*(Q385-I$6)^2</f>
        <v>0.56282063534237192</v>
      </c>
      <c r="Z385" s="31">
        <f>Settings!$B$22*(R385-J$6)^2</f>
        <v>0.28836927273497126</v>
      </c>
      <c r="AA385" s="31">
        <f>Settings!$B$23*(S385-K$6)^2</f>
        <v>3.4292883842502055</v>
      </c>
      <c r="AB385" s="31">
        <f>Settings!$B$24*(T385-L$6)^2</f>
        <v>3.7348797287592301</v>
      </c>
      <c r="AC385" s="31">
        <f>Settings!$B$25*(U385-M$6)^2</f>
        <v>4.6313017065638862</v>
      </c>
      <c r="AD385" s="19">
        <f t="shared" si="20"/>
        <v>3.9773191240065406</v>
      </c>
      <c r="AE385" s="15">
        <f t="shared" si="21"/>
        <v>1.5742950164549381</v>
      </c>
      <c r="AF385" s="33">
        <f t="shared" si="22"/>
        <v>0.28961512303264364</v>
      </c>
      <c r="AG385" s="47">
        <f t="shared" si="23"/>
        <v>1.249154295438958E-3</v>
      </c>
      <c r="AH385" s="18">
        <v>0.24420026208209319</v>
      </c>
      <c r="AI385" s="46">
        <v>1</v>
      </c>
      <c r="AJ385" s="18">
        <v>-0.88661559485931751</v>
      </c>
      <c r="AK385" s="46">
        <v>1</v>
      </c>
      <c r="AL385" s="18">
        <v>6.250775221331506E-2</v>
      </c>
      <c r="AM385" s="46">
        <v>1</v>
      </c>
    </row>
    <row r="386" spans="1:39" ht="20" customHeight="1" x14ac:dyDescent="0.45">
      <c r="A386" s="26">
        <v>376</v>
      </c>
      <c r="B386" s="16" t="s">
        <v>611</v>
      </c>
      <c r="C386" s="16" t="s">
        <v>236</v>
      </c>
      <c r="D386" s="46">
        <v>28</v>
      </c>
      <c r="E386" s="46">
        <v>0</v>
      </c>
      <c r="F386" s="13">
        <v>-0.59035181684826676</v>
      </c>
      <c r="G386" s="13">
        <v>4.1505244292301693E-2</v>
      </c>
      <c r="H386" s="13">
        <v>-2.1398256965955039E-4</v>
      </c>
      <c r="I386" s="13">
        <v>9.595068541751732E-3</v>
      </c>
      <c r="J386" s="13">
        <v>-0.35833388774802027</v>
      </c>
      <c r="K386" s="13">
        <v>8.5069444444444464</v>
      </c>
      <c r="L386" s="13">
        <v>-0.20896893257267091</v>
      </c>
      <c r="M386" s="13">
        <v>-0.13368284369266789</v>
      </c>
      <c r="N386" s="19">
        <f>(F386-Settings!$D$18)/Settings!$E$18</f>
        <v>-2.8011424188121334</v>
      </c>
      <c r="O386" s="19">
        <f>(G386-Settings!$D$19)/Settings!$E$19</f>
        <v>0.2005871246279661</v>
      </c>
      <c r="P386" s="19">
        <f>(H386-Settings!$D$20)/Settings!$E$20</f>
        <v>-0.48328133400451889</v>
      </c>
      <c r="Q386" s="19">
        <f>(I386-Settings!$D$21)/Settings!$E$21</f>
        <v>0.15420263318713767</v>
      </c>
      <c r="R386" s="19">
        <f>(J386-Settings!$D$22)/Settings!$E$22</f>
        <v>-1.6309965024473023</v>
      </c>
      <c r="S386" s="19">
        <f>(K386-Settings!$D$23)/Settings!$E$23</f>
        <v>-2.3435179663715209</v>
      </c>
      <c r="T386" s="19">
        <f>(L386-Settings!$D$24)/Settings!$E$24</f>
        <v>-1.048948825193698</v>
      </c>
      <c r="U386" s="19">
        <f>(M386-Settings!$D$25)/Settings!$E$25</f>
        <v>-5.4186940664507632E-2</v>
      </c>
      <c r="V386" s="31">
        <f>Settings!$B$18*(N386-F$6)^2</f>
        <v>1.9394407143184229</v>
      </c>
      <c r="W386" s="31">
        <f>Settings!$B$19*(O386-G$6)^2</f>
        <v>0.1358084486715449</v>
      </c>
      <c r="X386" s="31">
        <f>Settings!$B$20*(P386-H$6)^2</f>
        <v>1.2507768955659586</v>
      </c>
      <c r="Y386" s="31">
        <f>Settings!$B$21*(Q386-I$6)^2</f>
        <v>2.7979395154987038E-3</v>
      </c>
      <c r="Z386" s="31">
        <f>Settings!$B$22*(R386-J$6)^2</f>
        <v>0.60507056004804571</v>
      </c>
      <c r="AA386" s="31">
        <f>Settings!$B$23*(S386-K$6)^2</f>
        <v>6.5723278369799409</v>
      </c>
      <c r="AB386" s="31">
        <f>Settings!$B$24*(T386-L$6)^2</f>
        <v>3.0479085331084708</v>
      </c>
      <c r="AC386" s="31">
        <f>Settings!$B$25*(U386-M$6)^2</f>
        <v>2.3405915993225688</v>
      </c>
      <c r="AD386" s="19">
        <f t="shared" si="20"/>
        <v>3.9868185972690622</v>
      </c>
      <c r="AE386" s="15">
        <f t="shared" si="21"/>
        <v>1.5780550801938191</v>
      </c>
      <c r="AF386" s="33">
        <f t="shared" si="22"/>
        <v>0.28790378973937153</v>
      </c>
      <c r="AG386" s="47">
        <f t="shared" si="23"/>
        <v>1.2417730533552094E-3</v>
      </c>
      <c r="AH386" s="18">
        <v>0.19592054125917999</v>
      </c>
      <c r="AI386" s="46">
        <v>0</v>
      </c>
      <c r="AJ386" s="18">
        <v>0.1642932821466821</v>
      </c>
      <c r="AK386" s="46">
        <v>1</v>
      </c>
      <c r="AL386" s="18">
        <v>2.5091641164247169E-2</v>
      </c>
      <c r="AM386" s="46">
        <v>1</v>
      </c>
    </row>
    <row r="387" spans="1:39" ht="20" customHeight="1" x14ac:dyDescent="0.45">
      <c r="A387" s="26">
        <v>377</v>
      </c>
      <c r="B387" s="16" t="s">
        <v>563</v>
      </c>
      <c r="C387" s="16" t="s">
        <v>216</v>
      </c>
      <c r="D387" s="46">
        <v>28</v>
      </c>
      <c r="E387" s="46">
        <v>1</v>
      </c>
      <c r="F387" s="13">
        <v>-6.7117389169366742E-2</v>
      </c>
      <c r="G387" s="13">
        <v>0.3460615887195887</v>
      </c>
      <c r="H387" s="13">
        <v>3.7366214704643477E-2</v>
      </c>
      <c r="I387" s="13">
        <v>-0.1043039884735706</v>
      </c>
      <c r="J387" s="13">
        <v>0.44515081893283043</v>
      </c>
      <c r="K387" s="13">
        <v>15.796041666666691</v>
      </c>
      <c r="L387" s="13">
        <v>1.210446338435579</v>
      </c>
      <c r="M387" s="13">
        <v>2.912032148984383</v>
      </c>
      <c r="N387" s="19">
        <f>(F387-Settings!$D$18)/Settings!$E$18</f>
        <v>-0.92851901971914785</v>
      </c>
      <c r="O387" s="19">
        <f>(G387-Settings!$D$19)/Settings!$E$19</f>
        <v>1.4694076731339436</v>
      </c>
      <c r="P387" s="19">
        <f>(H387-Settings!$D$20)/Settings!$E$20</f>
        <v>-0.14279752009616276</v>
      </c>
      <c r="Q387" s="19">
        <f>(I387-Settings!$D$21)/Settings!$E$21</f>
        <v>-1.2464491000301243</v>
      </c>
      <c r="R387" s="19">
        <f>(J387-Settings!$D$22)/Settings!$E$22</f>
        <v>0.5308169294074534</v>
      </c>
      <c r="S387" s="19">
        <f>(K387-Settings!$D$23)/Settings!$E$23</f>
        <v>0.18781784070526111</v>
      </c>
      <c r="T387" s="19">
        <f>(L387-Settings!$D$24)/Settings!$E$24</f>
        <v>-6.7629408626184412E-2</v>
      </c>
      <c r="U387" s="19">
        <f>(M387-Settings!$D$25)/Settings!$E$25</f>
        <v>1.9998771720559301</v>
      </c>
      <c r="V387" s="31">
        <f>Settings!$B$18*(N387-F$6)^2</f>
        <v>0.30821972261257424</v>
      </c>
      <c r="W387" s="31">
        <f>Settings!$B$19*(O387-G$6)^2</f>
        <v>0.87601321853575986</v>
      </c>
      <c r="X387" s="31">
        <f>Settings!$B$20*(P387-H$6)^2</f>
        <v>0.9333731354534649</v>
      </c>
      <c r="Y387" s="31">
        <f>Settings!$B$21*(Q387-I$6)^2</f>
        <v>0.32889645167183451</v>
      </c>
      <c r="Z387" s="31">
        <f>Settings!$B$22*(R387-J$6)^2</f>
        <v>3.5694371825332465E-2</v>
      </c>
      <c r="AA387" s="31">
        <f>Settings!$B$23*(S387-K$6)^2</f>
        <v>1.0445412993391797E-3</v>
      </c>
      <c r="AB387" s="31">
        <f>Settings!$B$24*(T387-L$6)^2</f>
        <v>0.58447036464574831</v>
      </c>
      <c r="AC387" s="31">
        <f>Settings!$B$25*(U387-M$6)^2</f>
        <v>12.84479311398211</v>
      </c>
      <c r="AD387" s="19">
        <f t="shared" si="20"/>
        <v>3.9890481220494398</v>
      </c>
      <c r="AE387" s="15">
        <f t="shared" si="21"/>
        <v>1.5789375665222671</v>
      </c>
      <c r="AF387" s="33">
        <f t="shared" si="22"/>
        <v>0.28750301855226318</v>
      </c>
      <c r="AG387" s="47">
        <f t="shared" si="23"/>
        <v>1.240044465964391E-3</v>
      </c>
      <c r="AH387" s="18">
        <v>0.18578162954054009</v>
      </c>
      <c r="AI387" s="46">
        <v>1</v>
      </c>
      <c r="AJ387" s="18">
        <v>-0.84557559886594291</v>
      </c>
      <c r="AK387" s="46">
        <v>1</v>
      </c>
      <c r="AL387" s="48"/>
      <c r="AM387" s="48"/>
    </row>
    <row r="388" spans="1:39" ht="20" customHeight="1" x14ac:dyDescent="0.45">
      <c r="A388" s="26">
        <v>378</v>
      </c>
      <c r="B388" s="16" t="s">
        <v>408</v>
      </c>
      <c r="C388" s="16" t="s">
        <v>220</v>
      </c>
      <c r="D388" s="46">
        <v>28</v>
      </c>
      <c r="E388" s="46">
        <v>1</v>
      </c>
      <c r="F388" s="13">
        <v>0.72041859953359433</v>
      </c>
      <c r="G388" s="13">
        <v>-0.20201599792223809</v>
      </c>
      <c r="H388" s="13">
        <v>-3.3729152995496003E-2</v>
      </c>
      <c r="I388" s="13">
        <v>-8.5251499696421427E-4</v>
      </c>
      <c r="J388" s="13">
        <v>-4.298373455170737E-2</v>
      </c>
      <c r="K388" s="13">
        <v>17.380464480874281</v>
      </c>
      <c r="L388" s="13">
        <v>0.32883776655144642</v>
      </c>
      <c r="M388" s="13">
        <v>2.6324706674741729</v>
      </c>
      <c r="N388" s="19">
        <f>(F388-Settings!$D$18)/Settings!$E$18</f>
        <v>1.8900231901562845</v>
      </c>
      <c r="O388" s="19">
        <f>(G388-Settings!$D$19)/Settings!$E$19</f>
        <v>-0.81395340875199007</v>
      </c>
      <c r="P388" s="19">
        <f>(H388-Settings!$D$20)/Settings!$E$20</f>
        <v>-0.78693522296854324</v>
      </c>
      <c r="Q388" s="19">
        <f>(I388-Settings!$D$21)/Settings!$E$21</f>
        <v>2.5725485308151656E-2</v>
      </c>
      <c r="R388" s="19">
        <f>(J388-Settings!$D$22)/Settings!$E$22</f>
        <v>-0.78253206840297007</v>
      </c>
      <c r="S388" s="19">
        <f>(K388-Settings!$D$23)/Settings!$E$23</f>
        <v>0.73805144040614201</v>
      </c>
      <c r="T388" s="19">
        <f>(L388-Settings!$D$24)/Settings!$E$24</f>
        <v>-0.67713363693262174</v>
      </c>
      <c r="U388" s="19">
        <f>(M388-Settings!$D$25)/Settings!$E$25</f>
        <v>1.8113377953086818</v>
      </c>
      <c r="V388" s="31">
        <f>Settings!$B$18*(N388-F$6)^2</f>
        <v>0.49746924596001646</v>
      </c>
      <c r="W388" s="31">
        <f>Settings!$B$19*(O388-G$6)^2</f>
        <v>7.2580757669095334E-3</v>
      </c>
      <c r="X388" s="31">
        <f>Settings!$B$20*(P388-H$6)^2</f>
        <v>1.5729662696730713</v>
      </c>
      <c r="Y388" s="31">
        <f>Settings!$B$21*(Q388-I$6)^2</f>
        <v>2.0804311477735449E-5</v>
      </c>
      <c r="Z388" s="31">
        <f>Settings!$B$22*(R388-J$6)^2</f>
        <v>0.15873689116729331</v>
      </c>
      <c r="AA388" s="31">
        <f>Settings!$B$23*(S388-K$6)^2</f>
        <v>0.26823515538178444</v>
      </c>
      <c r="AB388" s="31">
        <f>Settings!$B$24*(T388-L$6)^2</f>
        <v>1.8879057980035152</v>
      </c>
      <c r="AC388" s="31">
        <f>Settings!$B$25*(U388-M$6)^2</f>
        <v>11.528903787456015</v>
      </c>
      <c r="AD388" s="19">
        <f t="shared" si="20"/>
        <v>3.9901749369820974</v>
      </c>
      <c r="AE388" s="15">
        <f t="shared" si="21"/>
        <v>1.5793835803013081</v>
      </c>
      <c r="AF388" s="33">
        <f t="shared" si="22"/>
        <v>0.28730059360096999</v>
      </c>
      <c r="AG388" s="47">
        <f t="shared" si="23"/>
        <v>1.2391713762073225E-3</v>
      </c>
      <c r="AH388" s="18">
        <v>1.2633948056596751</v>
      </c>
      <c r="AI388" s="46">
        <v>1</v>
      </c>
      <c r="AJ388" s="18">
        <v>-0.22520261178051901</v>
      </c>
      <c r="AK388" s="46">
        <v>1</v>
      </c>
      <c r="AL388" s="18">
        <v>0.72047019679765034</v>
      </c>
      <c r="AM388" s="46">
        <v>1</v>
      </c>
    </row>
    <row r="389" spans="1:39" ht="20" customHeight="1" x14ac:dyDescent="0.45">
      <c r="A389" s="26">
        <v>379</v>
      </c>
      <c r="B389" s="16" t="s">
        <v>549</v>
      </c>
      <c r="C389" s="16" t="s">
        <v>216</v>
      </c>
      <c r="D389" s="46">
        <v>28</v>
      </c>
      <c r="E389" s="46">
        <v>1</v>
      </c>
      <c r="F389" s="13">
        <v>-0.1173813933794477</v>
      </c>
      <c r="G389" s="13">
        <v>0.66210221540989678</v>
      </c>
      <c r="H389" s="13">
        <v>1.1377719363793171E-3</v>
      </c>
      <c r="I389" s="13">
        <v>0.1335269534582651</v>
      </c>
      <c r="J389" s="13">
        <v>-8.5851665816011072E-2</v>
      </c>
      <c r="K389" s="13">
        <v>12.026666666666671</v>
      </c>
      <c r="L389" s="13">
        <v>0.22643895938243941</v>
      </c>
      <c r="M389" s="13">
        <v>1.706357644596471</v>
      </c>
      <c r="N389" s="19">
        <f>(F389-Settings!$D$18)/Settings!$E$18</f>
        <v>-1.1084107574120452</v>
      </c>
      <c r="O389" s="19">
        <f>(G389-Settings!$D$19)/Settings!$E$19</f>
        <v>2.7860732052916832</v>
      </c>
      <c r="P389" s="19">
        <f>(H389-Settings!$D$20)/Settings!$E$20</f>
        <v>-0.47103417823988875</v>
      </c>
      <c r="Q389" s="19">
        <f>(I389-Settings!$D$21)/Settings!$E$21</f>
        <v>1.678231136652667</v>
      </c>
      <c r="R389" s="19">
        <f>(J389-Settings!$D$22)/Settings!$E$22</f>
        <v>-0.89787025571685541</v>
      </c>
      <c r="S389" s="19">
        <f>(K389-Settings!$D$23)/Settings!$E$23</f>
        <v>-1.121199396533775</v>
      </c>
      <c r="T389" s="19">
        <f>(L389-Settings!$D$24)/Settings!$E$24</f>
        <v>-0.74792753337768481</v>
      </c>
      <c r="U389" s="19">
        <f>(M389-Settings!$D$25)/Settings!$E$25</f>
        <v>1.1867568580936425</v>
      </c>
      <c r="V389" s="31">
        <f>Settings!$B$18*(N389-F$6)^2</f>
        <v>0.40401968583344577</v>
      </c>
      <c r="W389" s="31">
        <f>Settings!$B$19*(O389-G$6)^2</f>
        <v>2.3249738852044417</v>
      </c>
      <c r="X389" s="31">
        <f>Settings!$B$20*(P389-H$6)^2</f>
        <v>1.2385559330529636</v>
      </c>
      <c r="Y389" s="31">
        <f>Settings!$B$21*(Q389-I$6)^2</f>
        <v>0.53943416440440151</v>
      </c>
      <c r="Z389" s="31">
        <f>Settings!$B$22*(R389-J$6)^2</f>
        <v>0.2024989118509235</v>
      </c>
      <c r="AA389" s="31">
        <f>Settings!$B$23*(S389-K$6)^2</f>
        <v>1.7991838782374641</v>
      </c>
      <c r="AB389" s="31">
        <f>Settings!$B$24*(T389-L$6)^2</f>
        <v>2.0874607365129729</v>
      </c>
      <c r="AC389" s="31">
        <f>Settings!$B$25*(U389-M$6)^2</f>
        <v>7.6775709910720629</v>
      </c>
      <c r="AD389" s="19">
        <f t="shared" si="20"/>
        <v>4.0340672014938814</v>
      </c>
      <c r="AE389" s="15">
        <f t="shared" si="21"/>
        <v>1.5967569343439219</v>
      </c>
      <c r="AF389" s="33">
        <f t="shared" si="22"/>
        <v>0.27948228940059211</v>
      </c>
      <c r="AG389" s="47">
        <f t="shared" si="23"/>
        <v>1.2054498351058598E-3</v>
      </c>
      <c r="AH389" s="18">
        <v>0.1001463347554971</v>
      </c>
      <c r="AI389" s="46">
        <v>1</v>
      </c>
      <c r="AJ389" s="18">
        <v>-0.61964895343496529</v>
      </c>
      <c r="AK389" s="46">
        <v>1</v>
      </c>
      <c r="AL389" s="48"/>
      <c r="AM389" s="48"/>
    </row>
    <row r="390" spans="1:39" ht="20" customHeight="1" x14ac:dyDescent="0.45">
      <c r="A390" s="26">
        <v>380</v>
      </c>
      <c r="B390" s="16" t="s">
        <v>695</v>
      </c>
      <c r="C390" s="16" t="s">
        <v>227</v>
      </c>
      <c r="D390" s="46">
        <v>28</v>
      </c>
      <c r="E390" s="46">
        <v>0</v>
      </c>
      <c r="F390" s="13">
        <v>-0.68366001966713341</v>
      </c>
      <c r="G390" s="13">
        <v>0.1319666034729626</v>
      </c>
      <c r="H390" s="13">
        <v>-4.0241678885541199E-4</v>
      </c>
      <c r="I390" s="13">
        <v>-8.7683407353745428E-5</v>
      </c>
      <c r="J390" s="13">
        <v>0.18388327666369489</v>
      </c>
      <c r="K390" s="13">
        <v>8.4975694444444443</v>
      </c>
      <c r="L390" s="13">
        <v>-0.36803308710793498</v>
      </c>
      <c r="M390" s="13">
        <v>-0.12342734473899319</v>
      </c>
      <c r="N390" s="19">
        <f>(F390-Settings!$D$18)/Settings!$E$18</f>
        <v>-3.135086660021646</v>
      </c>
      <c r="O390" s="19">
        <f>(G390-Settings!$D$19)/Settings!$E$19</f>
        <v>0.57746067684387159</v>
      </c>
      <c r="P390" s="19">
        <f>(H390-Settings!$D$20)/Settings!$E$20</f>
        <v>-0.48498858426598901</v>
      </c>
      <c r="Q390" s="19">
        <f>(I390-Settings!$D$21)/Settings!$E$21</f>
        <v>3.5130854585819202E-2</v>
      </c>
      <c r="R390" s="19">
        <f>(J390-Settings!$D$22)/Settings!$E$22</f>
        <v>-0.17213569369635404</v>
      </c>
      <c r="S390" s="19">
        <f>(K390-Settings!$D$23)/Settings!$E$23</f>
        <v>-2.3467736882349914</v>
      </c>
      <c r="T390" s="19">
        <f>(L390-Settings!$D$24)/Settings!$E$24</f>
        <v>-1.1589185757759031</v>
      </c>
      <c r="U390" s="19">
        <f>(M390-Settings!$D$25)/Settings!$E$25</f>
        <v>-4.7270517949501857E-2</v>
      </c>
      <c r="V390" s="31">
        <f>Settings!$B$18*(N390-F$6)^2</f>
        <v>2.3777098643731596</v>
      </c>
      <c r="W390" s="31">
        <f>Settings!$B$19*(O390-G$6)^2</f>
        <v>0.28843876576179617</v>
      </c>
      <c r="X390" s="31">
        <f>Settings!$B$20*(P390-H$6)^2</f>
        <v>1.2524852592277733</v>
      </c>
      <c r="Y390" s="31">
        <f>Settings!$B$21*(Q390-I$6)^2</f>
        <v>1.260003934883625E-7</v>
      </c>
      <c r="Z390" s="31">
        <f>Settings!$B$22*(R390-J$6)^2</f>
        <v>1.5735300997914911E-2</v>
      </c>
      <c r="AA390" s="31">
        <f>Settings!$B$23*(S390-K$6)^2</f>
        <v>6.589031533087546</v>
      </c>
      <c r="AB390" s="31">
        <f>Settings!$B$24*(T390-L$6)^2</f>
        <v>3.4439779856927895</v>
      </c>
      <c r="AC390" s="31">
        <f>Settings!$B$25*(U390-M$6)^2</f>
        <v>2.3618022955508429</v>
      </c>
      <c r="AD390" s="19">
        <f t="shared" si="20"/>
        <v>4.0409381498226642</v>
      </c>
      <c r="AE390" s="15">
        <f t="shared" si="21"/>
        <v>1.5994765802599442</v>
      </c>
      <c r="AF390" s="33">
        <f t="shared" si="22"/>
        <v>0.27827020820219805</v>
      </c>
      <c r="AG390" s="47">
        <f t="shared" si="23"/>
        <v>1.2002219436216706E-3</v>
      </c>
      <c r="AH390" s="18">
        <v>-0.1108458334789512</v>
      </c>
      <c r="AI390" s="46">
        <v>0</v>
      </c>
      <c r="AJ390" s="18">
        <v>0.53764236236387775</v>
      </c>
      <c r="AK390" s="46">
        <v>0</v>
      </c>
      <c r="AL390" s="18">
        <v>0.1285832465647605</v>
      </c>
      <c r="AM390" s="46">
        <v>0</v>
      </c>
    </row>
    <row r="391" spans="1:39" ht="20" customHeight="1" x14ac:dyDescent="0.45">
      <c r="A391" s="26">
        <v>381</v>
      </c>
      <c r="B391" s="16" t="s">
        <v>688</v>
      </c>
      <c r="C391" s="16" t="s">
        <v>234</v>
      </c>
      <c r="D391" s="46">
        <v>28</v>
      </c>
      <c r="E391" s="46">
        <v>1</v>
      </c>
      <c r="F391" s="13">
        <v>-0.42743539990820362</v>
      </c>
      <c r="G391" s="13">
        <v>0.31559639478056001</v>
      </c>
      <c r="H391" s="13">
        <v>-3.578755562707711E-4</v>
      </c>
      <c r="I391" s="13">
        <v>4.6772775373070379E-3</v>
      </c>
      <c r="J391" s="13">
        <v>0.25193305221765849</v>
      </c>
      <c r="K391" s="13">
        <v>9.8210280373831775</v>
      </c>
      <c r="L391" s="13">
        <v>-0.11110137835140969</v>
      </c>
      <c r="M391" s="13">
        <v>1.2362789071884159</v>
      </c>
      <c r="N391" s="19">
        <f>(F391-Settings!$D$18)/Settings!$E$18</f>
        <v>-2.2180747185239289</v>
      </c>
      <c r="O391" s="19">
        <f>(G391-Settings!$D$19)/Settings!$E$19</f>
        <v>1.3424857922033422</v>
      </c>
      <c r="P391" s="19">
        <f>(H391-Settings!$D$20)/Settings!$E$20</f>
        <v>-0.48458503213357462</v>
      </c>
      <c r="Q391" s="19">
        <f>(I391-Settings!$D$21)/Settings!$E$21</f>
        <v>9.3727044762827061E-2</v>
      </c>
      <c r="R391" s="19">
        <f>(J391-Settings!$D$22)/Settings!$E$22</f>
        <v>1.0955431254818588E-2</v>
      </c>
      <c r="S391" s="19">
        <f>(K391-Settings!$D$23)/Settings!$E$23</f>
        <v>-1.8871669600827343</v>
      </c>
      <c r="T391" s="19">
        <f>(L391-Settings!$D$24)/Settings!$E$24</f>
        <v>-0.98128763176361877</v>
      </c>
      <c r="U391" s="19">
        <f>(M391-Settings!$D$25)/Settings!$E$25</f>
        <v>0.86973052208243073</v>
      </c>
      <c r="V391" s="31">
        <f>Settings!$B$18*(N391-F$6)^2</f>
        <v>1.2811574023327266</v>
      </c>
      <c r="W391" s="31">
        <f>Settings!$B$19*(O391-G$6)^2</f>
        <v>0.77298312245914369</v>
      </c>
      <c r="X391" s="31">
        <f>Settings!$B$20*(P391-H$6)^2</f>
        <v>1.2520813386927649</v>
      </c>
      <c r="Y391" s="31">
        <f>Settings!$B$21*(Q391-I$6)^2</f>
        <v>6.6822495835843322E-4</v>
      </c>
      <c r="Z391" s="31">
        <f>Settings!$B$22*(R391-J$6)^2</f>
        <v>1.8974376884804316E-3</v>
      </c>
      <c r="AA391" s="31">
        <f>Settings!$B$23*(S391-K$6)^2</f>
        <v>4.4407308435832054</v>
      </c>
      <c r="AB391" s="31">
        <f>Settings!$B$24*(T391-L$6)^2</f>
        <v>2.8162372245469096</v>
      </c>
      <c r="AC391" s="31">
        <f>Settings!$B$25*(U391-M$6)^2</f>
        <v>6.0212162739788146</v>
      </c>
      <c r="AD391" s="19">
        <f t="shared" si="20"/>
        <v>4.0727106290823567</v>
      </c>
      <c r="AE391" s="15">
        <f t="shared" si="21"/>
        <v>1.6120527035730177</v>
      </c>
      <c r="AF391" s="33">
        <f t="shared" si="22"/>
        <v>0.27270709835941009</v>
      </c>
      <c r="AG391" s="47">
        <f t="shared" si="23"/>
        <v>1.1762274005075184E-3</v>
      </c>
      <c r="AH391" s="18">
        <v>-5.6035526613339708E-2</v>
      </c>
      <c r="AI391" s="46">
        <v>1</v>
      </c>
      <c r="AJ391" s="18">
        <v>-0.58571574765147805</v>
      </c>
      <c r="AK391" s="46">
        <v>1</v>
      </c>
      <c r="AL391" s="18">
        <v>0.23471383547503311</v>
      </c>
      <c r="AM391" s="46">
        <v>1</v>
      </c>
    </row>
    <row r="392" spans="1:39" ht="20" customHeight="1" x14ac:dyDescent="0.45">
      <c r="A392" s="26">
        <v>382</v>
      </c>
      <c r="B392" s="16" t="s">
        <v>781</v>
      </c>
      <c r="C392" s="16" t="s">
        <v>271</v>
      </c>
      <c r="D392" s="46">
        <v>28</v>
      </c>
      <c r="E392" s="46">
        <v>0</v>
      </c>
      <c r="F392" s="13">
        <v>0.25260815774480572</v>
      </c>
      <c r="G392" s="13">
        <v>-0.25436215937958762</v>
      </c>
      <c r="H392" s="13">
        <v>3.7767461213341448E-4</v>
      </c>
      <c r="I392" s="13">
        <v>5.0052344629769707E-2</v>
      </c>
      <c r="J392" s="13">
        <v>-0.44259966363370362</v>
      </c>
      <c r="K392" s="13">
        <v>8.276666666666662</v>
      </c>
      <c r="L392" s="13">
        <v>-0.47506761243588658</v>
      </c>
      <c r="M392" s="13">
        <v>0.47541898686199729</v>
      </c>
      <c r="N392" s="19">
        <f>(F392-Settings!$D$18)/Settings!$E$18</f>
        <v>0.21575878152429201</v>
      </c>
      <c r="O392" s="19">
        <f>(G392-Settings!$D$19)/Settings!$E$19</f>
        <v>-1.032034189230868</v>
      </c>
      <c r="P392" s="19">
        <f>(H392-Settings!$D$20)/Settings!$E$20</f>
        <v>-0.47792080616288124</v>
      </c>
      <c r="Q392" s="19">
        <f>(I392-Settings!$D$21)/Settings!$E$21</f>
        <v>0.65171819967956757</v>
      </c>
      <c r="R392" s="19">
        <f>(J392-Settings!$D$22)/Settings!$E$22</f>
        <v>-1.8577175397497467</v>
      </c>
      <c r="S392" s="19">
        <f>(K392-Settings!$D$23)/Settings!$E$23</f>
        <v>-2.423488141921637</v>
      </c>
      <c r="T392" s="19">
        <f>(L392-Settings!$D$24)/Settings!$E$24</f>
        <v>-1.2329173977505299</v>
      </c>
      <c r="U392" s="19">
        <f>(M392-Settings!$D$25)/Settings!$E$25</f>
        <v>0.356598117734857</v>
      </c>
      <c r="V392" s="31">
        <f>Settings!$B$18*(N392-F$6)^2</f>
        <v>1.8869300679559985E-3</v>
      </c>
      <c r="W392" s="31">
        <f>Settings!$B$19*(O392-G$6)^2</f>
        <v>3.3387706099697621E-2</v>
      </c>
      <c r="X392" s="31">
        <f>Settings!$B$20*(P392-H$6)^2</f>
        <v>1.2454204492066987</v>
      </c>
      <c r="Y392" s="31">
        <f>Settings!$B$21*(Q392-I$6)^2</f>
        <v>7.584035610747264E-2</v>
      </c>
      <c r="Z392" s="31">
        <f>Settings!$B$22*(R392-J$6)^2</f>
        <v>0.77309031511384152</v>
      </c>
      <c r="AA392" s="31">
        <f>Settings!$B$23*(S392-K$6)^2</f>
        <v>6.9887549741440846</v>
      </c>
      <c r="AB392" s="31">
        <f>Settings!$B$24*(T392-L$6)^2</f>
        <v>3.7241072147813847</v>
      </c>
      <c r="AC392" s="31">
        <f>Settings!$B$25*(U392-M$6)^2</f>
        <v>3.7662554379391717</v>
      </c>
      <c r="AD392" s="19">
        <f t="shared" si="20"/>
        <v>4.075382605775844</v>
      </c>
      <c r="AE392" s="15">
        <f t="shared" si="21"/>
        <v>1.6131103203901473</v>
      </c>
      <c r="AF392" s="33">
        <f t="shared" si="22"/>
        <v>0.27224239461039962</v>
      </c>
      <c r="AG392" s="47">
        <f t="shared" si="23"/>
        <v>1.1742230622046543E-3</v>
      </c>
      <c r="AH392" s="48"/>
      <c r="AI392" s="48"/>
      <c r="AJ392" s="48"/>
      <c r="AK392" s="48"/>
      <c r="AL392" s="48"/>
      <c r="AM392" s="48"/>
    </row>
    <row r="393" spans="1:39" ht="20" customHeight="1" x14ac:dyDescent="0.45">
      <c r="A393" s="26">
        <v>383</v>
      </c>
      <c r="B393" s="16" t="s">
        <v>554</v>
      </c>
      <c r="C393" s="16" t="s">
        <v>232</v>
      </c>
      <c r="D393" s="46">
        <v>28</v>
      </c>
      <c r="E393" s="46">
        <v>0</v>
      </c>
      <c r="F393" s="13">
        <v>4.3268322544996622E-2</v>
      </c>
      <c r="G393" s="13">
        <v>0.18424458250617701</v>
      </c>
      <c r="H393" s="13">
        <v>-2.4571299677335177E-4</v>
      </c>
      <c r="I393" s="13">
        <v>3.6381589155478539E-2</v>
      </c>
      <c r="J393" s="13">
        <v>0.73585979279657454</v>
      </c>
      <c r="K393" s="13">
        <v>12.086383442265801</v>
      </c>
      <c r="L393" s="13">
        <v>1.227445112627674</v>
      </c>
      <c r="M393" s="13">
        <v>2.7953353629787951</v>
      </c>
      <c r="N393" s="19">
        <f>(F393-Settings!$D$18)/Settings!$E$18</f>
        <v>-0.53345543875634394</v>
      </c>
      <c r="O393" s="19">
        <f>(G393-Settings!$D$19)/Settings!$E$19</f>
        <v>0.79525740065352368</v>
      </c>
      <c r="P393" s="19">
        <f>(H393-Settings!$D$20)/Settings!$E$20</f>
        <v>-0.48356881777587307</v>
      </c>
      <c r="Q393" s="19">
        <f>(I393-Settings!$D$21)/Settings!$E$21</f>
        <v>0.48360471523799398</v>
      </c>
      <c r="R393" s="19">
        <f>(J393-Settings!$D$22)/Settings!$E$22</f>
        <v>1.3129831103363743</v>
      </c>
      <c r="S393" s="19">
        <f>(K393-Settings!$D$23)/Settings!$E$23</f>
        <v>-1.1004611339274821</v>
      </c>
      <c r="T393" s="19">
        <f>(L393-Settings!$D$24)/Settings!$E$24</f>
        <v>-5.5877226221735299E-2</v>
      </c>
      <c r="U393" s="19">
        <f>(M393-Settings!$D$25)/Settings!$E$25</f>
        <v>1.9211755598629894</v>
      </c>
      <c r="V393" s="31">
        <f>Settings!$B$18*(N393-F$6)^2</f>
        <v>0.14326042833667754</v>
      </c>
      <c r="W393" s="31">
        <f>Settings!$B$19*(O393-G$6)^2</f>
        <v>0.40254788025107591</v>
      </c>
      <c r="X393" s="31">
        <f>Settings!$B$20*(P393-H$6)^2</f>
        <v>1.2510644851907666</v>
      </c>
      <c r="Y393" s="31">
        <f>Settings!$B$21*(Q393-I$6)^2</f>
        <v>4.0083500479140728E-2</v>
      </c>
      <c r="Z393" s="31">
        <f>Settings!$B$22*(R393-J$6)^2</f>
        <v>0.29022450927334453</v>
      </c>
      <c r="AA393" s="31">
        <f>Settings!$B$23*(S393-K$6)^2</f>
        <v>1.7439799724071363</v>
      </c>
      <c r="AB393" s="31">
        <f>Settings!$B$24*(T393-L$6)^2</f>
        <v>0.56663923605513566</v>
      </c>
      <c r="AC393" s="31">
        <f>Settings!$B$25*(U393-M$6)^2</f>
        <v>12.286859674329277</v>
      </c>
      <c r="AD393" s="19">
        <f t="shared" si="20"/>
        <v>4.0895794021295826</v>
      </c>
      <c r="AE393" s="15">
        <f t="shared" si="21"/>
        <v>1.6187296697690834</v>
      </c>
      <c r="AF393" s="33">
        <f t="shared" si="22"/>
        <v>0.2697815094355277</v>
      </c>
      <c r="AG393" s="47">
        <f t="shared" si="23"/>
        <v>1.1636088882810542E-3</v>
      </c>
      <c r="AH393" s="18">
        <v>-8.529345173208025E-2</v>
      </c>
      <c r="AI393" s="46">
        <v>0</v>
      </c>
      <c r="AJ393" s="18">
        <v>-1.3354893452439429</v>
      </c>
      <c r="AK393" s="46">
        <v>0</v>
      </c>
      <c r="AL393" s="18">
        <v>0.24226051648978891</v>
      </c>
      <c r="AM393" s="46">
        <v>0</v>
      </c>
    </row>
    <row r="394" spans="1:39" ht="20" customHeight="1" x14ac:dyDescent="0.45">
      <c r="A394" s="26">
        <v>384</v>
      </c>
      <c r="B394" s="16" t="s">
        <v>782</v>
      </c>
      <c r="C394" s="16" t="s">
        <v>271</v>
      </c>
      <c r="D394" s="46">
        <v>28</v>
      </c>
      <c r="E394" s="46">
        <v>0</v>
      </c>
      <c r="F394" s="13">
        <v>7.563941978785532E-3</v>
      </c>
      <c r="G394" s="13">
        <v>0.29860164524744232</v>
      </c>
      <c r="H394" s="13">
        <v>1.321523117451866E-3</v>
      </c>
      <c r="I394" s="13">
        <v>0.20567048069293589</v>
      </c>
      <c r="J394" s="13">
        <v>0.48684240896338438</v>
      </c>
      <c r="K394" s="13">
        <v>10.36055555555556</v>
      </c>
      <c r="L394" s="13">
        <v>0.1700615156901292</v>
      </c>
      <c r="M394" s="13">
        <v>1.6633781584754721</v>
      </c>
      <c r="N394" s="19">
        <f>(F394-Settings!$D$18)/Settings!$E$18</f>
        <v>-0.66123919105071538</v>
      </c>
      <c r="O394" s="19">
        <f>(G394-Settings!$D$19)/Settings!$E$19</f>
        <v>1.271683499560641</v>
      </c>
      <c r="P394" s="19">
        <f>(H394-Settings!$D$20)/Settings!$E$20</f>
        <v>-0.46936935720435558</v>
      </c>
      <c r="Q394" s="19">
        <f>(I394-Settings!$D$21)/Settings!$E$21</f>
        <v>2.5654022784475887</v>
      </c>
      <c r="R394" s="19">
        <f>(J394-Settings!$D$22)/Settings!$E$22</f>
        <v>0.64299011524910177</v>
      </c>
      <c r="S394" s="19">
        <f>(K394-Settings!$D$23)/Settings!$E$23</f>
        <v>-1.699801462817951</v>
      </c>
      <c r="T394" s="19">
        <f>(L394-Settings!$D$24)/Settings!$E$24</f>
        <v>-0.78690434395716191</v>
      </c>
      <c r="U394" s="19">
        <f>(M394-Settings!$D$25)/Settings!$E$25</f>
        <v>1.157771013969497</v>
      </c>
      <c r="V394" s="31">
        <f>Settings!$B$18*(N394-F$6)^2</f>
        <v>0.18978589066948703</v>
      </c>
      <c r="W394" s="31">
        <f>Settings!$B$19*(O394-G$6)^2</f>
        <v>0.71830852391498201</v>
      </c>
      <c r="X394" s="31">
        <f>Settings!$B$20*(P394-H$6)^2</f>
        <v>1.2368993047957932</v>
      </c>
      <c r="Y394" s="31">
        <f>Settings!$B$21*(Q394-I$6)^2</f>
        <v>1.2796514841558653</v>
      </c>
      <c r="Z394" s="31">
        <f>Settings!$B$22*(R394-J$6)^2</f>
        <v>5.7166378722789693E-2</v>
      </c>
      <c r="AA394" s="31">
        <f>Settings!$B$23*(S394-K$6)^2</f>
        <v>3.6861644876433557</v>
      </c>
      <c r="AB394" s="31">
        <f>Settings!$B$24*(T394-L$6)^2</f>
        <v>2.2016076896207832</v>
      </c>
      <c r="AC394" s="31">
        <f>Settings!$B$25*(U394-M$6)^2</f>
        <v>7.5177807230186042</v>
      </c>
      <c r="AD394" s="19">
        <f t="shared" si="20"/>
        <v>4.1094238626043023</v>
      </c>
      <c r="AE394" s="15">
        <f t="shared" si="21"/>
        <v>1.62658446699695</v>
      </c>
      <c r="AF394" s="33">
        <f t="shared" si="22"/>
        <v>0.2663647912207171</v>
      </c>
      <c r="AG394" s="47">
        <f t="shared" si="23"/>
        <v>1.1488720603500964E-3</v>
      </c>
      <c r="AH394" s="18">
        <v>0.94407052563620653</v>
      </c>
      <c r="AI394" s="46">
        <v>1</v>
      </c>
      <c r="AJ394" s="18">
        <v>-0.43912264629295178</v>
      </c>
      <c r="AK394" s="46">
        <v>1</v>
      </c>
      <c r="AL394" s="18">
        <v>-0.15571440510748519</v>
      </c>
      <c r="AM394" s="46">
        <v>1</v>
      </c>
    </row>
    <row r="395" spans="1:39" ht="20" customHeight="1" x14ac:dyDescent="0.45">
      <c r="A395" s="26">
        <v>385</v>
      </c>
      <c r="B395" s="16" t="s">
        <v>565</v>
      </c>
      <c r="C395" s="16" t="s">
        <v>236</v>
      </c>
      <c r="D395" s="46">
        <v>28</v>
      </c>
      <c r="E395" s="46">
        <v>0</v>
      </c>
      <c r="F395" s="13">
        <v>-0.1168527413586176</v>
      </c>
      <c r="G395" s="13">
        <v>0.45572668214483703</v>
      </c>
      <c r="H395" s="13">
        <v>-1.297321536255147E-3</v>
      </c>
      <c r="I395" s="13">
        <v>-0.13485040988282651</v>
      </c>
      <c r="J395" s="13">
        <v>-0.2912728450774637</v>
      </c>
      <c r="K395" s="13">
        <v>12.856177156177161</v>
      </c>
      <c r="L395" s="13">
        <v>0.14218292193935869</v>
      </c>
      <c r="M395" s="13">
        <v>2.2456977861908238</v>
      </c>
      <c r="N395" s="19">
        <f>(F395-Settings!$D$18)/Settings!$E$18</f>
        <v>-1.106518744784788</v>
      </c>
      <c r="O395" s="19">
        <f>(G395-Settings!$D$19)/Settings!$E$19</f>
        <v>1.9262864298495304</v>
      </c>
      <c r="P395" s="19">
        <f>(H395-Settings!$D$20)/Settings!$E$20</f>
        <v>-0.493096593365976</v>
      </c>
      <c r="Q395" s="19">
        <f>(I395-Settings!$D$21)/Settings!$E$21</f>
        <v>-1.6220878385027662</v>
      </c>
      <c r="R395" s="19">
        <f>(J395-Settings!$D$22)/Settings!$E$22</f>
        <v>-1.4505656098690585</v>
      </c>
      <c r="S395" s="19">
        <f>(K395-Settings!$D$23)/Settings!$E$23</f>
        <v>-0.8331294832882592</v>
      </c>
      <c r="T395" s="19">
        <f>(L395-Settings!$D$24)/Settings!$E$24</f>
        <v>-0.80617834073105588</v>
      </c>
      <c r="U395" s="19">
        <f>(M395-Settings!$D$25)/Settings!$E$25</f>
        <v>1.5504938564871715</v>
      </c>
      <c r="V395" s="31">
        <f>Settings!$B$18*(N395-F$6)^2</f>
        <v>0.4029447534952133</v>
      </c>
      <c r="W395" s="31">
        <f>Settings!$B$19*(O395-G$6)^2</f>
        <v>1.3002343040344724</v>
      </c>
      <c r="X395" s="31">
        <f>Settings!$B$20*(P395-H$6)^2</f>
        <v>1.260614472489487</v>
      </c>
      <c r="Y395" s="31">
        <f>Settings!$B$21*(Q395-I$6)^2</f>
        <v>0.54980103678999981</v>
      </c>
      <c r="Z395" s="31">
        <f>Settings!$B$22*(R395-J$6)^2</f>
        <v>0.48604833395131086</v>
      </c>
      <c r="AA395" s="31">
        <f>Settings!$B$23*(S395-K$6)^2</f>
        <v>1.1093707163619082</v>
      </c>
      <c r="AB395" s="31">
        <f>Settings!$B$24*(T395-L$6)^2</f>
        <v>2.2591759782076393</v>
      </c>
      <c r="AC395" s="31">
        <f>Settings!$B$25*(U395-M$6)^2</f>
        <v>9.8255918346837579</v>
      </c>
      <c r="AD395" s="19">
        <f t="shared" ref="AD395:AD458" si="24">SQRT(SUM(V395:AC395))</f>
        <v>4.1465384877043876</v>
      </c>
      <c r="AE395" s="15">
        <f t="shared" ref="AE395:AE458" si="25">AD395/Yardstick</f>
        <v>1.6412751084845758</v>
      </c>
      <c r="AF395" s="33">
        <f t="shared" ref="AF395:AF409" si="26">EXP(-(AD395^2)/(2*Yardstick^2))</f>
        <v>0.26004723513645017</v>
      </c>
      <c r="AG395" s="47">
        <f t="shared" ref="AG395:AG458" si="27">AF395/$E$7</f>
        <v>1.1216234752737949E-3</v>
      </c>
      <c r="AH395" s="18">
        <v>0.36462641762378689</v>
      </c>
      <c r="AI395" s="46">
        <v>0</v>
      </c>
      <c r="AJ395" s="18">
        <v>-1.301312199339876</v>
      </c>
      <c r="AK395" s="46">
        <v>1</v>
      </c>
      <c r="AL395" s="18">
        <v>-0.2911902491487246</v>
      </c>
      <c r="AM395" s="46">
        <v>1</v>
      </c>
    </row>
    <row r="396" spans="1:39" ht="20" customHeight="1" x14ac:dyDescent="0.45">
      <c r="A396" s="26">
        <v>386</v>
      </c>
      <c r="B396" s="16" t="s">
        <v>690</v>
      </c>
      <c r="C396" s="16" t="s">
        <v>220</v>
      </c>
      <c r="D396" s="46">
        <v>28</v>
      </c>
      <c r="E396" s="46">
        <v>1</v>
      </c>
      <c r="F396" s="13">
        <v>0.32695465129445389</v>
      </c>
      <c r="G396" s="13">
        <v>-4.8307172641384739E-2</v>
      </c>
      <c r="H396" s="13">
        <v>7.2853551525958868E-3</v>
      </c>
      <c r="I396" s="13">
        <v>-4.0768140372879017E-5</v>
      </c>
      <c r="J396" s="13">
        <v>-0.6174120527711926</v>
      </c>
      <c r="K396" s="13">
        <v>10.258904109589039</v>
      </c>
      <c r="L396" s="13">
        <v>-0.72976079464943755</v>
      </c>
      <c r="M396" s="13">
        <v>1.4446015105294709</v>
      </c>
      <c r="N396" s="19">
        <f>(F396-Settings!$D$18)/Settings!$E$18</f>
        <v>0.48184024730090114</v>
      </c>
      <c r="O396" s="19">
        <f>(G396-Settings!$D$19)/Settings!$E$19</f>
        <v>-0.17358285147527214</v>
      </c>
      <c r="P396" s="19">
        <f>(H396-Settings!$D$20)/Settings!$E$20</f>
        <v>-0.41533589213196315</v>
      </c>
      <c r="Q396" s="19">
        <f>(I396-Settings!$D$21)/Settings!$E$21</f>
        <v>3.5707786052444609E-2</v>
      </c>
      <c r="R396" s="19">
        <f>(J396-Settings!$D$22)/Settings!$E$22</f>
        <v>-2.3280585029936844</v>
      </c>
      <c r="S396" s="19">
        <f>(K396-Settings!$D$23)/Settings!$E$23</f>
        <v>-1.7351026718938449</v>
      </c>
      <c r="T396" s="19">
        <f>(L396-Settings!$D$24)/Settings!$E$24</f>
        <v>-1.4090007259198747</v>
      </c>
      <c r="U396" s="19">
        <f>(M396-Settings!$D$25)/Settings!$E$25</f>
        <v>1.010225605969201</v>
      </c>
      <c r="V396" s="31">
        <f>Settings!$B$18*(N396-F$6)^2</f>
        <v>5.7087757296470651E-3</v>
      </c>
      <c r="W396" s="31">
        <f>Settings!$B$19*(O396-G$6)^2</f>
        <v>4.0476642811762734E-2</v>
      </c>
      <c r="X396" s="31">
        <f>Settings!$B$20*(P396-H$6)^2</f>
        <v>1.1837336589823966</v>
      </c>
      <c r="Y396" s="31">
        <f>Settings!$B$21*(Q396-I$6)^2</f>
        <v>9.4000288058170193E-9</v>
      </c>
      <c r="Z396" s="31">
        <f>Settings!$B$22*(R396-J$6)^2</f>
        <v>1.1872247152327524</v>
      </c>
      <c r="AA396" s="31">
        <f>Settings!$B$23*(S396-K$6)^2</f>
        <v>3.8229629756467309</v>
      </c>
      <c r="AB396" s="31">
        <f>Settings!$B$24*(T396-L$6)^2</f>
        <v>4.4347218664569876</v>
      </c>
      <c r="AC396" s="31">
        <f>Settings!$B$25*(U396-M$6)^2</f>
        <v>6.7304535017386238</v>
      </c>
      <c r="AD396" s="19">
        <f t="shared" si="24"/>
        <v>4.1719638236685288</v>
      </c>
      <c r="AE396" s="15">
        <f t="shared" si="25"/>
        <v>1.6513389174101516</v>
      </c>
      <c r="AF396" s="33">
        <f t="shared" si="26"/>
        <v>0.25577423706024099</v>
      </c>
      <c r="AG396" s="47">
        <f t="shared" si="27"/>
        <v>1.1031933814119579E-3</v>
      </c>
      <c r="AH396" s="18">
        <v>1.6016158075277871</v>
      </c>
      <c r="AI396" s="46">
        <v>1</v>
      </c>
      <c r="AJ396" s="48"/>
      <c r="AK396" s="48"/>
      <c r="AL396" s="48"/>
      <c r="AM396" s="48"/>
    </row>
    <row r="397" spans="1:39" ht="20" customHeight="1" x14ac:dyDescent="0.45">
      <c r="A397" s="26">
        <v>387</v>
      </c>
      <c r="B397" s="16" t="s">
        <v>693</v>
      </c>
      <c r="C397" s="16" t="s">
        <v>246</v>
      </c>
      <c r="D397" s="46">
        <v>28</v>
      </c>
      <c r="E397" s="46">
        <v>1</v>
      </c>
      <c r="F397" s="13">
        <v>-3.6721888211144957E-2</v>
      </c>
      <c r="G397" s="13">
        <v>-3.9116823451119727E-2</v>
      </c>
      <c r="H397" s="13">
        <v>-6.6521114256418538E-3</v>
      </c>
      <c r="I397" s="13">
        <v>0</v>
      </c>
      <c r="J397" s="13">
        <v>0.91750917691209344</v>
      </c>
      <c r="K397" s="13">
        <v>6.943137254901961</v>
      </c>
      <c r="L397" s="13">
        <v>9.2551879000827661E-2</v>
      </c>
      <c r="M397" s="13">
        <v>0.59532373667551663</v>
      </c>
      <c r="N397" s="19">
        <f>(F397-Settings!$D$18)/Settings!$E$18</f>
        <v>-0.81973541659498628</v>
      </c>
      <c r="O397" s="19">
        <f>(G397-Settings!$D$19)/Settings!$E$19</f>
        <v>-0.13529468538081219</v>
      </c>
      <c r="P397" s="19">
        <f>(H397-Settings!$D$20)/Settings!$E$20</f>
        <v>-0.54161201948011695</v>
      </c>
      <c r="Q397" s="19">
        <f>(I397-Settings!$D$21)/Settings!$E$21</f>
        <v>3.6209124412652775E-2</v>
      </c>
      <c r="R397" s="19">
        <f>(J397-Settings!$D$22)/Settings!$E$22</f>
        <v>1.8017193304584238</v>
      </c>
      <c r="S397" s="19">
        <f>(K397-Settings!$D$23)/Settings!$E$23</f>
        <v>-2.8865922338109335</v>
      </c>
      <c r="T397" s="19">
        <f>(L397-Settings!$D$24)/Settings!$E$24</f>
        <v>-0.84049099545223604</v>
      </c>
      <c r="U397" s="19">
        <f>(M397-Settings!$D$25)/Settings!$E$25</f>
        <v>0.43746321644857245</v>
      </c>
      <c r="V397" s="31">
        <f>Settings!$B$18*(N397-F$6)^2</f>
        <v>0.25656847904023133</v>
      </c>
      <c r="W397" s="31">
        <f>Settings!$B$19*(O397-G$6)^2</f>
        <v>4.7659721812716882E-2</v>
      </c>
      <c r="X397" s="31">
        <f>Settings!$B$20*(P397-H$6)^2</f>
        <v>1.3098061987398875</v>
      </c>
      <c r="Y397" s="31">
        <f>Settings!$B$21*(Q397-I$6)^2</f>
        <v>1.6192965866656358E-8</v>
      </c>
      <c r="Z397" s="31">
        <f>Settings!$B$22*(R397-J$6)^2</f>
        <v>0.57349476929166687</v>
      </c>
      <c r="AA397" s="31">
        <f>Settings!$B$23*(S397-K$6)^2</f>
        <v>9.6517678051019757</v>
      </c>
      <c r="AB397" s="31">
        <f>Settings!$B$24*(T397-L$6)^2</f>
        <v>2.3635009885227656</v>
      </c>
      <c r="AC397" s="31">
        <f>Settings!$B$25*(U397-M$6)^2</f>
        <v>4.0866618523486364</v>
      </c>
      <c r="AD397" s="19">
        <f t="shared" si="24"/>
        <v>4.2766178027795343</v>
      </c>
      <c r="AE397" s="15">
        <f t="shared" si="25"/>
        <v>1.6927628596762347</v>
      </c>
      <c r="AF397" s="33">
        <f t="shared" si="26"/>
        <v>0.23865815862372458</v>
      </c>
      <c r="AG397" s="47">
        <f t="shared" si="27"/>
        <v>1.029369118796933E-3</v>
      </c>
      <c r="AH397" s="48"/>
      <c r="AI397" s="48"/>
      <c r="AJ397" s="48"/>
      <c r="AK397" s="48"/>
      <c r="AL397" s="48"/>
      <c r="AM397" s="48"/>
    </row>
    <row r="398" spans="1:39" ht="20" customHeight="1" x14ac:dyDescent="0.45">
      <c r="A398" s="26">
        <v>388</v>
      </c>
      <c r="B398" s="16" t="s">
        <v>399</v>
      </c>
      <c r="C398" s="16" t="s">
        <v>246</v>
      </c>
      <c r="D398" s="46">
        <v>28</v>
      </c>
      <c r="E398" s="46">
        <v>1</v>
      </c>
      <c r="F398" s="13">
        <v>6.8293017387726987E-2</v>
      </c>
      <c r="G398" s="13">
        <v>-0.41466340832231069</v>
      </c>
      <c r="H398" s="13">
        <v>-1.243187617102505E-2</v>
      </c>
      <c r="I398" s="13">
        <v>-1.127141958253093E-5</v>
      </c>
      <c r="J398" s="13">
        <v>0.50460042669935479</v>
      </c>
      <c r="K398" s="13">
        <v>10.87472222222222</v>
      </c>
      <c r="L398" s="13">
        <v>-0.1027248248811433</v>
      </c>
      <c r="M398" s="13">
        <v>2.448352562953378</v>
      </c>
      <c r="N398" s="19">
        <f>(F398-Settings!$D$18)/Settings!$E$18</f>
        <v>-0.44389361591234577</v>
      </c>
      <c r="O398" s="19">
        <f>(G398-Settings!$D$19)/Settings!$E$19</f>
        <v>-1.6998696237288005</v>
      </c>
      <c r="P398" s="19">
        <f>(H398-Settings!$D$20)/Settings!$E$20</f>
        <v>-0.59397779951147334</v>
      </c>
      <c r="Q398" s="19">
        <f>(I398-Settings!$D$21)/Settings!$E$21</f>
        <v>3.6070516299576236E-2</v>
      </c>
      <c r="R398" s="19">
        <f>(J398-Settings!$D$22)/Settings!$E$22</f>
        <v>0.69076889802559138</v>
      </c>
      <c r="S398" s="19">
        <f>(K398-Settings!$D$23)/Settings!$E$23</f>
        <v>-1.5212432059503294</v>
      </c>
      <c r="T398" s="19">
        <f>(L398-Settings!$D$24)/Settings!$E$24</f>
        <v>-0.9754964621656973</v>
      </c>
      <c r="U398" s="19">
        <f>(M398-Settings!$D$25)/Settings!$E$25</f>
        <v>1.6871664950039666</v>
      </c>
      <c r="V398" s="31">
        <f>Settings!$B$18*(N398-F$6)^2</f>
        <v>0.11454456366594007</v>
      </c>
      <c r="W398" s="31">
        <f>Settings!$B$19*(O398-G$6)^2</f>
        <v>0.23173451916827084</v>
      </c>
      <c r="X398" s="31">
        <f>Settings!$B$20*(P398-H$6)^2</f>
        <v>1.3639584970619913</v>
      </c>
      <c r="Y398" s="31">
        <f>Settings!$B$21*(Q398-I$6)^2</f>
        <v>4.2594095771934197E-9</v>
      </c>
      <c r="Z398" s="31">
        <f>Settings!$B$22*(R398-J$6)^2</f>
        <v>6.7840576878729367E-2</v>
      </c>
      <c r="AA398" s="31">
        <f>Settings!$B$23*(S398-K$6)^2</f>
        <v>3.0324057351524734</v>
      </c>
      <c r="AB398" s="31">
        <f>Settings!$B$24*(T398-L$6)^2</f>
        <v>2.7968336878083546</v>
      </c>
      <c r="AC398" s="31">
        <f>Settings!$B$25*(U398-M$6)^2</f>
        <v>10.701093885828115</v>
      </c>
      <c r="AD398" s="19">
        <f t="shared" si="24"/>
        <v>4.2788329565225238</v>
      </c>
      <c r="AE398" s="15">
        <f t="shared" si="25"/>
        <v>1.6936396576875437</v>
      </c>
      <c r="AF398" s="33">
        <f t="shared" si="26"/>
        <v>0.23830411067028873</v>
      </c>
      <c r="AG398" s="47">
        <f t="shared" si="27"/>
        <v>1.0278420558549337E-3</v>
      </c>
      <c r="AH398" s="48"/>
      <c r="AI398" s="48"/>
      <c r="AJ398" s="48"/>
      <c r="AK398" s="48"/>
      <c r="AL398" s="48"/>
      <c r="AM398" s="48"/>
    </row>
    <row r="399" spans="1:39" ht="20" customHeight="1" x14ac:dyDescent="0.45">
      <c r="A399" s="26">
        <v>389</v>
      </c>
      <c r="B399" s="16" t="s">
        <v>400</v>
      </c>
      <c r="C399" s="16" t="s">
        <v>260</v>
      </c>
      <c r="D399" s="46">
        <v>28</v>
      </c>
      <c r="E399" s="46">
        <v>1</v>
      </c>
      <c r="F399" s="13">
        <v>-0.29992941289312652</v>
      </c>
      <c r="G399" s="13">
        <v>-0.245728574933233</v>
      </c>
      <c r="H399" s="13">
        <v>-0.1753010531595732</v>
      </c>
      <c r="I399" s="13">
        <v>5.2893397273584021E-5</v>
      </c>
      <c r="J399" s="13">
        <v>0.27898806561679368</v>
      </c>
      <c r="K399" s="13">
        <v>13.41490384615385</v>
      </c>
      <c r="L399" s="13">
        <v>-0.1021315137636014</v>
      </c>
      <c r="M399" s="13">
        <v>2.4224953415863242</v>
      </c>
      <c r="N399" s="19">
        <f>(F399-Settings!$D$18)/Settings!$E$18</f>
        <v>-1.7617387395095487</v>
      </c>
      <c r="O399" s="19">
        <f>(G399-Settings!$D$19)/Settings!$E$19</f>
        <v>-0.99606557602270762</v>
      </c>
      <c r="P399" s="19">
        <f>(H399-Settings!$D$20)/Settings!$E$20</f>
        <v>-2.0696038624724324</v>
      </c>
      <c r="Q399" s="19">
        <f>(I399-Settings!$D$21)/Settings!$E$21</f>
        <v>3.6859570786032567E-2</v>
      </c>
      <c r="R399" s="19">
        <f>(J399-Settings!$D$22)/Settings!$E$22</f>
        <v>8.3748218571046376E-2</v>
      </c>
      <c r="S399" s="19">
        <f>(K399-Settings!$D$23)/Settings!$E$23</f>
        <v>-0.63909655526040487</v>
      </c>
      <c r="T399" s="19">
        <f>(L399-Settings!$D$24)/Settings!$E$24</f>
        <v>-0.9750862737369822</v>
      </c>
      <c r="U399" s="19">
        <f>(M399-Settings!$D$25)/Settings!$E$25</f>
        <v>1.6697280969291521</v>
      </c>
      <c r="V399" s="31">
        <f>Settings!$B$18*(N399-F$6)^2</f>
        <v>0.8608176363435226</v>
      </c>
      <c r="W399" s="31">
        <f>Settings!$B$19*(O399-G$6)^2</f>
        <v>2.7768015838900498E-2</v>
      </c>
      <c r="X399" s="31">
        <f>Settings!$B$20*(P399-H$6)^2</f>
        <v>3.3408761431019323</v>
      </c>
      <c r="Y399" s="31">
        <f>Settings!$B$21*(Q399-I$6)^2</f>
        <v>1.748410982754101E-7</v>
      </c>
      <c r="Z399" s="31">
        <f>Settings!$B$22*(R399-J$6)^2</f>
        <v>1.2112463234106978E-4</v>
      </c>
      <c r="AA399" s="31">
        <f>Settings!$B$23*(S399-K$6)^2</f>
        <v>0.73828265452991992</v>
      </c>
      <c r="AB399" s="31">
        <f>Settings!$B$24*(T399-L$6)^2</f>
        <v>2.795461879408113</v>
      </c>
      <c r="AC399" s="31">
        <f>Settings!$B$25*(U399-M$6)^2</f>
        <v>10.587307171803799</v>
      </c>
      <c r="AD399" s="19">
        <f t="shared" si="24"/>
        <v>4.2837640925358658</v>
      </c>
      <c r="AE399" s="15">
        <f t="shared" si="25"/>
        <v>1.6955914907211085</v>
      </c>
      <c r="AF399" s="33">
        <f t="shared" si="26"/>
        <v>0.23751719652611425</v>
      </c>
      <c r="AG399" s="47">
        <f t="shared" si="27"/>
        <v>1.0244479748655012E-3</v>
      </c>
      <c r="AH399" s="18">
        <v>0.91711458668639323</v>
      </c>
      <c r="AI399" s="46">
        <v>1</v>
      </c>
      <c r="AJ399" s="48"/>
      <c r="AK399" s="48"/>
      <c r="AL399" s="48"/>
      <c r="AM399" s="48"/>
    </row>
    <row r="400" spans="1:39" ht="20" customHeight="1" x14ac:dyDescent="0.45">
      <c r="A400" s="26">
        <v>390</v>
      </c>
      <c r="B400" s="16" t="s">
        <v>602</v>
      </c>
      <c r="C400" s="16" t="s">
        <v>229</v>
      </c>
      <c r="D400" s="46">
        <v>28</v>
      </c>
      <c r="E400" s="46">
        <v>1</v>
      </c>
      <c r="F400" s="13">
        <v>-0.39695675866940711</v>
      </c>
      <c r="G400" s="13">
        <v>-0.55200073000870264</v>
      </c>
      <c r="H400" s="13">
        <v>3.9404729481704932E-4</v>
      </c>
      <c r="I400" s="13">
        <v>1.782299047792861E-2</v>
      </c>
      <c r="J400" s="13">
        <v>3.2825473549144703E-2</v>
      </c>
      <c r="K400" s="13">
        <v>7.7387254901960771</v>
      </c>
      <c r="L400" s="13">
        <v>-1.031867869584564</v>
      </c>
      <c r="M400" s="13">
        <v>-0.29629680333167702</v>
      </c>
      <c r="N400" s="19">
        <f>(F400-Settings!$D$18)/Settings!$E$18</f>
        <v>-2.1089935615184179</v>
      </c>
      <c r="O400" s="19">
        <f>(G400-Settings!$D$19)/Settings!$E$19</f>
        <v>-2.2720344103798746</v>
      </c>
      <c r="P400" s="19">
        <f>(H400-Settings!$D$20)/Settings!$E$20</f>
        <v>-0.47777246650933058</v>
      </c>
      <c r="Q400" s="19">
        <f>(I400-Settings!$D$21)/Settings!$E$21</f>
        <v>0.25538391969359348</v>
      </c>
      <c r="R400" s="19">
        <f>(J400-Settings!$D$22)/Settings!$E$22</f>
        <v>-0.57856382486577151</v>
      </c>
      <c r="S400" s="19">
        <f>(K400-Settings!$D$23)/Settings!$E$23</f>
        <v>-2.6103027392011962</v>
      </c>
      <c r="T400" s="19">
        <f>(L400-Settings!$D$24)/Settings!$E$24</f>
        <v>-1.617863871590888</v>
      </c>
      <c r="U400" s="19">
        <f>(M400-Settings!$D$25)/Settings!$E$25</f>
        <v>-0.16385560615847422</v>
      </c>
      <c r="V400" s="31">
        <f>Settings!$B$18*(N400-F$6)^2</f>
        <v>1.1731048784647631</v>
      </c>
      <c r="W400" s="31">
        <f>Settings!$B$19*(O400-G$6)^2</f>
        <v>0.54356408677152845</v>
      </c>
      <c r="X400" s="31">
        <f>Settings!$B$20*(P400-H$6)^2</f>
        <v>1.245272385935009</v>
      </c>
      <c r="Y400" s="31">
        <f>Settings!$B$21*(Q400-I$6)^2</f>
        <v>9.632480248784301E-3</v>
      </c>
      <c r="Z400" s="31">
        <f>Settings!$B$22*(R400-J$6)^2</f>
        <v>9.4372217203069694E-2</v>
      </c>
      <c r="AA400" s="31">
        <f>Settings!$B$23*(S400-K$6)^2</f>
        <v>8.011390276934744</v>
      </c>
      <c r="AB400" s="31">
        <f>Settings!$B$24*(T400-L$6)^2</f>
        <v>5.3580262588255794</v>
      </c>
      <c r="AC400" s="31">
        <f>Settings!$B$25*(U400-M$6)^2</f>
        <v>2.017054805641322</v>
      </c>
      <c r="AD400" s="19">
        <f t="shared" si="24"/>
        <v>4.2956277061711017</v>
      </c>
      <c r="AE400" s="15">
        <f t="shared" si="25"/>
        <v>1.7002873240804104</v>
      </c>
      <c r="AF400" s="33">
        <f t="shared" si="26"/>
        <v>0.23563094455575564</v>
      </c>
      <c r="AG400" s="47">
        <f t="shared" si="27"/>
        <v>1.0163122817898739E-3</v>
      </c>
      <c r="AH400" s="18">
        <v>0.20920901179167989</v>
      </c>
      <c r="AI400" s="46">
        <v>1</v>
      </c>
      <c r="AJ400" s="18">
        <v>4.2322978377915883E-2</v>
      </c>
      <c r="AK400" s="46">
        <v>1</v>
      </c>
      <c r="AL400" s="48"/>
      <c r="AM400" s="48"/>
    </row>
    <row r="401" spans="1:39" ht="20" customHeight="1" x14ac:dyDescent="0.45">
      <c r="A401" s="26">
        <v>391</v>
      </c>
      <c r="B401" s="16" t="s">
        <v>783</v>
      </c>
      <c r="C401" s="16" t="s">
        <v>234</v>
      </c>
      <c r="D401" s="46">
        <v>28</v>
      </c>
      <c r="E401" s="46">
        <v>1</v>
      </c>
      <c r="F401" s="13">
        <v>7.9897476865195938E-2</v>
      </c>
      <c r="G401" s="13">
        <v>0.31352127375961503</v>
      </c>
      <c r="H401" s="13">
        <v>-8.2365260575992217E-4</v>
      </c>
      <c r="I401" s="13">
        <v>-5.8717825704272752E-2</v>
      </c>
      <c r="J401" s="13">
        <v>-0.54703977106515644</v>
      </c>
      <c r="K401" s="13">
        <v>11.155238095238101</v>
      </c>
      <c r="L401" s="13">
        <v>0.1132222923348265</v>
      </c>
      <c r="M401" s="13">
        <v>2.3906262874717199</v>
      </c>
      <c r="N401" s="19">
        <f>(F401-Settings!$D$18)/Settings!$E$18</f>
        <v>-0.40236197884531677</v>
      </c>
      <c r="O401" s="19">
        <f>(G401-Settings!$D$19)/Settings!$E$19</f>
        <v>1.3338405735428578</v>
      </c>
      <c r="P401" s="19">
        <f>(H401-Settings!$D$20)/Settings!$E$20</f>
        <v>-0.48880506177002064</v>
      </c>
      <c r="Q401" s="19">
        <f>(I401-Settings!$D$21)/Settings!$E$21</f>
        <v>-0.68586203665389511</v>
      </c>
      <c r="R401" s="19">
        <f>(J401-Settings!$D$22)/Settings!$E$22</f>
        <v>-2.1387185658954126</v>
      </c>
      <c r="S401" s="19">
        <f>(K401-Settings!$D$23)/Settings!$E$23</f>
        <v>-1.4238264954620008</v>
      </c>
      <c r="T401" s="19">
        <f>(L401-Settings!$D$24)/Settings!$E$24</f>
        <v>-0.82620040807626638</v>
      </c>
      <c r="U401" s="19">
        <f>(M401-Settings!$D$25)/Settings!$E$25</f>
        <v>1.648235251892586</v>
      </c>
      <c r="V401" s="31">
        <f>Settings!$B$18*(N401-F$6)^2</f>
        <v>0.10231733893780891</v>
      </c>
      <c r="W401" s="31">
        <f>Settings!$B$19*(O401-G$6)^2</f>
        <v>0.76619968188343635</v>
      </c>
      <c r="X401" s="31">
        <f>Settings!$B$20*(P401-H$6)^2</f>
        <v>1.2563084419223571</v>
      </c>
      <c r="Y401" s="31">
        <f>Settings!$B$21*(Q401-I$6)^2</f>
        <v>0.10419518434793694</v>
      </c>
      <c r="Z401" s="31">
        <f>Settings!$B$22*(R401-J$6)^2</f>
        <v>1.009870286594899</v>
      </c>
      <c r="AA401" s="31">
        <f>Settings!$B$23*(S401-K$6)^2</f>
        <v>2.7026166479750096</v>
      </c>
      <c r="AB401" s="31">
        <f>Settings!$B$24*(T401-L$6)^2</f>
        <v>2.3197654201708602</v>
      </c>
      <c r="AC401" s="31">
        <f>Settings!$B$25*(U401-M$6)^2</f>
        <v>10.447901663296747</v>
      </c>
      <c r="AD401" s="19">
        <f t="shared" si="24"/>
        <v>4.3254103464444915</v>
      </c>
      <c r="AE401" s="15">
        <f t="shared" si="25"/>
        <v>1.7120758330477361</v>
      </c>
      <c r="AF401" s="33">
        <f t="shared" si="26"/>
        <v>0.23093896386816221</v>
      </c>
      <c r="AG401" s="47">
        <f t="shared" si="27"/>
        <v>9.9607505188056638E-4</v>
      </c>
      <c r="AH401" s="48"/>
      <c r="AI401" s="48"/>
      <c r="AJ401" s="48"/>
      <c r="AK401" s="48"/>
      <c r="AL401" s="48"/>
      <c r="AM401" s="48"/>
    </row>
    <row r="402" spans="1:39" ht="20" customHeight="1" x14ac:dyDescent="0.45">
      <c r="A402" s="26">
        <v>392</v>
      </c>
      <c r="B402" s="16" t="s">
        <v>501</v>
      </c>
      <c r="C402" s="16" t="s">
        <v>246</v>
      </c>
      <c r="D402" s="46">
        <v>28</v>
      </c>
      <c r="E402" s="46">
        <v>1</v>
      </c>
      <c r="F402" s="13">
        <v>0.19874200024309299</v>
      </c>
      <c r="G402" s="13">
        <v>0.14463386742068229</v>
      </c>
      <c r="H402" s="13">
        <v>-1.720485357413755E-3</v>
      </c>
      <c r="I402" s="13">
        <v>-0.56614085193374919</v>
      </c>
      <c r="J402" s="13">
        <v>-8.8762795045061807E-2</v>
      </c>
      <c r="K402" s="13">
        <v>15.449390243902441</v>
      </c>
      <c r="L402" s="13">
        <v>0.13469981376825449</v>
      </c>
      <c r="M402" s="13">
        <v>1.103500013408621</v>
      </c>
      <c r="N402" s="19">
        <f>(F402-Settings!$D$18)/Settings!$E$18</f>
        <v>2.2975161752929765E-2</v>
      </c>
      <c r="O402" s="19">
        <f>(G402-Settings!$D$19)/Settings!$E$19</f>
        <v>0.63023411297254495</v>
      </c>
      <c r="P402" s="19">
        <f>(H402-Settings!$D$20)/Settings!$E$20</f>
        <v>-0.49693053895930145</v>
      </c>
      <c r="Q402" s="19">
        <f>(I402-Settings!$D$21)/Settings!$E$21</f>
        <v>-6.9257990456763139</v>
      </c>
      <c r="R402" s="19">
        <f>(J402-Settings!$D$22)/Settings!$E$22</f>
        <v>-0.9057027859652832</v>
      </c>
      <c r="S402" s="19">
        <f>(K402-Settings!$D$23)/Settings!$E$23</f>
        <v>6.7433774988308812E-2</v>
      </c>
      <c r="T402" s="19">
        <f>(L402-Settings!$D$24)/Settings!$E$24</f>
        <v>-0.8113518227236538</v>
      </c>
      <c r="U402" s="19">
        <f>(M402-Settings!$D$25)/Settings!$E$25</f>
        <v>0.78018295729204556</v>
      </c>
      <c r="V402" s="31">
        <f>Settings!$B$18*(N402-F$6)^2</f>
        <v>1.6810228190996247E-2</v>
      </c>
      <c r="W402" s="31">
        <f>Settings!$B$19*(O402-G$6)^2</f>
        <v>0.31434631085275333</v>
      </c>
      <c r="X402" s="31">
        <f>Settings!$B$20*(P402-H$6)^2</f>
        <v>1.2644676016237923</v>
      </c>
      <c r="Y402" s="31">
        <f>Settings!$B$21*(Q402-I$6)^2</f>
        <v>9.6931191714531231</v>
      </c>
      <c r="Z402" s="31">
        <f>Settings!$B$22*(R402-J$6)^2</f>
        <v>0.20566370569957979</v>
      </c>
      <c r="AA402" s="31">
        <f>Settings!$B$23*(S402-K$6)^2</f>
        <v>2.3318337494448858E-2</v>
      </c>
      <c r="AB402" s="31">
        <f>Settings!$B$24*(T402-L$6)^2</f>
        <v>2.2747548047390165</v>
      </c>
      <c r="AC402" s="31">
        <f>Settings!$B$25*(U402-M$6)^2</f>
        <v>5.589768424981437</v>
      </c>
      <c r="AD402" s="19">
        <f t="shared" si="24"/>
        <v>4.4025275223484002</v>
      </c>
      <c r="AE402" s="15">
        <f t="shared" si="25"/>
        <v>1.7426002093734421</v>
      </c>
      <c r="AF402" s="33">
        <f t="shared" si="26"/>
        <v>0.21907793500819228</v>
      </c>
      <c r="AG402" s="47">
        <f t="shared" si="27"/>
        <v>9.4491662136211971E-4</v>
      </c>
      <c r="AH402" s="18">
        <v>6.4333648549232708E-2</v>
      </c>
      <c r="AI402" s="46">
        <v>1</v>
      </c>
      <c r="AJ402" s="48"/>
      <c r="AK402" s="48"/>
      <c r="AL402" s="48"/>
      <c r="AM402" s="48"/>
    </row>
    <row r="403" spans="1:39" ht="20" customHeight="1" x14ac:dyDescent="0.45">
      <c r="A403" s="26">
        <v>393</v>
      </c>
      <c r="B403" s="16" t="s">
        <v>607</v>
      </c>
      <c r="C403" s="16" t="s">
        <v>246</v>
      </c>
      <c r="D403" s="46">
        <v>28</v>
      </c>
      <c r="E403" s="46">
        <v>1</v>
      </c>
      <c r="F403" s="13">
        <v>1.8746110481540769E-2</v>
      </c>
      <c r="G403" s="13">
        <v>0.69335787698655438</v>
      </c>
      <c r="H403" s="13">
        <v>3.693804654588249E-4</v>
      </c>
      <c r="I403" s="13">
        <v>0.25530554832157398</v>
      </c>
      <c r="J403" s="13">
        <v>-3.2221083744872078E-2</v>
      </c>
      <c r="K403" s="13">
        <v>9.8998587570621535</v>
      </c>
      <c r="L403" s="13">
        <v>0.28539539700790839</v>
      </c>
      <c r="M403" s="13">
        <v>1.7979233018618239</v>
      </c>
      <c r="N403" s="19">
        <f>(F403-Settings!$D$18)/Settings!$E$18</f>
        <v>-0.62121890705726512</v>
      </c>
      <c r="O403" s="19">
        <f>(G403-Settings!$D$19)/Settings!$E$19</f>
        <v>2.9162882751507193</v>
      </c>
      <c r="P403" s="19">
        <f>(H403-Settings!$D$20)/Settings!$E$20</f>
        <v>-0.4779959527267022</v>
      </c>
      <c r="Q403" s="19">
        <f>(I403-Settings!$D$21)/Settings!$E$21</f>
        <v>3.1757799701000806</v>
      </c>
      <c r="R403" s="19">
        <f>(J403-Settings!$D$22)/Settings!$E$22</f>
        <v>-0.75357464969528509</v>
      </c>
      <c r="S403" s="19">
        <f>(K403-Settings!$D$23)/Settings!$E$23</f>
        <v>-1.8597908643417329</v>
      </c>
      <c r="T403" s="19">
        <f>(L403-Settings!$D$24)/Settings!$E$24</f>
        <v>-0.70716772322541832</v>
      </c>
      <c r="U403" s="19">
        <f>(M403-Settings!$D$25)/Settings!$E$25</f>
        <v>1.2485097571661541</v>
      </c>
      <c r="V403" s="31">
        <f>Settings!$B$18*(N403-F$6)^2</f>
        <v>0.17451222998292046</v>
      </c>
      <c r="W403" s="31">
        <f>Settings!$B$19*(O403-G$6)^2</f>
        <v>2.505953758968904</v>
      </c>
      <c r="X403" s="31">
        <f>Settings!$B$20*(P403-H$6)^2</f>
        <v>1.245495459118608</v>
      </c>
      <c r="Y403" s="31">
        <f>Settings!$B$21*(Q403-I$6)^2</f>
        <v>1.9717383726177287</v>
      </c>
      <c r="Z403" s="31">
        <f>Settings!$B$22*(R403-J$6)^2</f>
        <v>0.14858545117207411</v>
      </c>
      <c r="AA403" s="31">
        <f>Settings!$B$23*(S403-K$6)^2</f>
        <v>4.3261007730514827</v>
      </c>
      <c r="AB403" s="31">
        <f>Settings!$B$24*(T403-L$6)^2</f>
        <v>1.9713421648236547</v>
      </c>
      <c r="AC403" s="31">
        <f>Settings!$B$25*(U403-M$6)^2</f>
        <v>8.0235995892121004</v>
      </c>
      <c r="AD403" s="19">
        <f t="shared" si="24"/>
        <v>4.5130175934675316</v>
      </c>
      <c r="AE403" s="15">
        <f t="shared" si="25"/>
        <v>1.7863341826623087</v>
      </c>
      <c r="AF403" s="33">
        <f t="shared" si="26"/>
        <v>0.2028081326846394</v>
      </c>
      <c r="AG403" s="47">
        <f t="shared" si="27"/>
        <v>8.7474247698182748E-4</v>
      </c>
      <c r="AH403" s="18">
        <v>0.30149701209282181</v>
      </c>
      <c r="AI403" s="46">
        <v>1</v>
      </c>
      <c r="AJ403" s="48"/>
      <c r="AK403" s="48"/>
      <c r="AL403" s="48"/>
      <c r="AM403" s="48"/>
    </row>
    <row r="404" spans="1:39" ht="20" customHeight="1" x14ac:dyDescent="0.45">
      <c r="A404" s="26">
        <v>394</v>
      </c>
      <c r="B404" s="16" t="s">
        <v>225</v>
      </c>
      <c r="C404" s="16" t="s">
        <v>218</v>
      </c>
      <c r="D404" s="46">
        <v>28</v>
      </c>
      <c r="E404" s="46">
        <v>0</v>
      </c>
      <c r="F404" s="13">
        <v>0.32411006727339542</v>
      </c>
      <c r="G404" s="13">
        <v>7.3796386917993298E-2</v>
      </c>
      <c r="H404" s="13">
        <v>8.3724308675848458E-2</v>
      </c>
      <c r="I404" s="13">
        <v>-9.7952069145530955E-3</v>
      </c>
      <c r="J404" s="13">
        <v>0.50857403021820979</v>
      </c>
      <c r="K404" s="13">
        <v>18.91626666666664</v>
      </c>
      <c r="L404" s="13">
        <v>3.4477505607089332</v>
      </c>
      <c r="M404" s="13">
        <v>3.9877372129263091</v>
      </c>
      <c r="N404" s="19">
        <f>(F404-Settings!$D$18)/Settings!$E$18</f>
        <v>0.47165965841620122</v>
      </c>
      <c r="O404" s="19">
        <f>(G404-Settings!$D$19)/Settings!$E$19</f>
        <v>0.33511614051585148</v>
      </c>
      <c r="P404" s="19">
        <f>(H404-Settings!$D$20)/Settings!$E$20</f>
        <v>0.27721572585959792</v>
      </c>
      <c r="Q404" s="19">
        <f>(I404-Settings!$D$21)/Settings!$E$21</f>
        <v>-8.4245547483751557E-2</v>
      </c>
      <c r="R404" s="19">
        <f>(J404-Settings!$D$22)/Settings!$E$22</f>
        <v>0.70146006537264849</v>
      </c>
      <c r="S404" s="19">
        <f>(K404-Settings!$D$23)/Settings!$E$23</f>
        <v>1.2714002141926655</v>
      </c>
      <c r="T404" s="19">
        <f>(L404-Settings!$D$24)/Settings!$E$24</f>
        <v>1.4791413771536466</v>
      </c>
      <c r="U404" s="19">
        <f>(M404-Settings!$D$25)/Settings!$E$25</f>
        <v>2.7253446478464478</v>
      </c>
      <c r="V404" s="31">
        <f>Settings!$B$18*(N404-F$6)^2</f>
        <v>5.041503108604059E-3</v>
      </c>
      <c r="W404" s="31">
        <f>Settings!$B$19*(O404-G$6)^2</f>
        <v>0.18377098650133747</v>
      </c>
      <c r="X404" s="31">
        <f>Settings!$B$20*(P404-H$6)^2</f>
        <v>0.60571469730619221</v>
      </c>
      <c r="Y404" s="31">
        <f>Settings!$B$21*(Q404-I$6)^2</f>
        <v>2.8881719664635955E-3</v>
      </c>
      <c r="Z404" s="31">
        <f>Settings!$B$22*(R404-J$6)^2</f>
        <v>7.0354099620408894E-2</v>
      </c>
      <c r="AA404" s="31">
        <f>Settings!$B$23*(S404-K$6)^2</f>
        <v>1.1051539147920644</v>
      </c>
      <c r="AB404" s="31">
        <f>Settings!$B$24*(T404-L$6)^2</f>
        <v>0.61193723261266497</v>
      </c>
      <c r="AC404" s="31">
        <f>Settings!$B$25*(U404-M$6)^2</f>
        <v>18.571193825644137</v>
      </c>
      <c r="AD404" s="19">
        <f t="shared" si="24"/>
        <v>4.5995711138704953</v>
      </c>
      <c r="AE404" s="15">
        <f t="shared" si="25"/>
        <v>1.8205936352178165</v>
      </c>
      <c r="AF404" s="33">
        <f t="shared" si="26"/>
        <v>0.19065674920205189</v>
      </c>
      <c r="AG404" s="47">
        <f t="shared" si="27"/>
        <v>8.2233170259319406E-4</v>
      </c>
      <c r="AH404" s="18">
        <v>1.294526999764771</v>
      </c>
      <c r="AI404" s="46">
        <v>0</v>
      </c>
      <c r="AJ404" s="18">
        <v>-1.507278582737519</v>
      </c>
      <c r="AK404" s="46">
        <v>0</v>
      </c>
      <c r="AL404" s="18">
        <v>-1.8452489457476</v>
      </c>
      <c r="AM404" s="46">
        <v>0</v>
      </c>
    </row>
    <row r="405" spans="1:39" ht="20" customHeight="1" x14ac:dyDescent="0.45">
      <c r="A405" s="26">
        <v>395</v>
      </c>
      <c r="B405" s="16" t="s">
        <v>577</v>
      </c>
      <c r="C405" s="16" t="s">
        <v>216</v>
      </c>
      <c r="D405" s="46">
        <v>28</v>
      </c>
      <c r="E405" s="46">
        <v>1</v>
      </c>
      <c r="F405" s="13">
        <v>0.63581489839215288</v>
      </c>
      <c r="G405" s="13">
        <v>-0.23737577347968949</v>
      </c>
      <c r="H405" s="13">
        <v>8.09463240174009E-3</v>
      </c>
      <c r="I405" s="13">
        <v>-8.2631833894753151E-5</v>
      </c>
      <c r="J405" s="13">
        <v>0.1186320638925228</v>
      </c>
      <c r="K405" s="13">
        <v>16.384671532846699</v>
      </c>
      <c r="L405" s="13">
        <v>0.27804889332604188</v>
      </c>
      <c r="M405" s="13">
        <v>4.3249053262486363</v>
      </c>
      <c r="N405" s="19">
        <f>(F405-Settings!$D$18)/Settings!$E$18</f>
        <v>1.5872318178260227</v>
      </c>
      <c r="O405" s="19">
        <f>(G405-Settings!$D$19)/Settings!$E$19</f>
        <v>-0.96126674055015704</v>
      </c>
      <c r="P405" s="19">
        <f>(H405-Settings!$D$20)/Settings!$E$20</f>
        <v>-0.40800368463218245</v>
      </c>
      <c r="Q405" s="19">
        <f>(I405-Settings!$D$21)/Settings!$E$21</f>
        <v>3.5192975338231222E-2</v>
      </c>
      <c r="R405" s="19">
        <f>(J405-Settings!$D$22)/Settings!$E$22</f>
        <v>-0.34769715372245347</v>
      </c>
      <c r="S405" s="19">
        <f>(K405-Settings!$D$23)/Settings!$E$23</f>
        <v>0.39223545401869758</v>
      </c>
      <c r="T405" s="19">
        <f>(L405-Settings!$D$24)/Settings!$E$24</f>
        <v>-0.71224676306256152</v>
      </c>
      <c r="U405" s="19">
        <f>(M405-Settings!$D$25)/Settings!$E$25</f>
        <v>2.9527345786818064</v>
      </c>
      <c r="V405" s="31">
        <f>Settings!$B$18*(N405-F$6)^2</f>
        <v>0.32478894998313396</v>
      </c>
      <c r="W405" s="31">
        <f>Settings!$B$19*(O405-G$6)^2</f>
        <v>2.2823615120515641E-2</v>
      </c>
      <c r="X405" s="31">
        <f>Settings!$B$20*(P405-H$6)^2</f>
        <v>1.1766092015774994</v>
      </c>
      <c r="Y405" s="31">
        <f>Settings!$B$21*(Q405-I$6)^2</f>
        <v>1.0704943281153836E-7</v>
      </c>
      <c r="Z405" s="31">
        <f>Settings!$B$22*(R405-J$6)^2</f>
        <v>4.1597193265477929E-2</v>
      </c>
      <c r="AA405" s="31">
        <f>Settings!$B$23*(S405-K$6)^2</f>
        <v>2.9617807363635274E-2</v>
      </c>
      <c r="AB405" s="31">
        <f>Settings!$B$24*(T405-L$6)^2</f>
        <v>1.9856303617322426</v>
      </c>
      <c r="AC405" s="31">
        <f>Settings!$B$25*(U405-M$6)^2</f>
        <v>20.58274234969139</v>
      </c>
      <c r="AD405" s="19">
        <f t="shared" si="24"/>
        <v>4.9156698003205346</v>
      </c>
      <c r="AE405" s="15">
        <f t="shared" si="25"/>
        <v>1.9457112260549732</v>
      </c>
      <c r="AF405" s="33">
        <f t="shared" si="26"/>
        <v>0.15063492457726593</v>
      </c>
      <c r="AG405" s="47">
        <f t="shared" si="27"/>
        <v>6.4971145535658455E-4</v>
      </c>
      <c r="AH405" s="18">
        <v>1.528789328701307</v>
      </c>
      <c r="AI405" s="46">
        <v>1</v>
      </c>
      <c r="AJ405" s="18">
        <v>-1.8205177188241799</v>
      </c>
      <c r="AK405" s="46">
        <v>1</v>
      </c>
      <c r="AL405" s="48"/>
      <c r="AM405" s="48"/>
    </row>
    <row r="406" spans="1:39" ht="20" customHeight="1" x14ac:dyDescent="0.45">
      <c r="A406" s="26">
        <v>396</v>
      </c>
      <c r="B406" s="16" t="s">
        <v>291</v>
      </c>
      <c r="C406" s="16" t="s">
        <v>258</v>
      </c>
      <c r="D406" s="46">
        <v>28</v>
      </c>
      <c r="E406" s="46">
        <v>0</v>
      </c>
      <c r="F406" s="13">
        <v>0.20598101183891021</v>
      </c>
      <c r="G406" s="13">
        <v>-2.4863810750370488E-3</v>
      </c>
      <c r="H406" s="13">
        <v>0.1044346942110036</v>
      </c>
      <c r="I406" s="13">
        <v>1.5907619695832931E-2</v>
      </c>
      <c r="J406" s="13">
        <v>0.6711902931792163</v>
      </c>
      <c r="K406" s="13">
        <v>17.997896440129448</v>
      </c>
      <c r="L406" s="13">
        <v>4.0868361773699808</v>
      </c>
      <c r="M406" s="13">
        <v>4.5617723925260929</v>
      </c>
      <c r="N406" s="19">
        <f>(F406-Settings!$D$18)/Settings!$E$18</f>
        <v>4.8883132986336113E-2</v>
      </c>
      <c r="O406" s="19">
        <f>(G406-Settings!$D$19)/Settings!$E$19</f>
        <v>1.7312406338251814E-2</v>
      </c>
      <c r="P406" s="19">
        <f>(H406-Settings!$D$20)/Settings!$E$20</f>
        <v>0.46485580137734556</v>
      </c>
      <c r="Q406" s="19">
        <f>(I406-Settings!$D$21)/Settings!$E$21</f>
        <v>0.23183001612321433</v>
      </c>
      <c r="R406" s="19">
        <f>(J406-Settings!$D$22)/Settings!$E$22</f>
        <v>1.1389867769380064</v>
      </c>
      <c r="S406" s="19">
        <f>(K406-Settings!$D$23)/Settings!$E$23</f>
        <v>0.95247135816101658</v>
      </c>
      <c r="T406" s="19">
        <f>(L406-Settings!$D$24)/Settings!$E$24</f>
        <v>1.9209762209009802</v>
      </c>
      <c r="U406" s="19">
        <f>(M406-Settings!$D$25)/Settings!$E$25</f>
        <v>3.1124803662869196</v>
      </c>
      <c r="V406" s="31">
        <f>Settings!$B$18*(N406-F$6)^2</f>
        <v>1.3940021241667891E-2</v>
      </c>
      <c r="W406" s="31">
        <f>Settings!$B$19*(O406-G$6)^2</f>
        <v>8.2116079288173272E-2</v>
      </c>
      <c r="X406" s="31">
        <f>Settings!$B$20*(P406-H$6)^2</f>
        <v>0.48213797003446052</v>
      </c>
      <c r="Y406" s="31">
        <f>Settings!$B$21*(Q406-I$6)^2</f>
        <v>7.67578788504031E-3</v>
      </c>
      <c r="Z406" s="31">
        <f>Settings!$B$22*(R406-J$6)^2</f>
        <v>0.21243928744543866</v>
      </c>
      <c r="AA406" s="31">
        <f>Settings!$B$23*(S406-K$6)^2</f>
        <v>0.53631331209173871</v>
      </c>
      <c r="AB406" s="31">
        <f>Settings!$B$24*(T406-L$6)^2</f>
        <v>1.4984183969388813</v>
      </c>
      <c r="AC406" s="31">
        <f>Settings!$B$25*(U406-M$6)^2</f>
        <v>22.057737068299616</v>
      </c>
      <c r="AD406" s="19">
        <f t="shared" si="24"/>
        <v>4.9890658367298597</v>
      </c>
      <c r="AE406" s="15">
        <f t="shared" si="25"/>
        <v>1.974762707905982</v>
      </c>
      <c r="AF406" s="33">
        <f t="shared" si="26"/>
        <v>0.14229628567955305</v>
      </c>
      <c r="AG406" s="47">
        <f t="shared" si="27"/>
        <v>6.1374563116853493E-4</v>
      </c>
      <c r="AH406" s="18">
        <v>3.9103746518081912E-2</v>
      </c>
      <c r="AI406" s="46">
        <v>0</v>
      </c>
      <c r="AJ406" s="18">
        <v>-1.792101225235059</v>
      </c>
      <c r="AK406" s="46">
        <v>0</v>
      </c>
      <c r="AL406" s="18">
        <v>-0.2834928012221356</v>
      </c>
      <c r="AM406" s="46">
        <v>0</v>
      </c>
    </row>
    <row r="407" spans="1:39" ht="20" customHeight="1" x14ac:dyDescent="0.45">
      <c r="A407" s="26">
        <v>397</v>
      </c>
      <c r="B407" s="16" t="s">
        <v>247</v>
      </c>
      <c r="C407" s="16" t="s">
        <v>216</v>
      </c>
      <c r="D407" s="46">
        <v>28</v>
      </c>
      <c r="E407" s="46">
        <v>1</v>
      </c>
      <c r="F407" s="13">
        <v>0.10960619542659721</v>
      </c>
      <c r="G407" s="13">
        <v>0.19328119553614709</v>
      </c>
      <c r="H407" s="13">
        <v>0.19720785512267519</v>
      </c>
      <c r="I407" s="13">
        <v>1.6326082169678919E-2</v>
      </c>
      <c r="J407" s="13">
        <v>0.48357867174490171</v>
      </c>
      <c r="K407" s="13">
        <v>19.151626016260121</v>
      </c>
      <c r="L407" s="13">
        <v>4.5908281152841592</v>
      </c>
      <c r="M407" s="13">
        <v>4.4523661879275798</v>
      </c>
      <c r="N407" s="19">
        <f>(F407-Settings!$D$18)/Settings!$E$18</f>
        <v>-0.29603632710649563</v>
      </c>
      <c r="O407" s="19">
        <f>(G407-Settings!$D$19)/Settings!$E$19</f>
        <v>0.83290508230955418</v>
      </c>
      <c r="P407" s="19">
        <f>(H407-Settings!$D$20)/Settings!$E$20</f>
        <v>1.3053984793461748</v>
      </c>
      <c r="Q407" s="19">
        <f>(I407-Settings!$D$21)/Settings!$E$21</f>
        <v>0.2369759778601927</v>
      </c>
      <c r="R407" s="19">
        <f>(J407-Settings!$D$22)/Settings!$E$22</f>
        <v>0.63420887660411707</v>
      </c>
      <c r="S407" s="19">
        <f>(K407-Settings!$D$23)/Settings!$E$23</f>
        <v>1.3531351027519711</v>
      </c>
      <c r="T407" s="19">
        <f>(L407-Settings!$D$24)/Settings!$E$24</f>
        <v>2.2694134151248808</v>
      </c>
      <c r="U407" s="19">
        <f>(M407-Settings!$D$25)/Settings!$E$25</f>
        <v>3.0386956033937804</v>
      </c>
      <c r="V407" s="31">
        <f>Settings!$B$18*(N407-F$6)^2</f>
        <v>7.4158475964816464E-2</v>
      </c>
      <c r="W407" s="31">
        <f>Settings!$B$19*(O407-G$6)^2</f>
        <v>0.42419581391148081</v>
      </c>
      <c r="X407" s="31">
        <f>Settings!$B$20*(P407-H$6)^2</f>
        <v>0.1014164165267345</v>
      </c>
      <c r="Y407" s="31">
        <f>Settings!$B$21*(Q407-I$6)^2</f>
        <v>8.0843328183142892E-3</v>
      </c>
      <c r="Z407" s="31">
        <f>Settings!$B$22*(R407-J$6)^2</f>
        <v>5.5303906579284162E-2</v>
      </c>
      <c r="AA407" s="31">
        <f>Settings!$B$23*(S407-K$6)^2</f>
        <v>1.2836842366285872</v>
      </c>
      <c r="AB407" s="31">
        <f>Settings!$B$24*(T407-L$6)^2</f>
        <v>2.4728701272839944</v>
      </c>
      <c r="AC407" s="31">
        <f>Settings!$B$25*(U407-M$6)^2</f>
        <v>21.370111165488002</v>
      </c>
      <c r="AD407" s="19">
        <f t="shared" si="24"/>
        <v>5.0783682886534738</v>
      </c>
      <c r="AE407" s="15">
        <f t="shared" si="25"/>
        <v>2.0101102373943704</v>
      </c>
      <c r="AF407" s="33">
        <f t="shared" si="26"/>
        <v>0.13261944297098927</v>
      </c>
      <c r="AG407" s="47">
        <f t="shared" si="27"/>
        <v>5.7200792939000194E-4</v>
      </c>
      <c r="AH407" s="18">
        <v>0.95568300541562401</v>
      </c>
      <c r="AI407" s="46">
        <v>1</v>
      </c>
      <c r="AJ407" s="18">
        <v>-2.7501518514947292</v>
      </c>
      <c r="AK407" s="46">
        <v>1</v>
      </c>
      <c r="AL407" s="48"/>
      <c r="AM407" s="48"/>
    </row>
    <row r="408" spans="1:39" ht="20" customHeight="1" x14ac:dyDescent="0.45">
      <c r="A408" s="26">
        <v>398</v>
      </c>
      <c r="B408" s="16" t="s">
        <v>446</v>
      </c>
      <c r="C408" s="16" t="s">
        <v>216</v>
      </c>
      <c r="D408" s="46">
        <v>28</v>
      </c>
      <c r="E408" s="46">
        <v>1</v>
      </c>
      <c r="F408" s="13">
        <v>0.33225821021638779</v>
      </c>
      <c r="G408" s="13">
        <v>-0.24996674287963561</v>
      </c>
      <c r="H408" s="13">
        <v>-2.7774722166567432E-2</v>
      </c>
      <c r="I408" s="13">
        <v>-1.3845976691159549E-3</v>
      </c>
      <c r="J408" s="13">
        <v>0.38861572706829312</v>
      </c>
      <c r="K408" s="13">
        <v>15.18906810035846</v>
      </c>
      <c r="L408" s="13">
        <v>5.7044509654305298E-2</v>
      </c>
      <c r="M408" s="13">
        <v>5.1382221696874888</v>
      </c>
      <c r="N408" s="19">
        <f>(F408-Settings!$D$18)/Settings!$E$18</f>
        <v>0.50082135406740125</v>
      </c>
      <c r="O408" s="19">
        <f>(G408-Settings!$D$19)/Settings!$E$19</f>
        <v>-1.0137223238685857</v>
      </c>
      <c r="P408" s="19">
        <f>(H408-Settings!$D$20)/Settings!$E$20</f>
        <v>-0.73298693463229747</v>
      </c>
      <c r="Q408" s="19">
        <f>(I408-Settings!$D$21)/Settings!$E$21</f>
        <v>1.918230104926924E-2</v>
      </c>
      <c r="R408" s="19">
        <f>(J408-Settings!$D$22)/Settings!$E$22</f>
        <v>0.37870660304072495</v>
      </c>
      <c r="S408" s="19">
        <f>(K408-Settings!$D$23)/Settings!$E$23</f>
        <v>-2.2970117735042827E-2</v>
      </c>
      <c r="T408" s="19">
        <f>(L408-Settings!$D$24)/Settings!$E$24</f>
        <v>-0.86503918207715935</v>
      </c>
      <c r="U408" s="19">
        <f>(M408-Settings!$D$25)/Settings!$E$25</f>
        <v>3.5012445162155297</v>
      </c>
      <c r="V408" s="31">
        <f>Settings!$B$18*(N408-F$6)^2</f>
        <v>7.0635703778971996E-3</v>
      </c>
      <c r="W408" s="31">
        <f>Settings!$B$19*(O408-G$6)^2</f>
        <v>3.0462018008759598E-2</v>
      </c>
      <c r="X408" s="31">
        <f>Settings!$B$20*(P408-H$6)^2</f>
        <v>1.5130306596069085</v>
      </c>
      <c r="Y408" s="31">
        <f>Settings!$B$21*(Q408-I$6)^2</f>
        <v>5.6060789053066852E-5</v>
      </c>
      <c r="Z408" s="31">
        <f>Settings!$B$22*(R408-J$6)^2</f>
        <v>1.4617713377106909E-2</v>
      </c>
      <c r="AA408" s="31">
        <f>Settings!$B$23*(S408-K$6)^2</f>
        <v>5.9101170299123804E-2</v>
      </c>
      <c r="AB408" s="31">
        <f>Settings!$B$24*(T408-L$6)^2</f>
        <v>2.4395828050572077</v>
      </c>
      <c r="AC408" s="31">
        <f>Settings!$B$25*(U408-M$6)^2</f>
        <v>25.86058801332889</v>
      </c>
      <c r="AD408" s="19">
        <f t="shared" si="24"/>
        <v>5.4703292415397584</v>
      </c>
      <c r="AE408" s="15">
        <f t="shared" si="25"/>
        <v>2.1652554886389352</v>
      </c>
      <c r="AF408" s="33">
        <f t="shared" si="26"/>
        <v>9.5927204123650175E-2</v>
      </c>
      <c r="AG408" s="47">
        <f t="shared" si="27"/>
        <v>4.137486945631671E-4</v>
      </c>
      <c r="AH408" s="18">
        <v>1.210206943863815</v>
      </c>
      <c r="AI408" s="46">
        <v>1</v>
      </c>
      <c r="AJ408" s="18">
        <v>-1.3212618068450011</v>
      </c>
      <c r="AK408" s="46">
        <v>1</v>
      </c>
      <c r="AL408" s="48"/>
      <c r="AM408" s="48"/>
    </row>
    <row r="409" spans="1:39" ht="20" customHeight="1" x14ac:dyDescent="0.45">
      <c r="A409" s="26">
        <v>399</v>
      </c>
      <c r="B409" s="16" t="s">
        <v>219</v>
      </c>
      <c r="C409" s="16" t="s">
        <v>216</v>
      </c>
      <c r="D409" s="46">
        <v>28</v>
      </c>
      <c r="E409" s="46">
        <v>1</v>
      </c>
      <c r="F409" s="13">
        <v>0.39627809501638989</v>
      </c>
      <c r="G409" s="13">
        <v>-1.6614943602547311E-2</v>
      </c>
      <c r="H409" s="13">
        <v>0.16756440721948129</v>
      </c>
      <c r="I409" s="13">
        <v>4.5603878622696491E-4</v>
      </c>
      <c r="J409" s="13">
        <v>0.41908651537535457</v>
      </c>
      <c r="K409" s="13">
        <v>21.892047930283201</v>
      </c>
      <c r="L409" s="13">
        <v>7.5757603095889579</v>
      </c>
      <c r="M409" s="13">
        <v>3.5519976690245239</v>
      </c>
      <c r="N409" s="19">
        <f>(F409-Settings!$D$18)/Settings!$E$18</f>
        <v>0.72994453087275613</v>
      </c>
      <c r="O409" s="19">
        <f>(G409-Settings!$D$19)/Settings!$E$19</f>
        <v>-4.1548985925525375E-2</v>
      </c>
      <c r="P409" s="19">
        <f>(H409-Settings!$D$20)/Settings!$E$20</f>
        <v>1.0368231409624489</v>
      </c>
      <c r="Q409" s="19">
        <f>(I409-Settings!$D$21)/Settings!$E$21</f>
        <v>4.1817173619391738E-2</v>
      </c>
      <c r="R409" s="19">
        <f>(J409-Settings!$D$22)/Settings!$E$22</f>
        <v>0.46068969356340889</v>
      </c>
      <c r="S409" s="19">
        <f>(K409-Settings!$D$23)/Settings!$E$23</f>
        <v>2.3048206004177079</v>
      </c>
      <c r="T409" s="19">
        <f>(L409-Settings!$D$24)/Settings!$E$24</f>
        <v>4.333060312010879</v>
      </c>
      <c r="U409" s="19">
        <f>(M409-Settings!$D$25)/Settings!$E$25</f>
        <v>2.4314770463887254</v>
      </c>
      <c r="V409" s="31">
        <f>Settings!$B$18*(N409-F$6)^2</f>
        <v>3.4786744573061266E-2</v>
      </c>
      <c r="W409" s="31">
        <f>Settings!$B$19*(O409-G$6)^2</f>
        <v>6.7722472753068683E-2</v>
      </c>
      <c r="X409" s="31">
        <f>Settings!$B$20*(P409-H$6)^2</f>
        <v>0.19234363196731008</v>
      </c>
      <c r="Y409" s="31">
        <f>Settings!$B$21*(Q409-I$6)^2</f>
        <v>6.9445290405871214E-6</v>
      </c>
      <c r="Z409" s="31">
        <f>Settings!$B$22*(R409-J$6)^2</f>
        <v>2.4827576514703523E-2</v>
      </c>
      <c r="AA409" s="31">
        <f>Settings!$B$23*(S409-K$6)^2</f>
        <v>4.3459048597157857</v>
      </c>
      <c r="AB409" s="31">
        <f>Settings!$B$24*(T409-L$6)^2</f>
        <v>13.221827576450529</v>
      </c>
      <c r="AC409" s="31">
        <f>Settings!$B$25*(U409-M$6)^2</f>
        <v>16.124747806756925</v>
      </c>
      <c r="AD409" s="19">
        <f t="shared" si="24"/>
        <v>5.8319951657439173</v>
      </c>
      <c r="AE409" s="15">
        <f t="shared" si="25"/>
        <v>2.3084094182946036</v>
      </c>
      <c r="AF409" s="33">
        <f t="shared" si="26"/>
        <v>6.9642725961183233E-2</v>
      </c>
      <c r="AG409" s="47">
        <f t="shared" si="27"/>
        <v>3.0037972247286542E-4</v>
      </c>
      <c r="AH409" s="18">
        <v>-0.2076926223901232</v>
      </c>
      <c r="AI409" s="46">
        <v>1</v>
      </c>
      <c r="AJ409" s="18">
        <v>-0.66171672411158333</v>
      </c>
      <c r="AK409" s="46">
        <v>1</v>
      </c>
      <c r="AL409" s="48"/>
      <c r="AM409" s="48"/>
    </row>
  </sheetData>
  <mergeCells count="1">
    <mergeCell ref="A2:T2"/>
  </mergeCell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6"/>
  <sheetViews>
    <sheetView workbookViewId="0"/>
  </sheetViews>
  <sheetFormatPr defaultRowHeight="14.25" x14ac:dyDescent="0.45"/>
  <cols>
    <col min="1" max="1" width="68.59765625" customWidth="1"/>
    <col min="2" max="2" width="10.46484375" customWidth="1"/>
    <col min="3" max="3" width="16.19921875" customWidth="1"/>
    <col min="4" max="4" width="12.46484375" customWidth="1"/>
    <col min="5" max="5" width="16.73046875" customWidth="1"/>
    <col min="6" max="7" width="12.796875" customWidth="1"/>
    <col min="8" max="8" width="13.1328125" customWidth="1"/>
    <col min="9" max="9" width="22.9296875" customWidth="1"/>
    <col min="10" max="10" width="14" customWidth="1"/>
  </cols>
  <sheetData>
    <row r="1" spans="1:6" ht="22.05" customHeight="1" x14ac:dyDescent="0.45">
      <c r="A1" s="1" t="s">
        <v>784</v>
      </c>
    </row>
    <row r="3" spans="1:6" ht="22.05" customHeight="1" x14ac:dyDescent="0.45">
      <c r="A3" s="1" t="s">
        <v>699</v>
      </c>
    </row>
    <row r="4" spans="1:6" ht="53" customHeight="1" x14ac:dyDescent="0.45">
      <c r="A4" s="3" t="s">
        <v>700</v>
      </c>
      <c r="B4" s="4"/>
      <c r="C4" s="4"/>
      <c r="D4" s="4"/>
      <c r="E4" s="4"/>
      <c r="F4" s="4"/>
    </row>
    <row r="7" spans="1:6" ht="20.25" customHeight="1" x14ac:dyDescent="0.45">
      <c r="A7" s="7" t="s">
        <v>701</v>
      </c>
      <c r="B7" s="30">
        <f>'Kadri 2 Profile'!$D$16</f>
        <v>2.3162558700163904</v>
      </c>
    </row>
    <row r="8" spans="1:6" ht="20.25" customHeight="1" x14ac:dyDescent="0.45">
      <c r="A8" s="7" t="s">
        <v>702</v>
      </c>
      <c r="B8" s="31">
        <f>SUMPRODUCT('Kadri 3 Comparables'!$AF$11:$AF$409,'Kadri 3 Comparables'!$L$11:$L$409)/SUM('Kadri 3 Comparables'!$AF$11:$AF$409)</f>
        <v>1.554396445721753</v>
      </c>
    </row>
    <row r="9" spans="1:6" ht="20.25" customHeight="1" x14ac:dyDescent="0.45">
      <c r="A9" s="7" t="s">
        <v>169</v>
      </c>
      <c r="B9" s="19">
        <f>SUM('Kadri 3 Comparables'!$AF$11:$AF$409)</f>
        <v>231.84895900379681</v>
      </c>
    </row>
    <row r="10" spans="1:6" ht="20.25" customHeight="1" x14ac:dyDescent="0.45">
      <c r="A10" s="7" t="s">
        <v>785</v>
      </c>
      <c r="B10" s="13">
        <v>1.3789159323459379</v>
      </c>
    </row>
    <row r="11" spans="1:6" ht="20.25" customHeight="1" x14ac:dyDescent="0.45">
      <c r="A11" s="7" t="s">
        <v>704</v>
      </c>
      <c r="B11" s="32">
        <f>K_league</f>
        <v>10</v>
      </c>
    </row>
    <row r="12" spans="1:6" ht="20.25" customHeight="1" x14ac:dyDescent="0.45">
      <c r="A12" s="7" t="s">
        <v>705</v>
      </c>
      <c r="B12" s="33">
        <f>(SUMPRODUCT('Kadri 3 Comparables'!$AF$11:$AF$409,'Kadri 3 Comparables'!$L$11:$L$409)+B11*B10)/(B9+B11)</f>
        <v>1.547140656236504</v>
      </c>
    </row>
    <row r="13" spans="1:6" ht="20.25" customHeight="1" x14ac:dyDescent="0.45">
      <c r="A13" s="7" t="s">
        <v>706</v>
      </c>
      <c r="B13" s="34">
        <f>B9/(B9+B11)</f>
        <v>0.95865187908523097</v>
      </c>
    </row>
    <row r="14" spans="1:6" ht="20.25" customHeight="1" x14ac:dyDescent="0.45">
      <c r="A14" s="7" t="s">
        <v>707</v>
      </c>
      <c r="B14" s="28">
        <f>Lambda</f>
        <v>0.55000000000000004</v>
      </c>
    </row>
    <row r="15" spans="1:6" ht="20.25" customHeight="1" x14ac:dyDescent="0.45">
      <c r="A15" s="7" t="s">
        <v>786</v>
      </c>
      <c r="B15" s="33">
        <f>B14*B7+(1-B14)*B12</f>
        <v>1.9701540238154416</v>
      </c>
    </row>
    <row r="18" spans="1:9" ht="22.05" customHeight="1" x14ac:dyDescent="0.45">
      <c r="A18" s="1" t="s">
        <v>709</v>
      </c>
    </row>
    <row r="19" spans="1:9" ht="38" customHeight="1" x14ac:dyDescent="0.45">
      <c r="A19" s="3" t="s">
        <v>787</v>
      </c>
      <c r="B19" s="4"/>
      <c r="C19" s="4"/>
      <c r="D19" s="4"/>
      <c r="E19" s="4"/>
      <c r="F19" s="4"/>
      <c r="G19" s="4"/>
      <c r="H19" s="4"/>
      <c r="I19" s="4"/>
    </row>
    <row r="21" spans="1:9" ht="51.75" customHeight="1" x14ac:dyDescent="0.45">
      <c r="A21" s="6" t="s">
        <v>711</v>
      </c>
      <c r="B21" s="6" t="s">
        <v>712</v>
      </c>
      <c r="C21" s="6" t="s">
        <v>713</v>
      </c>
      <c r="D21" s="6" t="s">
        <v>714</v>
      </c>
      <c r="E21" s="6" t="s">
        <v>715</v>
      </c>
      <c r="F21" s="6" t="s">
        <v>716</v>
      </c>
      <c r="G21" s="6" t="s">
        <v>717</v>
      </c>
      <c r="H21" s="6" t="s">
        <v>718</v>
      </c>
      <c r="I21" s="6" t="s">
        <v>719</v>
      </c>
    </row>
    <row r="22" spans="1:9" ht="20.25" customHeight="1" x14ac:dyDescent="0.45">
      <c r="A22" s="7" t="s">
        <v>788</v>
      </c>
      <c r="H22" s="31">
        <f>B15</f>
        <v>1.9701540238154416</v>
      </c>
    </row>
    <row r="23" spans="1:9" ht="20.25" customHeight="1" x14ac:dyDescent="0.45">
      <c r="A23" s="26">
        <v>28</v>
      </c>
      <c r="B23" s="26">
        <v>29</v>
      </c>
      <c r="C23" s="26">
        <f>SUMPRODUCT(ISNUMBER('Kadri 3 Comparables'!$AH$11:$AH$409)*1)</f>
        <v>332</v>
      </c>
      <c r="D23" s="19">
        <f>SUMPRODUCT('Kadri 3 Comparables'!$AF$11:$AF$409,ISNUMBER('Kadri 3 Comparables'!$AH$11:$AH$409)*1)</f>
        <v>195.59489702608388</v>
      </c>
      <c r="E23" s="31">
        <f>IF(D23&gt;0,SUMPRODUCT('Kadri 3 Comparables'!$AF$11:$AF$409,'Kadri 3 Comparables'!$AH$11:$AH$409)/D23,NA())</f>
        <v>-0.26846420503855684</v>
      </c>
      <c r="F23" s="13">
        <v>-0.15825444973598871</v>
      </c>
      <c r="G23" s="33">
        <f>(SUMPRODUCT('Kadri 3 Comparables'!$AF$11:$AF$409,'Kadri 3 Comparables'!$AH$11:$AH$409)+K_league*F23)/(D23+K_league)</f>
        <v>-0.2631036753319958</v>
      </c>
      <c r="H23" s="31">
        <f>H22+G23</f>
        <v>1.7070503484834458</v>
      </c>
      <c r="I23" s="34">
        <f>IF(D23&gt;0,SUMPRODUCT('Kadri 3 Comparables'!$AF$11:$AF$409,'Kadri 3 Comparables'!$AI$11:$AI$409)/D23,NA())</f>
        <v>0.60364064478490698</v>
      </c>
    </row>
    <row r="24" spans="1:9" ht="20.25" customHeight="1" x14ac:dyDescent="0.45">
      <c r="A24" s="26">
        <v>29</v>
      </c>
      <c r="B24" s="26">
        <v>30</v>
      </c>
      <c r="C24" s="26">
        <f>SUMPRODUCT(ISNUMBER('Kadri 3 Comparables'!$AJ$11:$AJ$409)*1)</f>
        <v>263</v>
      </c>
      <c r="D24" s="19">
        <f>SUMPRODUCT('Kadri 3 Comparables'!$AF$11:$AF$409,ISNUMBER('Kadri 3 Comparables'!$AJ$11:$AJ$409)*1)</f>
        <v>155.89168718884787</v>
      </c>
      <c r="E24" s="31">
        <f>IF(D24&gt;0,SUMPRODUCT('Kadri 3 Comparables'!$AF$11:$AF$409,'Kadri 3 Comparables'!$AJ$11:$AJ$409)/D24,NA())</f>
        <v>-0.11726132757409057</v>
      </c>
      <c r="F24" s="13">
        <v>-0.1638542294447522</v>
      </c>
      <c r="G24" s="33">
        <f>(SUMPRODUCT('Kadri 3 Comparables'!$AF$11:$AF$409,'Kadri 3 Comparables'!$AJ$11:$AJ$409)+K_league*F24)/(D24+K_league)</f>
        <v>-0.12006996148819508</v>
      </c>
      <c r="H24" s="31">
        <f>H23+G24</f>
        <v>1.5869803869952508</v>
      </c>
      <c r="I24" s="34">
        <f>IF(D24&gt;0,SUMPRODUCT('Kadri 3 Comparables'!$AF$11:$AF$409,'Kadri 3 Comparables'!$AK$11:$AK$409)/D24,NA())</f>
        <v>0.62359591253685465</v>
      </c>
    </row>
    <row r="25" spans="1:9" ht="20.25" customHeight="1" x14ac:dyDescent="0.45">
      <c r="A25" s="26">
        <v>30</v>
      </c>
      <c r="B25" s="26">
        <v>31</v>
      </c>
      <c r="C25" s="26">
        <f>SUMPRODUCT(ISNUMBER('Kadri 3 Comparables'!$AL$11:$AL$409)*1)</f>
        <v>220</v>
      </c>
      <c r="D25" s="19">
        <f>SUMPRODUCT('Kadri 3 Comparables'!$AF$11:$AF$409,ISNUMBER('Kadri 3 Comparables'!$AL$11:$AL$409)*1)</f>
        <v>135.65687959628957</v>
      </c>
      <c r="E25" s="31">
        <f>IF(D25&gt;0,SUMPRODUCT('Kadri 3 Comparables'!$AF$11:$AF$409,'Kadri 3 Comparables'!$AL$11:$AL$409)/D25,NA())</f>
        <v>-0.14457598960477477</v>
      </c>
      <c r="F25" s="13">
        <v>-0.12637187557842569</v>
      </c>
      <c r="G25" s="33">
        <f>(SUMPRODUCT('Kadri 3 Comparables'!$AF$11:$AF$409,'Kadri 3 Comparables'!$AL$11:$AL$409)+K_league*F25)/(D25+K_league)</f>
        <v>-0.14332619528837828</v>
      </c>
      <c r="H25" s="31">
        <f>H24+G25</f>
        <v>1.4436541917068726</v>
      </c>
      <c r="I25" s="34">
        <f>IF(D25&gt;0,SUMPRODUCT('Kadri 3 Comparables'!$AF$11:$AF$409,'Kadri 3 Comparables'!$AM$11:$AM$409)/D25,NA())</f>
        <v>0.67644976860156758</v>
      </c>
    </row>
    <row r="28" spans="1:9" ht="22.05" customHeight="1" x14ac:dyDescent="0.45">
      <c r="A28" s="1" t="s">
        <v>721</v>
      </c>
    </row>
    <row r="29" spans="1:9" ht="53" customHeight="1" x14ac:dyDescent="0.45">
      <c r="A29" s="3" t="s">
        <v>789</v>
      </c>
      <c r="B29" s="4"/>
      <c r="C29" s="4"/>
      <c r="D29" s="4"/>
      <c r="E29" s="4"/>
      <c r="F29" s="4"/>
      <c r="G29" s="4"/>
      <c r="H29" s="4"/>
      <c r="I29" s="4"/>
    </row>
    <row r="31" spans="1:9" ht="51.75" customHeight="1" x14ac:dyDescent="0.45">
      <c r="A31" s="5" t="s">
        <v>723</v>
      </c>
      <c r="B31" s="6" t="s">
        <v>100</v>
      </c>
      <c r="C31" s="6" t="s">
        <v>718</v>
      </c>
      <c r="D31" s="6" t="s">
        <v>724</v>
      </c>
      <c r="E31" s="6" t="s">
        <v>725</v>
      </c>
      <c r="F31" s="6" t="s">
        <v>145</v>
      </c>
      <c r="G31" s="6" t="s">
        <v>726</v>
      </c>
      <c r="H31" s="6" t="s">
        <v>727</v>
      </c>
      <c r="I31" s="6" t="s">
        <v>728</v>
      </c>
    </row>
    <row r="32" spans="1:9" ht="20.25" customHeight="1" x14ac:dyDescent="0.45">
      <c r="A32" s="7" t="s">
        <v>130</v>
      </c>
      <c r="B32" s="26">
        <v>29</v>
      </c>
      <c r="C32" s="31">
        <f>IFERROR(INDEX($H$22:$H$25,MATCH(B32,$B$22:$B$25,0)),$H$25)</f>
        <v>1.7070503484834458</v>
      </c>
      <c r="D32" s="31">
        <f>C32/$C$32</f>
        <v>1</v>
      </c>
      <c r="E32" s="31">
        <f>IF($C$32&lt;=BaseFloor,1,MIN(MAX(D32,RatioFloor),RatioCap))</f>
        <v>1</v>
      </c>
      <c r="F32" s="35">
        <f>'Kadri 1 Seasons'!$D$30</f>
        <v>1.9682846052641585</v>
      </c>
      <c r="G32" s="36">
        <f>IF(F32&gt;=0,F32*E32,F32)</f>
        <v>1.9682846052641585</v>
      </c>
      <c r="H32" s="37">
        <f>'Kadri 1 Seasons'!$D$15</f>
        <v>51</v>
      </c>
      <c r="I32" s="38">
        <f>'Kadri 1 Seasons'!$N$15</f>
        <v>2.0734864421956782</v>
      </c>
    </row>
    <row r="33" spans="1:9" ht="20.25" customHeight="1" x14ac:dyDescent="0.45">
      <c r="A33" s="7" t="s">
        <v>131</v>
      </c>
      <c r="B33" s="26">
        <v>30</v>
      </c>
      <c r="C33" s="31">
        <f>IFERROR(INDEX($H$22:$H$25,MATCH(B33,$B$22:$B$25,0)),$H$25)</f>
        <v>1.5869803869952508</v>
      </c>
      <c r="D33" s="31">
        <f>C33/$C$32</f>
        <v>0.92966231980511538</v>
      </c>
      <c r="E33" s="31">
        <f>IF($C$32&lt;=BaseFloor,1,MIN(MAX(D33,RatioFloor),RatioCap))</f>
        <v>0.92966231980511538</v>
      </c>
      <c r="F33" s="35">
        <f>'Kadri 1 Seasons'!$D$30</f>
        <v>1.9682846052641585</v>
      </c>
      <c r="G33" s="36">
        <f>IF(F33&gt;=0,F33*E33,0)</f>
        <v>1.8298400321665733</v>
      </c>
      <c r="H33" s="37">
        <f>'Kadri 1 Seasons'!$D$16</f>
        <v>56</v>
      </c>
      <c r="I33" s="38">
        <f>'Kadri 1 Seasons'!$N$16</f>
        <v>0.31016850318015693</v>
      </c>
    </row>
    <row r="34" spans="1:9" ht="20.25" customHeight="1" x14ac:dyDescent="0.45">
      <c r="A34" s="7" t="s">
        <v>132</v>
      </c>
      <c r="B34" s="26">
        <v>31</v>
      </c>
      <c r="C34" s="31">
        <f>IFERROR(INDEX($H$22:$H$25,MATCH(B34,$B$22:$B$25,0)),$H$25)</f>
        <v>1.4436541917068726</v>
      </c>
      <c r="D34" s="31">
        <f>C34/$C$32</f>
        <v>0.84570100289626726</v>
      </c>
      <c r="E34" s="31">
        <f>IF($C$32&lt;=BaseFloor,1,MIN(MAX(D34,RatioFloor),RatioCap))</f>
        <v>0.84570100289626726</v>
      </c>
      <c r="F34" s="35">
        <f>'Kadri 1 Seasons'!$D$30</f>
        <v>1.9682846052641585</v>
      </c>
      <c r="G34" s="36">
        <f>IF(F34&gt;=0,F34*E34,0)</f>
        <v>1.6645802646571823</v>
      </c>
      <c r="H34" s="37">
        <f>'Kadri 1 Seasons'!$D$17</f>
        <v>71</v>
      </c>
      <c r="I34" s="38">
        <f>'Kadri 1 Seasons'!$N$17</f>
        <v>2.35315218396451</v>
      </c>
    </row>
    <row r="36" spans="1:9" ht="38" customHeight="1" x14ac:dyDescent="0.45">
      <c r="A36" s="3" t="s">
        <v>729</v>
      </c>
      <c r="B36" s="4"/>
      <c r="C36" s="4"/>
      <c r="D36" s="4"/>
      <c r="E36" s="4"/>
      <c r="F36" s="4"/>
      <c r="G36" s="4"/>
      <c r="H36" s="4"/>
      <c r="I36" s="4"/>
    </row>
  </sheetData>
  <mergeCells count="4">
    <mergeCell ref="A29:I29"/>
    <mergeCell ref="A36:I36"/>
    <mergeCell ref="A19:I19"/>
    <mergeCell ref="A4:F4"/>
  </mergeCell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30"/>
  <sheetViews>
    <sheetView workbookViewId="0">
      <pane xSplit="1" ySplit="4" topLeftCell="B5" activePane="bottomRight" state="frozen"/>
      <selection pane="topRight"/>
      <selection pane="bottomLeft"/>
      <selection pane="bottomRight"/>
    </sheetView>
  </sheetViews>
  <sheetFormatPr defaultRowHeight="14.25" x14ac:dyDescent="0.45"/>
  <cols>
    <col min="1" max="1" width="16.53125" customWidth="1"/>
    <col min="2" max="2" width="10.86328125" customWidth="1"/>
    <col min="3" max="3" width="10.33203125" customWidth="1"/>
    <col min="4" max="4" width="12.06640625" customWidth="1"/>
    <col min="5" max="5" width="11.73046875" customWidth="1"/>
    <col min="6" max="7" width="17.265625" customWidth="1"/>
    <col min="8" max="8" width="14.59765625" customWidth="1"/>
    <col min="9" max="9" width="14.3984375" customWidth="1"/>
    <col min="10" max="10" width="12.59765625" customWidth="1"/>
    <col min="11" max="11" width="12.06640625" customWidth="1"/>
    <col min="12" max="12" width="9.06640625" customWidth="1"/>
    <col min="13" max="13" width="17.3984375" customWidth="1"/>
    <col min="14" max="14" width="17.265625" customWidth="1"/>
    <col min="15" max="15" width="10.86328125" customWidth="1"/>
    <col min="16" max="16" width="54.9296875" customWidth="1"/>
  </cols>
  <sheetData>
    <row r="1" spans="1:16" ht="22.05" customHeight="1" x14ac:dyDescent="0.45">
      <c r="A1" s="1" t="s">
        <v>790</v>
      </c>
    </row>
    <row r="2" spans="1:16" ht="38" customHeight="1" x14ac:dyDescent="0.45">
      <c r="A2" s="3" t="s">
        <v>791</v>
      </c>
      <c r="B2" s="4"/>
      <c r="C2" s="4"/>
      <c r="D2" s="4"/>
      <c r="E2" s="4"/>
      <c r="F2" s="4"/>
      <c r="G2" s="4"/>
      <c r="H2" s="4"/>
      <c r="I2" s="4"/>
      <c r="J2" s="4"/>
      <c r="K2" s="4"/>
      <c r="L2" s="4"/>
      <c r="M2" s="4"/>
      <c r="N2" s="4"/>
      <c r="O2" s="4"/>
      <c r="P2" s="4"/>
    </row>
    <row r="4" spans="1:16" ht="51.75" customHeight="1" x14ac:dyDescent="0.45">
      <c r="A4" s="5" t="s">
        <v>98</v>
      </c>
      <c r="B4" s="5" t="s">
        <v>99</v>
      </c>
      <c r="C4" s="6" t="s">
        <v>100</v>
      </c>
      <c r="D4" s="6" t="s">
        <v>101</v>
      </c>
      <c r="E4" s="6" t="s">
        <v>102</v>
      </c>
      <c r="F4" s="6" t="s">
        <v>103</v>
      </c>
      <c r="G4" s="6" t="s">
        <v>104</v>
      </c>
      <c r="H4" s="6" t="s">
        <v>105</v>
      </c>
      <c r="I4" s="6" t="s">
        <v>106</v>
      </c>
      <c r="J4" s="6" t="s">
        <v>107</v>
      </c>
      <c r="K4" s="6" t="s">
        <v>108</v>
      </c>
      <c r="L4" s="6" t="s">
        <v>109</v>
      </c>
      <c r="M4" s="6" t="s">
        <v>110</v>
      </c>
      <c r="N4" s="6" t="s">
        <v>111</v>
      </c>
      <c r="O4" s="6" t="s">
        <v>112</v>
      </c>
      <c r="P4" s="5" t="s">
        <v>113</v>
      </c>
    </row>
    <row r="5" spans="1:16" ht="20.25" customHeight="1" x14ac:dyDescent="0.45">
      <c r="A5" s="16" t="s">
        <v>792</v>
      </c>
      <c r="B5" s="16" t="s">
        <v>793</v>
      </c>
      <c r="C5" s="17">
        <v>20</v>
      </c>
      <c r="D5" s="17">
        <v>34</v>
      </c>
      <c r="E5" s="18">
        <v>425.38333333333298</v>
      </c>
      <c r="F5" s="18">
        <v>-3.4699724282128398E-2</v>
      </c>
      <c r="G5" s="18">
        <v>-2.5476115333954899E-2</v>
      </c>
      <c r="H5" s="18">
        <v>4.9054806717847399E-2</v>
      </c>
      <c r="I5" s="18">
        <v>-7.1876218936400003E-5</v>
      </c>
      <c r="J5" s="18">
        <v>0.12622164384902601</v>
      </c>
      <c r="K5" s="18">
        <v>-0.312742085558262</v>
      </c>
      <c r="L5" s="18">
        <v>-0.19771335082640801</v>
      </c>
      <c r="M5" s="13">
        <v>1</v>
      </c>
      <c r="N5" s="19">
        <f t="shared" ref="N5:N21" si="0">L5*M5</f>
        <v>-0.19771335082640801</v>
      </c>
      <c r="O5" s="19">
        <f t="shared" ref="O5:O21" si="1">L5/D5*82</f>
        <v>-0.47683808140486639</v>
      </c>
      <c r="P5" s="2"/>
    </row>
    <row r="6" spans="1:16" ht="20.25" customHeight="1" x14ac:dyDescent="0.45">
      <c r="A6" s="16" t="s">
        <v>114</v>
      </c>
      <c r="B6" s="16" t="s">
        <v>793</v>
      </c>
      <c r="C6" s="17">
        <v>21</v>
      </c>
      <c r="D6" s="17">
        <v>52</v>
      </c>
      <c r="E6" s="18">
        <v>658.56666666666695</v>
      </c>
      <c r="F6" s="18">
        <v>4.5705919369967402E-2</v>
      </c>
      <c r="G6" s="18">
        <v>8.8672945476348394E-2</v>
      </c>
      <c r="H6" s="18">
        <v>-1.1286489668453199E-2</v>
      </c>
      <c r="I6" s="18">
        <v>-1.3148145537375E-3</v>
      </c>
      <c r="J6" s="18">
        <v>0.100027880867795</v>
      </c>
      <c r="K6" s="18">
        <v>-0.42110917250009799</v>
      </c>
      <c r="L6" s="18">
        <v>-0.199303731008179</v>
      </c>
      <c r="M6" s="13">
        <v>1</v>
      </c>
      <c r="N6" s="19">
        <f t="shared" si="0"/>
        <v>-0.199303731008179</v>
      </c>
      <c r="O6" s="19">
        <f t="shared" si="1"/>
        <v>-0.31428665274366685</v>
      </c>
      <c r="P6" s="2"/>
    </row>
    <row r="7" spans="1:16" ht="20.25" customHeight="1" x14ac:dyDescent="0.45">
      <c r="A7" s="16" t="s">
        <v>116</v>
      </c>
      <c r="B7" s="16" t="s">
        <v>793</v>
      </c>
      <c r="C7" s="17">
        <v>22</v>
      </c>
      <c r="D7" s="17">
        <v>37</v>
      </c>
      <c r="E7" s="18">
        <v>579.29999999999995</v>
      </c>
      <c r="F7" s="18">
        <v>0.34701213101897499</v>
      </c>
      <c r="G7" s="18">
        <v>-2.1848039347820598E-2</v>
      </c>
      <c r="H7" s="18">
        <v>4.2131321714683E-2</v>
      </c>
      <c r="I7" s="18">
        <v>-3.5757191634700001E-5</v>
      </c>
      <c r="J7" s="18">
        <v>0.21506266785210301</v>
      </c>
      <c r="K7" s="18">
        <v>0.49288911907078398</v>
      </c>
      <c r="L7" s="18">
        <v>1.07521144311709</v>
      </c>
      <c r="M7" s="13">
        <v>1</v>
      </c>
      <c r="N7" s="19">
        <f t="shared" si="0"/>
        <v>1.07521144311709</v>
      </c>
      <c r="O7" s="19">
        <f t="shared" si="1"/>
        <v>2.3829010360973348</v>
      </c>
      <c r="P7" s="2"/>
    </row>
    <row r="8" spans="1:16" ht="20.25" customHeight="1" x14ac:dyDescent="0.45">
      <c r="A8" s="16" t="s">
        <v>117</v>
      </c>
      <c r="B8" s="16" t="s">
        <v>793</v>
      </c>
      <c r="C8" s="17">
        <v>23</v>
      </c>
      <c r="D8" s="17">
        <v>79</v>
      </c>
      <c r="E8" s="18">
        <v>1418.6666666666699</v>
      </c>
      <c r="F8" s="18">
        <v>0.88524647478652096</v>
      </c>
      <c r="G8" s="18">
        <v>-0.71512647229889403</v>
      </c>
      <c r="H8" s="18">
        <v>0.32203768678657202</v>
      </c>
      <c r="I8" s="18">
        <v>-3.2515349384119998E-4</v>
      </c>
      <c r="J8" s="18">
        <v>5.3415628698591497E-2</v>
      </c>
      <c r="K8" s="18">
        <v>1.8779836793411899</v>
      </c>
      <c r="L8" s="18">
        <v>2.4232318438201399</v>
      </c>
      <c r="M8" s="13">
        <v>1</v>
      </c>
      <c r="N8" s="19">
        <f t="shared" si="0"/>
        <v>2.4232318438201399</v>
      </c>
      <c r="O8" s="19">
        <f t="shared" si="1"/>
        <v>2.5152533062436895</v>
      </c>
      <c r="P8" s="2"/>
    </row>
    <row r="9" spans="1:16" ht="20.25" customHeight="1" x14ac:dyDescent="0.45">
      <c r="A9" s="16" t="s">
        <v>118</v>
      </c>
      <c r="B9" s="16" t="s">
        <v>793</v>
      </c>
      <c r="C9" s="17">
        <v>24</v>
      </c>
      <c r="D9" s="17">
        <v>44</v>
      </c>
      <c r="E9" s="18">
        <v>716.88333333333298</v>
      </c>
      <c r="F9" s="18">
        <v>0.483673878136823</v>
      </c>
      <c r="G9" s="18">
        <v>5.7770923828645397E-2</v>
      </c>
      <c r="H9" s="18">
        <v>0.37029671693896199</v>
      </c>
      <c r="I9" s="18">
        <v>7.3157276832370001E-4</v>
      </c>
      <c r="J9" s="18">
        <v>0.146613356731158</v>
      </c>
      <c r="K9" s="18">
        <v>0.89939501765415197</v>
      </c>
      <c r="L9" s="18">
        <v>1.9584814660580601</v>
      </c>
      <c r="M9" s="13">
        <v>1</v>
      </c>
      <c r="N9" s="19">
        <f t="shared" si="0"/>
        <v>1.9584814660580601</v>
      </c>
      <c r="O9" s="19">
        <f t="shared" si="1"/>
        <v>3.6498972776536571</v>
      </c>
      <c r="P9" s="2"/>
    </row>
    <row r="10" spans="1:16" ht="20.25" customHeight="1" x14ac:dyDescent="0.45">
      <c r="A10" s="16" t="s">
        <v>119</v>
      </c>
      <c r="B10" s="16" t="s">
        <v>793</v>
      </c>
      <c r="C10" s="17">
        <v>25</v>
      </c>
      <c r="D10" s="17">
        <v>73</v>
      </c>
      <c r="E10" s="18">
        <v>1326.2166666666701</v>
      </c>
      <c r="F10" s="18">
        <v>0.89193190417631796</v>
      </c>
      <c r="G10" s="18">
        <v>-9.6958319183239994E-2</v>
      </c>
      <c r="H10" s="18">
        <v>0.260247807730139</v>
      </c>
      <c r="I10" s="18">
        <v>0.194496791301391</v>
      </c>
      <c r="J10" s="18">
        <v>0.28372318752558701</v>
      </c>
      <c r="K10" s="18">
        <v>3.0184757977678198</v>
      </c>
      <c r="L10" s="18">
        <v>4.5519171693180098</v>
      </c>
      <c r="M10" s="13">
        <v>1</v>
      </c>
      <c r="N10" s="19">
        <f t="shared" si="0"/>
        <v>4.5519171693180098</v>
      </c>
      <c r="O10" s="19">
        <f t="shared" si="1"/>
        <v>5.1131124367681755</v>
      </c>
      <c r="P10" s="2"/>
    </row>
    <row r="11" spans="1:16" ht="20.25" customHeight="1" x14ac:dyDescent="0.45">
      <c r="A11" s="16" t="s">
        <v>120</v>
      </c>
      <c r="B11" s="16" t="s">
        <v>793</v>
      </c>
      <c r="C11" s="17">
        <v>26</v>
      </c>
      <c r="D11" s="17">
        <v>80</v>
      </c>
      <c r="E11" s="18">
        <v>1531.4833333333299</v>
      </c>
      <c r="F11" s="18">
        <v>1.36225301724783</v>
      </c>
      <c r="G11" s="18">
        <v>-0.42892788719126201</v>
      </c>
      <c r="H11" s="18">
        <v>-8.2657213311919997E-2</v>
      </c>
      <c r="I11" s="18">
        <v>0.132377213530605</v>
      </c>
      <c r="J11" s="18">
        <v>-2.2175337818398901E-2</v>
      </c>
      <c r="K11" s="18">
        <v>2.48116161395318</v>
      </c>
      <c r="L11" s="18">
        <v>3.4420314064100399</v>
      </c>
      <c r="M11" s="13">
        <v>1</v>
      </c>
      <c r="N11" s="19">
        <f t="shared" si="0"/>
        <v>3.4420314064100399</v>
      </c>
      <c r="O11" s="19">
        <f t="shared" si="1"/>
        <v>3.5280821915702907</v>
      </c>
      <c r="P11" s="2"/>
    </row>
    <row r="12" spans="1:16" ht="20.25" customHeight="1" x14ac:dyDescent="0.45">
      <c r="A12" s="16" t="s">
        <v>121</v>
      </c>
      <c r="B12" s="16" t="s">
        <v>793</v>
      </c>
      <c r="C12" s="17">
        <v>27</v>
      </c>
      <c r="D12" s="17">
        <v>82</v>
      </c>
      <c r="E12" s="18">
        <v>1466.6</v>
      </c>
      <c r="F12" s="18">
        <v>1.60606358434521</v>
      </c>
      <c r="G12" s="18">
        <v>-0.10806319037808</v>
      </c>
      <c r="H12" s="18">
        <v>-0.20715007859368401</v>
      </c>
      <c r="I12" s="18">
        <v>0.199355720405305</v>
      </c>
      <c r="J12" s="18">
        <v>-6.5788490763892302E-2</v>
      </c>
      <c r="K12" s="18">
        <v>0.88798790715570097</v>
      </c>
      <c r="L12" s="18">
        <v>2.3124054521705601</v>
      </c>
      <c r="M12" s="13">
        <v>1</v>
      </c>
      <c r="N12" s="19">
        <f t="shared" si="0"/>
        <v>2.3124054521705601</v>
      </c>
      <c r="O12" s="19">
        <f t="shared" si="1"/>
        <v>2.3124054521705601</v>
      </c>
      <c r="P12" s="2"/>
    </row>
    <row r="13" spans="1:16" ht="20.25" customHeight="1" x14ac:dyDescent="0.45">
      <c r="A13" s="16" t="s">
        <v>123</v>
      </c>
      <c r="B13" s="16" t="s">
        <v>793</v>
      </c>
      <c r="C13" s="17">
        <v>28</v>
      </c>
      <c r="D13" s="17">
        <v>81</v>
      </c>
      <c r="E13" s="18">
        <v>1513.93333333333</v>
      </c>
      <c r="F13" s="18">
        <v>1.10342758734651</v>
      </c>
      <c r="G13" s="18">
        <v>2.0080990109260798E-2</v>
      </c>
      <c r="H13" s="18">
        <v>-0.20185761036847999</v>
      </c>
      <c r="I13" s="18">
        <v>0.13044533783707199</v>
      </c>
      <c r="J13" s="18">
        <v>-6.1431518869635202E-2</v>
      </c>
      <c r="K13" s="18">
        <v>2.6848288936999398</v>
      </c>
      <c r="L13" s="18">
        <v>3.6754936797546698</v>
      </c>
      <c r="M13" s="13">
        <v>1</v>
      </c>
      <c r="N13" s="19">
        <f t="shared" si="0"/>
        <v>3.6754936797546698</v>
      </c>
      <c r="O13" s="19">
        <f t="shared" si="1"/>
        <v>3.7208701449368262</v>
      </c>
      <c r="P13" s="7" t="s">
        <v>734</v>
      </c>
    </row>
    <row r="14" spans="1:16" ht="20.25" customHeight="1" x14ac:dyDescent="0.45">
      <c r="A14" s="16" t="s">
        <v>125</v>
      </c>
      <c r="B14" s="16" t="s">
        <v>793</v>
      </c>
      <c r="C14" s="17">
        <v>29</v>
      </c>
      <c r="D14" s="17">
        <v>64</v>
      </c>
      <c r="E14" s="18">
        <v>1176.8499999999999</v>
      </c>
      <c r="F14" s="18">
        <v>0.50972506848024102</v>
      </c>
      <c r="G14" s="18">
        <v>-0.114865978487824</v>
      </c>
      <c r="H14" s="18">
        <v>0.47193275748886898</v>
      </c>
      <c r="I14" s="18">
        <v>6.8077815652159998E-4</v>
      </c>
      <c r="J14" s="18">
        <v>-0.14329014507910301</v>
      </c>
      <c r="K14" s="18">
        <v>-0.69678775014710503</v>
      </c>
      <c r="L14" s="18">
        <v>2.73947304116012E-2</v>
      </c>
      <c r="M14" s="13">
        <v>1</v>
      </c>
      <c r="N14" s="19">
        <f t="shared" si="0"/>
        <v>2.73947304116012E-2</v>
      </c>
      <c r="O14" s="19">
        <f t="shared" si="1"/>
        <v>3.5099498339864039E-2</v>
      </c>
      <c r="P14" s="7" t="s">
        <v>794</v>
      </c>
    </row>
    <row r="15" spans="1:16" ht="20.25" customHeight="1" x14ac:dyDescent="0.45">
      <c r="A15" s="20" t="s">
        <v>127</v>
      </c>
      <c r="B15" s="20" t="s">
        <v>795</v>
      </c>
      <c r="C15" s="21">
        <v>30</v>
      </c>
      <c r="D15" s="21">
        <v>66</v>
      </c>
      <c r="E15" s="22">
        <v>1086.7666666666701</v>
      </c>
      <c r="F15" s="22">
        <v>0.62933259343673897</v>
      </c>
      <c r="G15" s="22">
        <v>-0.76780067564622501</v>
      </c>
      <c r="H15" s="22">
        <v>0.38109191710239299</v>
      </c>
      <c r="I15" s="22">
        <v>-8.8792879385185004E-3</v>
      </c>
      <c r="J15" s="22">
        <v>-0.18119638743880001</v>
      </c>
      <c r="K15" s="22">
        <v>0.728878116274431</v>
      </c>
      <c r="L15" s="22">
        <v>0.781426275790019</v>
      </c>
      <c r="M15" s="23">
        <v>1</v>
      </c>
      <c r="N15" s="24">
        <f t="shared" si="0"/>
        <v>0.781426275790019</v>
      </c>
      <c r="O15" s="24">
        <f t="shared" si="1"/>
        <v>0.97086294870881151</v>
      </c>
      <c r="P15" s="20" t="s">
        <v>129</v>
      </c>
    </row>
    <row r="16" spans="1:16" ht="20.25" customHeight="1" x14ac:dyDescent="0.45">
      <c r="A16" s="20" t="s">
        <v>130</v>
      </c>
      <c r="B16" s="20" t="s">
        <v>795</v>
      </c>
      <c r="C16" s="21">
        <v>31</v>
      </c>
      <c r="D16" s="21">
        <v>71</v>
      </c>
      <c r="E16" s="22">
        <v>1238.2833333333299</v>
      </c>
      <c r="F16" s="22">
        <v>1.1313325781882899</v>
      </c>
      <c r="G16" s="22">
        <v>0.170934463823991</v>
      </c>
      <c r="H16" s="22">
        <v>0.43744442881322798</v>
      </c>
      <c r="I16" s="22">
        <v>7.8719598621099999E-5</v>
      </c>
      <c r="J16" s="22">
        <v>-3.0231193434643502E-2</v>
      </c>
      <c r="K16" s="22">
        <v>1.3761914386276199</v>
      </c>
      <c r="L16" s="22">
        <v>3.0857504356171002</v>
      </c>
      <c r="M16" s="23">
        <v>1.171428571428571</v>
      </c>
      <c r="N16" s="24">
        <f t="shared" si="0"/>
        <v>3.6147362245800303</v>
      </c>
      <c r="O16" s="24">
        <f t="shared" si="1"/>
        <v>3.5638244467690452</v>
      </c>
      <c r="P16" s="20" t="s">
        <v>129</v>
      </c>
    </row>
    <row r="17" spans="1:16" ht="20.25" customHeight="1" x14ac:dyDescent="0.45">
      <c r="A17" s="20" t="s">
        <v>131</v>
      </c>
      <c r="B17" s="20" t="s">
        <v>795</v>
      </c>
      <c r="C17" s="21">
        <v>32</v>
      </c>
      <c r="D17" s="21">
        <v>48</v>
      </c>
      <c r="E17" s="22">
        <v>835.03333333333296</v>
      </c>
      <c r="F17" s="22">
        <v>0.59170794361664303</v>
      </c>
      <c r="G17" s="22">
        <v>-8.4223927229561901E-2</v>
      </c>
      <c r="H17" s="22">
        <v>0.162591961797768</v>
      </c>
      <c r="I17" s="22">
        <v>-3.387340677421E-4</v>
      </c>
      <c r="J17" s="22">
        <v>6.7194583015606393E-2</v>
      </c>
      <c r="K17" s="22">
        <v>1.9222046250009599</v>
      </c>
      <c r="L17" s="22">
        <v>2.65913645213368</v>
      </c>
      <c r="M17" s="23">
        <v>1.464285714285714</v>
      </c>
      <c r="N17" s="24">
        <f t="shared" si="0"/>
        <v>3.893735519195745</v>
      </c>
      <c r="O17" s="24">
        <f t="shared" si="1"/>
        <v>4.5426914390617039</v>
      </c>
      <c r="P17" s="20" t="s">
        <v>129</v>
      </c>
    </row>
    <row r="18" spans="1:16" ht="20.25" customHeight="1" x14ac:dyDescent="0.45">
      <c r="A18" s="20" t="s">
        <v>132</v>
      </c>
      <c r="B18" s="20" t="s">
        <v>795</v>
      </c>
      <c r="C18" s="21">
        <v>33</v>
      </c>
      <c r="D18" s="21">
        <v>39</v>
      </c>
      <c r="E18" s="22">
        <v>653.36666666666702</v>
      </c>
      <c r="F18" s="22">
        <v>0.53407024974783501</v>
      </c>
      <c r="G18" s="22">
        <v>-7.1498090596092106E-2</v>
      </c>
      <c r="H18" s="22">
        <v>0.22069082692897601</v>
      </c>
      <c r="I18" s="22">
        <v>-2.7517677866200001E-5</v>
      </c>
      <c r="J18" s="22">
        <v>-8.9318951117040399E-2</v>
      </c>
      <c r="K18" s="22">
        <v>1.0295598371118899</v>
      </c>
      <c r="L18" s="22">
        <v>1.62347635439771</v>
      </c>
      <c r="M18" s="23">
        <v>1</v>
      </c>
      <c r="N18" s="24">
        <f t="shared" si="0"/>
        <v>1.62347635439771</v>
      </c>
      <c r="O18" s="24">
        <f t="shared" si="1"/>
        <v>3.4134631041182617</v>
      </c>
      <c r="P18" s="20" t="s">
        <v>129</v>
      </c>
    </row>
    <row r="19" spans="1:16" ht="20.25" customHeight="1" x14ac:dyDescent="0.45">
      <c r="A19" s="20" t="s">
        <v>133</v>
      </c>
      <c r="B19" s="20" t="s">
        <v>796</v>
      </c>
      <c r="C19" s="21">
        <v>34</v>
      </c>
      <c r="D19" s="21">
        <v>5</v>
      </c>
      <c r="E19" s="22">
        <v>66.033333333333303</v>
      </c>
      <c r="F19" s="22">
        <v>2.8413904299412901E-2</v>
      </c>
      <c r="G19" s="22">
        <v>6.7115766275799998E-5</v>
      </c>
      <c r="H19" s="22">
        <v>5.4126343397643004E-3</v>
      </c>
      <c r="I19" s="22">
        <v>0</v>
      </c>
      <c r="J19" s="22">
        <v>3.9861182852493598E-2</v>
      </c>
      <c r="K19" s="22">
        <v>0.217681238759383</v>
      </c>
      <c r="L19" s="22">
        <v>0.29143607601732902</v>
      </c>
      <c r="M19" s="23">
        <v>1</v>
      </c>
      <c r="N19" s="24">
        <f t="shared" si="0"/>
        <v>0.29143607601732902</v>
      </c>
      <c r="O19" s="24">
        <f t="shared" si="1"/>
        <v>4.7795516466841956</v>
      </c>
      <c r="P19" s="20" t="s">
        <v>129</v>
      </c>
    </row>
    <row r="20" spans="1:16" ht="20.25" customHeight="1" x14ac:dyDescent="0.45">
      <c r="A20" s="20" t="s">
        <v>135</v>
      </c>
      <c r="B20" s="20" t="s">
        <v>797</v>
      </c>
      <c r="C20" s="21">
        <v>35</v>
      </c>
      <c r="D20" s="21">
        <v>47</v>
      </c>
      <c r="E20" s="22">
        <v>668.5</v>
      </c>
      <c r="F20" s="22">
        <v>0.28033611567539501</v>
      </c>
      <c r="G20" s="22">
        <v>-0.14383538360661199</v>
      </c>
      <c r="H20" s="22">
        <v>7.8353409768600502E-2</v>
      </c>
      <c r="I20" s="22">
        <v>-1.7588935338E-5</v>
      </c>
      <c r="J20" s="22">
        <v>4.9917740761131002E-3</v>
      </c>
      <c r="K20" s="22">
        <v>-0.65442658156164402</v>
      </c>
      <c r="L20" s="22">
        <v>-0.48227862727225101</v>
      </c>
      <c r="M20" s="23">
        <v>1</v>
      </c>
      <c r="N20" s="24">
        <f t="shared" si="0"/>
        <v>-0.48227862727225101</v>
      </c>
      <c r="O20" s="24">
        <f t="shared" si="1"/>
        <v>-0.84142228587924639</v>
      </c>
      <c r="P20" s="20" t="s">
        <v>129</v>
      </c>
    </row>
    <row r="21" spans="1:16" ht="20.25" customHeight="1" x14ac:dyDescent="0.45">
      <c r="A21" s="20" t="s">
        <v>137</v>
      </c>
      <c r="B21" s="20" t="s">
        <v>732</v>
      </c>
      <c r="C21" s="21">
        <v>36</v>
      </c>
      <c r="D21" s="21">
        <v>37</v>
      </c>
      <c r="E21" s="22">
        <v>488.88333333333298</v>
      </c>
      <c r="F21" s="22">
        <v>0.16619170797413099</v>
      </c>
      <c r="G21" s="22">
        <v>-0.35839053902474899</v>
      </c>
      <c r="H21" s="22">
        <v>2.2227656569852702E-2</v>
      </c>
      <c r="I21" s="22">
        <v>-1.8551452298000001E-6</v>
      </c>
      <c r="J21" s="22">
        <v>-0.128179230287538</v>
      </c>
      <c r="K21" s="22">
        <v>-0.16451211228135099</v>
      </c>
      <c r="L21" s="22">
        <v>-0.46795965678200802</v>
      </c>
      <c r="M21" s="23">
        <v>1</v>
      </c>
      <c r="N21" s="24">
        <f t="shared" si="0"/>
        <v>-0.46795965678200802</v>
      </c>
      <c r="O21" s="24">
        <f t="shared" si="1"/>
        <v>-1.037099779895261</v>
      </c>
      <c r="P21" s="20" t="s">
        <v>129</v>
      </c>
    </row>
    <row r="23" spans="1:16" ht="22.05" customHeight="1" x14ac:dyDescent="0.45">
      <c r="A23" s="1" t="s">
        <v>139</v>
      </c>
    </row>
    <row r="24" spans="1:16" ht="38" customHeight="1" x14ac:dyDescent="0.45">
      <c r="A24" s="3" t="s">
        <v>140</v>
      </c>
      <c r="B24" s="4"/>
      <c r="C24" s="4"/>
      <c r="D24" s="4"/>
      <c r="E24" s="4"/>
      <c r="F24" s="4"/>
      <c r="G24" s="4"/>
      <c r="H24" s="4"/>
      <c r="I24" s="4"/>
      <c r="J24" s="4"/>
      <c r="K24" s="4"/>
      <c r="L24" s="4"/>
      <c r="M24" s="4"/>
      <c r="N24" s="4"/>
      <c r="O24" s="4"/>
      <c r="P24" s="4"/>
    </row>
    <row r="26" spans="1:16" ht="37.799999999999997" customHeight="1" x14ac:dyDescent="0.45">
      <c r="A26" s="5"/>
      <c r="B26" s="5" t="s">
        <v>98</v>
      </c>
      <c r="C26" s="6" t="s">
        <v>101</v>
      </c>
      <c r="D26" s="6" t="s">
        <v>141</v>
      </c>
      <c r="E26" s="25" t="s">
        <v>142</v>
      </c>
      <c r="F26" s="6" t="s">
        <v>44</v>
      </c>
    </row>
    <row r="27" spans="1:16" ht="20.25" customHeight="1" x14ac:dyDescent="0.45">
      <c r="A27" s="7" t="s">
        <v>143</v>
      </c>
      <c r="B27" s="7" t="str">
        <f>A14</f>
        <v>2017-18</v>
      </c>
      <c r="C27" s="26">
        <f>D14</f>
        <v>64</v>
      </c>
      <c r="D27" s="19">
        <f>N14</f>
        <v>2.73947304116012E-2</v>
      </c>
      <c r="E27" s="27" t="b">
        <f>C27&gt;=MinGP_base</f>
        <v>1</v>
      </c>
      <c r="F27" s="28">
        <f>W_recent</f>
        <v>0.6</v>
      </c>
    </row>
    <row r="28" spans="1:16" ht="20.25" customHeight="1" x14ac:dyDescent="0.45">
      <c r="A28" s="7" t="s">
        <v>144</v>
      </c>
      <c r="B28" s="7" t="str">
        <f>A13</f>
        <v>2016-17</v>
      </c>
      <c r="C28" s="26">
        <f>D13</f>
        <v>81</v>
      </c>
      <c r="D28" s="19">
        <f>N13</f>
        <v>3.6754936797546698</v>
      </c>
      <c r="E28" s="27" t="b">
        <f>C28&gt;=MinGP_base</f>
        <v>1</v>
      </c>
      <c r="F28" s="28">
        <f>W_older</f>
        <v>0.4</v>
      </c>
    </row>
    <row r="30" spans="1:16" ht="20.25" customHeight="1" x14ac:dyDescent="0.45">
      <c r="A30" s="14" t="s">
        <v>145</v>
      </c>
      <c r="D30" s="29">
        <f>IF(AND(E27,E28),F27*D27+F28*D28,IF(E27,D27,IF(E28,D28,NA())))</f>
        <v>1.4866343101488286</v>
      </c>
    </row>
  </sheetData>
  <mergeCells count="2">
    <mergeCell ref="A24:P24"/>
    <mergeCell ref="A2:P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7"/>
  <sheetViews>
    <sheetView workbookViewId="0"/>
  </sheetViews>
  <sheetFormatPr defaultRowHeight="14.25" x14ac:dyDescent="0.45"/>
  <cols>
    <col min="1" max="1" width="38.9296875" customWidth="1"/>
    <col min="2" max="2" width="7.46484375" customWidth="1"/>
    <col min="3" max="3" width="10.33203125" customWidth="1"/>
    <col min="4" max="6" width="11.73046875" customWidth="1"/>
    <col min="7" max="7" width="14.59765625" customWidth="1"/>
    <col min="8" max="8" width="14.3984375" customWidth="1"/>
    <col min="9" max="9" width="12.46484375" customWidth="1"/>
    <col min="10" max="10" width="8.53125" customWidth="1"/>
    <col min="11" max="11" width="8.33203125" customWidth="1"/>
  </cols>
  <sheetData>
    <row r="1" spans="1:11" ht="22.05" customHeight="1" x14ac:dyDescent="0.45">
      <c r="A1" s="1" t="s">
        <v>798</v>
      </c>
    </row>
    <row r="2" spans="1:11" ht="53" customHeight="1" x14ac:dyDescent="0.45">
      <c r="A2" s="3" t="s">
        <v>799</v>
      </c>
      <c r="B2" s="4"/>
      <c r="C2" s="4"/>
      <c r="D2" s="4"/>
      <c r="E2" s="4"/>
      <c r="F2" s="4"/>
      <c r="G2" s="4"/>
      <c r="H2" s="4"/>
      <c r="I2" s="4"/>
    </row>
    <row r="4" spans="1:11" ht="51.75" customHeight="1" x14ac:dyDescent="0.45">
      <c r="A4" s="5" t="s">
        <v>148</v>
      </c>
      <c r="B4" s="6" t="s">
        <v>100</v>
      </c>
      <c r="C4" s="6" t="s">
        <v>101</v>
      </c>
      <c r="D4" s="6" t="s">
        <v>102</v>
      </c>
      <c r="E4" s="6" t="s">
        <v>149</v>
      </c>
      <c r="F4" s="6" t="s">
        <v>150</v>
      </c>
      <c r="G4" s="6" t="s">
        <v>105</v>
      </c>
      <c r="H4" s="6" t="s">
        <v>106</v>
      </c>
      <c r="I4" s="6" t="s">
        <v>108</v>
      </c>
      <c r="J4" s="6" t="s">
        <v>109</v>
      </c>
      <c r="K4" s="6" t="s">
        <v>151</v>
      </c>
    </row>
    <row r="5" spans="1:11" ht="20.25" customHeight="1" x14ac:dyDescent="0.45">
      <c r="A5" s="43" t="str">
        <f>'Pacioretty 1 Seasons'!$A$13</f>
        <v>2016-17</v>
      </c>
      <c r="B5" s="44">
        <f>'Pacioretty 1 Seasons'!$C$13</f>
        <v>28</v>
      </c>
      <c r="C5" s="45">
        <f>'Pacioretty 1 Seasons'!$D$13</f>
        <v>81</v>
      </c>
      <c r="D5" s="35">
        <f>'Pacioretty 1 Seasons'!$E$13</f>
        <v>1513.93333333333</v>
      </c>
      <c r="E5" s="35">
        <f>'Pacioretty 1 Seasons'!$F$13</f>
        <v>1.10342758734651</v>
      </c>
      <c r="F5" s="35">
        <f>'Pacioretty 1 Seasons'!$G$13</f>
        <v>2.0080990109260798E-2</v>
      </c>
      <c r="G5" s="35">
        <f>'Pacioretty 1 Seasons'!$H$13</f>
        <v>-0.20185761036847999</v>
      </c>
      <c r="H5" s="35">
        <f>'Pacioretty 1 Seasons'!$I$13</f>
        <v>0.13044533783707199</v>
      </c>
      <c r="I5" s="35">
        <f>'Pacioretty 1 Seasons'!$K$13</f>
        <v>2.6848288936999398</v>
      </c>
      <c r="J5" s="35">
        <f>'Pacioretty 1 Seasons'!$L$13</f>
        <v>3.6754936797546698</v>
      </c>
      <c r="K5" s="35">
        <f>'Pacioretty 1 Seasons'!$O$13</f>
        <v>3.7208701449368262</v>
      </c>
    </row>
    <row r="6" spans="1:11" ht="20.25" customHeight="1" x14ac:dyDescent="0.45">
      <c r="A6" s="43" t="str">
        <f>'Pacioretty 1 Seasons'!$A$14</f>
        <v>2017-18</v>
      </c>
      <c r="B6" s="44">
        <f>'Pacioretty 1 Seasons'!$C$14</f>
        <v>29</v>
      </c>
      <c r="C6" s="45">
        <f>'Pacioretty 1 Seasons'!$D$14</f>
        <v>64</v>
      </c>
      <c r="D6" s="35">
        <f>'Pacioretty 1 Seasons'!$E$14</f>
        <v>1176.8499999999999</v>
      </c>
      <c r="E6" s="35">
        <f>'Pacioretty 1 Seasons'!$F$14</f>
        <v>0.50972506848024102</v>
      </c>
      <c r="F6" s="35">
        <f>'Pacioretty 1 Seasons'!$G$14</f>
        <v>-0.114865978487824</v>
      </c>
      <c r="G6" s="35">
        <f>'Pacioretty 1 Seasons'!$H$14</f>
        <v>0.47193275748886898</v>
      </c>
      <c r="H6" s="35">
        <f>'Pacioretty 1 Seasons'!$I$14</f>
        <v>6.8077815652159998E-4</v>
      </c>
      <c r="I6" s="35">
        <f>'Pacioretty 1 Seasons'!$K$14</f>
        <v>-0.69678775014710503</v>
      </c>
      <c r="J6" s="35">
        <f>'Pacioretty 1 Seasons'!$L$14</f>
        <v>2.73947304116012E-2</v>
      </c>
      <c r="K6" s="35">
        <f>'Pacioretty 1 Seasons'!$O$14</f>
        <v>3.5099498339864039E-2</v>
      </c>
    </row>
    <row r="8" spans="1:11" ht="53" customHeight="1" x14ac:dyDescent="0.45">
      <c r="A8" s="3" t="s">
        <v>152</v>
      </c>
      <c r="B8" s="4"/>
      <c r="C8" s="4"/>
      <c r="D8" s="4"/>
      <c r="E8" s="4"/>
      <c r="F8" s="4"/>
      <c r="G8" s="4"/>
      <c r="H8" s="4"/>
      <c r="I8" s="4"/>
    </row>
    <row r="9" spans="1:11" ht="37.799999999999997" customHeight="1" x14ac:dyDescent="0.45">
      <c r="A9" s="5" t="s">
        <v>43</v>
      </c>
      <c r="B9" s="5"/>
      <c r="C9" s="5"/>
      <c r="D9" s="6" t="s">
        <v>153</v>
      </c>
      <c r="E9" s="6" t="s">
        <v>46</v>
      </c>
      <c r="F9" s="6" t="s">
        <v>154</v>
      </c>
      <c r="G9" s="6" t="s">
        <v>155</v>
      </c>
      <c r="H9" s="6" t="s">
        <v>156</v>
      </c>
      <c r="I9" s="6" t="s">
        <v>157</v>
      </c>
    </row>
    <row r="10" spans="1:11" ht="20.25" customHeight="1" x14ac:dyDescent="0.45">
      <c r="A10" s="7" t="s">
        <v>48</v>
      </c>
      <c r="D10" s="31">
        <f>SUM(E5:E6)/(ABS(SUM(E5:E6))+ABS(SUM(F5:F6))+ABS(SUM(G5:G6))+ABS(SUM(H5:H6))+ABS(SUM(I5:I6)))</f>
        <v>0.39372266676036688</v>
      </c>
      <c r="E10" s="30">
        <f>Settings!$D$18</f>
        <v>0.19232245234229939</v>
      </c>
      <c r="F10" s="30">
        <f>Settings!$E$18</f>
        <v>0.27941252252446019</v>
      </c>
      <c r="G10" s="19">
        <f t="shared" ref="G10:G17" si="0">(D10-E10)/F10</f>
        <v>0.72079881244562549</v>
      </c>
      <c r="H10" s="28">
        <f>Settings!$B$18</f>
        <v>0.2</v>
      </c>
      <c r="I10" s="33">
        <f t="shared" ref="I10:I17" si="1">G10*SQRT(H10)</f>
        <v>0.32235102854590802</v>
      </c>
    </row>
    <row r="11" spans="1:11" ht="20.25" customHeight="1" x14ac:dyDescent="0.45">
      <c r="A11" s="7" t="s">
        <v>50</v>
      </c>
      <c r="D11" s="31">
        <f>SUM(F5:F6)/(ABS(SUM(E5:E6))+ABS(SUM(F5:F6))+ABS(SUM(G5:G6))+ABS(SUM(H5:H6))+ABS(SUM(I5:I6)))</f>
        <v>-2.313420137794216E-2</v>
      </c>
      <c r="E11" s="30">
        <f>Settings!$D$19</f>
        <v>-6.6418963634883579E-3</v>
      </c>
      <c r="F11" s="30">
        <f>Settings!$E$19</f>
        <v>0.2400310625374871</v>
      </c>
      <c r="G11" s="19">
        <f t="shared" si="0"/>
        <v>-6.8709044738232986E-2</v>
      </c>
      <c r="H11" s="28">
        <f>Settings!$B$19</f>
        <v>0.2</v>
      </c>
      <c r="I11" s="33">
        <f t="shared" si="1"/>
        <v>-3.0727618940752641E-2</v>
      </c>
    </row>
    <row r="12" spans="1:11" ht="20.25" customHeight="1" x14ac:dyDescent="0.45">
      <c r="A12" s="7" t="s">
        <v>52</v>
      </c>
      <c r="D12" s="31">
        <f>SUM(G5:G6)/(ABS(SUM(E5:E6))+ABS(SUM(F5:F6))+ABS(SUM(G5:G6))+ABS(SUM(H5:H6))+ABS(SUM(I5:I6)))</f>
        <v>6.5917324542010408E-2</v>
      </c>
      <c r="E12" s="30">
        <f>Settings!$D$20</f>
        <v>5.3127195862295348E-2</v>
      </c>
      <c r="F12" s="30">
        <f>Settings!$E$20</f>
        <v>0.1103729332766991</v>
      </c>
      <c r="G12" s="19">
        <f t="shared" si="0"/>
        <v>0.11588102535655988</v>
      </c>
      <c r="H12" s="28">
        <f>Settings!$B$20</f>
        <v>0.2</v>
      </c>
      <c r="I12" s="33">
        <f t="shared" si="1"/>
        <v>5.1823569999928938E-2</v>
      </c>
    </row>
    <row r="13" spans="1:11" ht="20.25" customHeight="1" x14ac:dyDescent="0.45">
      <c r="A13" s="7" t="s">
        <v>54</v>
      </c>
      <c r="D13" s="31">
        <f>SUM(H5:H6)/(ABS(SUM(E5:E6))+ABS(SUM(F5:F6))+ABS(SUM(G5:G6))+ABS(SUM(H5:H6))+ABS(SUM(I5:I6)))</f>
        <v>3.2003991615082161E-2</v>
      </c>
      <c r="E13" s="30">
        <f>Settings!$D$21</f>
        <v>-2.9444757951917768E-3</v>
      </c>
      <c r="F13" s="30">
        <f>Settings!$E$21</f>
        <v>8.1318613552634561E-2</v>
      </c>
      <c r="G13" s="19">
        <f t="shared" si="0"/>
        <v>0.4297720519749525</v>
      </c>
      <c r="H13" s="28">
        <f>Settings!$B$21</f>
        <v>0.2</v>
      </c>
      <c r="I13" s="33">
        <f t="shared" si="1"/>
        <v>0.19219990460911329</v>
      </c>
    </row>
    <row r="14" spans="1:11" ht="20.25" customHeight="1" x14ac:dyDescent="0.45">
      <c r="A14" s="7" t="s">
        <v>56</v>
      </c>
      <c r="D14" s="31">
        <f>SUM(I5:I6)/(ABS(SUM(E5:E6))+ABS(SUM(F5:F6))+ABS(SUM(G5:G6))+ABS(SUM(H5:H6))+ABS(SUM(I5:I6)))</f>
        <v>0.48522181570459855</v>
      </c>
      <c r="E14" s="30">
        <f>Settings!$D$22</f>
        <v>0.24786122930332499</v>
      </c>
      <c r="F14" s="30">
        <f>Settings!$E$22</f>
        <v>0.37167162292607769</v>
      </c>
      <c r="G14" s="19">
        <f t="shared" si="0"/>
        <v>0.63862983278786001</v>
      </c>
      <c r="H14" s="28">
        <f>Settings!$B$22</f>
        <v>0.2</v>
      </c>
      <c r="I14" s="33">
        <f t="shared" si="1"/>
        <v>0.2856039437145958</v>
      </c>
    </row>
    <row r="15" spans="1:11" ht="20.25" customHeight="1" x14ac:dyDescent="0.45">
      <c r="A15" s="7" t="s">
        <v>58</v>
      </c>
      <c r="D15" s="31">
        <f>SUM(D5:D6)/SUM(C5:C6)</f>
        <v>18.557126436781587</v>
      </c>
      <c r="E15" s="30">
        <f>Settings!$D$23</f>
        <v>15.2552116048704</v>
      </c>
      <c r="F15" s="30">
        <f>Settings!$E$23</f>
        <v>2.8795457330648611</v>
      </c>
      <c r="G15" s="19">
        <f t="shared" si="0"/>
        <v>1.146679073020582</v>
      </c>
      <c r="H15" s="28">
        <f>Settings!$B$23</f>
        <v>1</v>
      </c>
      <c r="I15" s="33">
        <f t="shared" si="1"/>
        <v>1.146679073020582</v>
      </c>
    </row>
    <row r="16" spans="1:11" ht="20.25" customHeight="1" x14ac:dyDescent="0.45">
      <c r="A16" s="7" t="s">
        <v>60</v>
      </c>
      <c r="D16" s="31">
        <f>AVERAGE(K5:K6)</f>
        <v>1.8779848216383452</v>
      </c>
      <c r="E16" s="30">
        <f>Settings!$D$24</f>
        <v>1.308267917987153</v>
      </c>
      <c r="F16" s="30">
        <f>Settings!$E$24</f>
        <v>1.4464355306176659</v>
      </c>
      <c r="G16" s="19">
        <f t="shared" si="0"/>
        <v>0.39387645808721811</v>
      </c>
      <c r="H16" s="28">
        <f>Settings!$B$24</f>
        <v>1</v>
      </c>
      <c r="I16" s="33">
        <f t="shared" si="1"/>
        <v>0.39387645808721811</v>
      </c>
    </row>
    <row r="17" spans="1:9" ht="20.25" customHeight="1" x14ac:dyDescent="0.45">
      <c r="A17" s="7" t="s">
        <v>62</v>
      </c>
      <c r="D17" s="31">
        <f>(K6-K5)/(B6-B5)</f>
        <v>-3.685770646596962</v>
      </c>
      <c r="E17" s="30">
        <f>Settings!$D$25</f>
        <v>-5.3335800692820373E-2</v>
      </c>
      <c r="F17" s="30">
        <f>Settings!$E$25</f>
        <v>1.482775037943316</v>
      </c>
      <c r="G17" s="19">
        <f t="shared" si="0"/>
        <v>-2.4497545163307528</v>
      </c>
      <c r="H17" s="28">
        <f>Settings!$B$25</f>
        <v>1</v>
      </c>
      <c r="I17" s="33">
        <f t="shared" si="1"/>
        <v>-2.4497545163307528</v>
      </c>
    </row>
  </sheetData>
  <mergeCells count="2">
    <mergeCell ref="A8:I8"/>
    <mergeCell ref="A2:I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363"/>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8.53125" customWidth="1"/>
    <col min="2" max="2" width="24" customWidth="1"/>
    <col min="3" max="3" width="20.06640625" customWidth="1"/>
    <col min="4" max="4" width="7.46484375" customWidth="1"/>
    <col min="5" max="5" width="12.46484375" customWidth="1"/>
    <col min="6" max="6" width="18.46484375" customWidth="1"/>
    <col min="7" max="7" width="18.6640625" customWidth="1"/>
    <col min="8" max="8" width="15.46484375" customWidth="1"/>
    <col min="9" max="9" width="15.265625" customWidth="1"/>
    <col min="10" max="10" width="14.59765625" customWidth="1"/>
    <col min="11" max="11" width="17.06640625" customWidth="1"/>
    <col min="12" max="12" width="19" customWidth="1"/>
    <col min="13" max="13" width="21.6640625" customWidth="1"/>
    <col min="14" max="15" width="17.265625" customWidth="1"/>
    <col min="16" max="16" width="14.59765625" customWidth="1"/>
    <col min="17" max="17" width="14.3984375" customWidth="1"/>
    <col min="18" max="18" width="12.59765625" customWidth="1"/>
    <col min="19" max="19" width="15.1328125" customWidth="1"/>
    <col min="20" max="20" width="16.86328125" customWidth="1"/>
    <col min="21" max="21" width="19.73046875" customWidth="1"/>
    <col min="22" max="23" width="17.265625" customWidth="1"/>
    <col min="24" max="24" width="14.59765625" customWidth="1"/>
    <col min="25" max="25" width="14.3984375" customWidth="1"/>
    <col min="26" max="26" width="12.59765625" customWidth="1"/>
    <col min="27" max="27" width="14.9296875" customWidth="1"/>
    <col min="28" max="28" width="16.86328125" customWidth="1"/>
    <col min="29" max="29" width="19.53125" customWidth="1"/>
    <col min="30" max="30" width="12.06640625" customWidth="1"/>
    <col min="31" max="31" width="13.6640625" customWidth="1"/>
    <col min="32" max="33" width="10.1328125" customWidth="1"/>
    <col min="34" max="34" width="13.86328125" customWidth="1"/>
    <col min="35" max="35" width="15.6640625" customWidth="1"/>
    <col min="36" max="36" width="13.86328125" customWidth="1"/>
    <col min="37" max="37" width="15.6640625" customWidth="1"/>
    <col min="38" max="38" width="13.86328125" customWidth="1"/>
    <col min="39" max="39" width="15.6640625" customWidth="1"/>
    <col min="40" max="40" width="13.86328125" customWidth="1"/>
    <col min="41" max="41" width="15.6640625" customWidth="1"/>
    <col min="42" max="42" width="13.86328125" customWidth="1"/>
    <col min="43" max="43" width="15.6640625" customWidth="1"/>
  </cols>
  <sheetData>
    <row r="1" spans="1:43" ht="22.05" customHeight="1" x14ac:dyDescent="0.45">
      <c r="A1" s="1" t="s">
        <v>800</v>
      </c>
    </row>
    <row r="2" spans="1:43" ht="38" customHeight="1" x14ac:dyDescent="0.45">
      <c r="A2" s="3" t="s">
        <v>801</v>
      </c>
      <c r="B2" s="4"/>
      <c r="C2" s="4"/>
      <c r="D2" s="4"/>
      <c r="E2" s="4"/>
      <c r="F2" s="4"/>
      <c r="G2" s="4"/>
      <c r="H2" s="4"/>
      <c r="I2" s="4"/>
      <c r="J2" s="4"/>
      <c r="K2" s="4"/>
      <c r="L2" s="4"/>
      <c r="M2" s="4"/>
      <c r="N2" s="4"/>
      <c r="O2" s="4"/>
      <c r="P2" s="4"/>
      <c r="Q2" s="4"/>
      <c r="R2" s="4"/>
      <c r="S2" s="4"/>
      <c r="T2" s="4"/>
    </row>
    <row r="4" spans="1:43" ht="20" customHeight="1" x14ac:dyDescent="0.45">
      <c r="A4" s="1" t="s">
        <v>802</v>
      </c>
    </row>
    <row r="5" spans="1:43" ht="79.5" customHeight="1" x14ac:dyDescent="0.45">
      <c r="F5" s="6" t="s">
        <v>161</v>
      </c>
      <c r="G5" s="6" t="s">
        <v>162</v>
      </c>
      <c r="H5" s="6" t="s">
        <v>163</v>
      </c>
      <c r="I5" s="6" t="s">
        <v>164</v>
      </c>
      <c r="J5" s="6" t="s">
        <v>165</v>
      </c>
      <c r="K5" s="6" t="s">
        <v>166</v>
      </c>
      <c r="L5" s="6" t="s">
        <v>167</v>
      </c>
      <c r="M5" s="6" t="s">
        <v>168</v>
      </c>
    </row>
    <row r="6" spans="1:43" ht="20" customHeight="1" x14ac:dyDescent="0.45">
      <c r="F6" s="35">
        <f>'Pacioretty 2 Profile'!$G$10</f>
        <v>0.72079881244562549</v>
      </c>
      <c r="G6" s="35">
        <f>'Pacioretty 2 Profile'!$G$11</f>
        <v>-6.8709044738232986E-2</v>
      </c>
      <c r="H6" s="35">
        <f>'Pacioretty 2 Profile'!$G$12</f>
        <v>0.11588102535655988</v>
      </c>
      <c r="I6" s="35">
        <f>'Pacioretty 2 Profile'!$G$13</f>
        <v>0.4297720519749525</v>
      </c>
      <c r="J6" s="35">
        <f>'Pacioretty 2 Profile'!$G$14</f>
        <v>0.63862983278786001</v>
      </c>
      <c r="K6" s="35">
        <f>'Pacioretty 2 Profile'!$G$15</f>
        <v>1.146679073020582</v>
      </c>
      <c r="L6" s="35">
        <f>'Pacioretty 2 Profile'!$G$16</f>
        <v>0.39387645808721811</v>
      </c>
      <c r="M6" s="35">
        <f>'Pacioretty 2 Profile'!$G$17</f>
        <v>-2.4497545163307528</v>
      </c>
    </row>
    <row r="7" spans="1:43" ht="20" customHeight="1" x14ac:dyDescent="0.45">
      <c r="A7" s="49" t="s">
        <v>169</v>
      </c>
      <c r="E7" s="19">
        <f>SUM($AF$11:$AF$363)</f>
        <v>169.62143424554614</v>
      </c>
      <c r="G7" s="49" t="s">
        <v>170</v>
      </c>
      <c r="K7" s="34">
        <f>SUM($AF$11:$AF$15)/E7</f>
        <v>2.7971662558745024E-2</v>
      </c>
    </row>
    <row r="8" spans="1:43" ht="20" customHeight="1" x14ac:dyDescent="0.45">
      <c r="A8" s="49" t="s">
        <v>171</v>
      </c>
      <c r="E8" s="50">
        <f>SUM($AF$11:$AF$363)^2/SUMPRODUCT($AF$11:$AF$363,$AF$11:$AF$363)</f>
        <v>295.59959394641203</v>
      </c>
      <c r="G8" s="49" t="s">
        <v>172</v>
      </c>
      <c r="K8" s="34">
        <f>SUMPRODUCT($AF$11:$AF$363,$E$11:$E$363)/E7</f>
        <v>0.69109693832733388</v>
      </c>
    </row>
    <row r="10" spans="1:43" ht="79.5" customHeight="1" x14ac:dyDescent="0.45">
      <c r="A10" s="6" t="s">
        <v>173</v>
      </c>
      <c r="B10" s="5" t="s">
        <v>174</v>
      </c>
      <c r="C10" s="5" t="s">
        <v>175</v>
      </c>
      <c r="D10" s="6" t="s">
        <v>100</v>
      </c>
      <c r="E10" s="6" t="s">
        <v>176</v>
      </c>
      <c r="F10" s="6" t="s">
        <v>177</v>
      </c>
      <c r="G10" s="6" t="s">
        <v>178</v>
      </c>
      <c r="H10" s="6" t="s">
        <v>179</v>
      </c>
      <c r="I10" s="6" t="s">
        <v>180</v>
      </c>
      <c r="J10" s="6" t="s">
        <v>181</v>
      </c>
      <c r="K10" s="6" t="s">
        <v>182</v>
      </c>
      <c r="L10" s="6" t="s">
        <v>183</v>
      </c>
      <c r="M10" s="6" t="s">
        <v>184</v>
      </c>
      <c r="N10" s="6" t="s">
        <v>185</v>
      </c>
      <c r="O10" s="6" t="s">
        <v>186</v>
      </c>
      <c r="P10" s="6" t="s">
        <v>187</v>
      </c>
      <c r="Q10" s="6" t="s">
        <v>188</v>
      </c>
      <c r="R10" s="6" t="s">
        <v>189</v>
      </c>
      <c r="S10" s="6" t="s">
        <v>190</v>
      </c>
      <c r="T10" s="6" t="s">
        <v>191</v>
      </c>
      <c r="U10" s="6" t="s">
        <v>192</v>
      </c>
      <c r="V10" s="6" t="s">
        <v>193</v>
      </c>
      <c r="W10" s="6" t="s">
        <v>194</v>
      </c>
      <c r="X10" s="6" t="s">
        <v>195</v>
      </c>
      <c r="Y10" s="6" t="s">
        <v>196</v>
      </c>
      <c r="Z10" s="6" t="s">
        <v>197</v>
      </c>
      <c r="AA10" s="6" t="s">
        <v>198</v>
      </c>
      <c r="AB10" s="6" t="s">
        <v>199</v>
      </c>
      <c r="AC10" s="6" t="s">
        <v>200</v>
      </c>
      <c r="AD10" s="6" t="s">
        <v>77</v>
      </c>
      <c r="AE10" s="6" t="s">
        <v>201</v>
      </c>
      <c r="AF10" s="6" t="s">
        <v>44</v>
      </c>
      <c r="AG10" s="6" t="s">
        <v>202</v>
      </c>
      <c r="AH10" s="6" t="s">
        <v>207</v>
      </c>
      <c r="AI10" s="6" t="s">
        <v>204</v>
      </c>
      <c r="AJ10" s="6" t="s">
        <v>208</v>
      </c>
      <c r="AK10" s="6" t="s">
        <v>204</v>
      </c>
      <c r="AL10" s="6" t="s">
        <v>803</v>
      </c>
      <c r="AM10" s="6" t="s">
        <v>204</v>
      </c>
      <c r="AN10" s="6" t="s">
        <v>804</v>
      </c>
      <c r="AO10" s="6" t="s">
        <v>204</v>
      </c>
      <c r="AP10" s="6" t="s">
        <v>805</v>
      </c>
      <c r="AQ10" s="6" t="s">
        <v>204</v>
      </c>
    </row>
    <row r="11" spans="1:43" ht="20" customHeight="1" x14ac:dyDescent="0.45">
      <c r="A11" s="26">
        <v>1</v>
      </c>
      <c r="B11" s="16" t="s">
        <v>806</v>
      </c>
      <c r="C11" s="16" t="s">
        <v>271</v>
      </c>
      <c r="D11" s="46">
        <v>29</v>
      </c>
      <c r="E11" s="46">
        <v>1</v>
      </c>
      <c r="F11" s="13">
        <v>0.50471126663033006</v>
      </c>
      <c r="G11" s="13">
        <v>-2.4428200937712759E-2</v>
      </c>
      <c r="H11" s="13">
        <v>-5.4627037181076456E-3</v>
      </c>
      <c r="I11" s="13">
        <v>-1.650767956611337E-5</v>
      </c>
      <c r="J11" s="13">
        <v>0.46538132103428348</v>
      </c>
      <c r="K11" s="13">
        <v>17.924786324786279</v>
      </c>
      <c r="L11" s="13">
        <v>2.2155908359504219</v>
      </c>
      <c r="M11" s="13">
        <v>-3.1793281857969382</v>
      </c>
      <c r="N11" s="19">
        <f>(F11-Settings!$D$18)/Settings!$E$18</f>
        <v>1.1180200925342696</v>
      </c>
      <c r="O11" s="19">
        <f>(G11-Settings!$D$19)/Settings!$E$19</f>
        <v>-7.4100011832621063E-2</v>
      </c>
      <c r="P11" s="19">
        <f>(H11-Settings!$D$20)/Settings!$E$20</f>
        <v>-0.53083575692893126</v>
      </c>
      <c r="Q11" s="19">
        <f>(I11-Settings!$D$21)/Settings!$E$21</f>
        <v>3.6006124400171889E-2</v>
      </c>
      <c r="R11" s="19">
        <f>(J11-Settings!$D$22)/Settings!$E$22</f>
        <v>0.58524804777528405</v>
      </c>
      <c r="S11" s="19">
        <f>(K11-Settings!$D$23)/Settings!$E$23</f>
        <v>0.92708189672490515</v>
      </c>
      <c r="T11" s="19">
        <f>(L11-Settings!$D$24)/Settings!$E$24</f>
        <v>0.62728196228408339</v>
      </c>
      <c r="U11" s="19">
        <f>(M11-Settings!$D$25)/Settings!$E$25</f>
        <v>-2.1082040802629289</v>
      </c>
      <c r="V11" s="31">
        <f>Settings!$B$18*(N11-F$6)^2</f>
        <v>3.1556949071052214E-2</v>
      </c>
      <c r="W11" s="31">
        <f>Settings!$B$19*(O11-G$6)^2</f>
        <v>5.8125052425550056E-6</v>
      </c>
      <c r="X11" s="31">
        <f>Settings!$B$20*(P11-H$6)^2</f>
        <v>8.3648519297939872E-2</v>
      </c>
      <c r="Y11" s="31">
        <f>Settings!$B$21*(Q11-I$6)^2</f>
        <v>3.1010321143765479E-2</v>
      </c>
      <c r="Z11" s="31">
        <f>Settings!$B$22*(R11-J$6)^2</f>
        <v>5.6992299422577587E-4</v>
      </c>
      <c r="AA11" s="31">
        <f>Settings!$B$23*(S11-K$6)^2</f>
        <v>4.822291983703459E-2</v>
      </c>
      <c r="AB11" s="31">
        <f>Settings!$B$24*(T11-L$6)^2</f>
        <v>5.44781293893929E-2</v>
      </c>
      <c r="AC11" s="31">
        <f>Settings!$B$25*(U11-M$6)^2</f>
        <v>0.11665670037812065</v>
      </c>
      <c r="AD11" s="19">
        <f t="shared" ref="AD11:AD74" si="0">SQRT(SUM(V11:AC11))</f>
        <v>0.605102697578497</v>
      </c>
      <c r="AE11" s="15">
        <f t="shared" ref="AE11:AE74" si="1">AD11/Yardstick</f>
        <v>0.23951061796662129</v>
      </c>
      <c r="AF11" s="33">
        <f t="shared" ref="AF11:AF74" si="2">EXP(-(AD11^2)/(2*Yardstick^2))</f>
        <v>0.97172477485420727</v>
      </c>
      <c r="AG11" s="47">
        <f t="shared" ref="AG11:AG74" si="3">AF11/$E$7</f>
        <v>5.7287852751411487E-3</v>
      </c>
      <c r="AH11" s="18">
        <v>-0.94411257419467098</v>
      </c>
      <c r="AI11" s="46">
        <v>1</v>
      </c>
      <c r="AJ11" s="18">
        <v>0.36289138566330692</v>
      </c>
      <c r="AK11" s="46">
        <v>1</v>
      </c>
      <c r="AL11" s="18">
        <v>3.8125903973124098E-2</v>
      </c>
      <c r="AM11" s="46">
        <v>1</v>
      </c>
      <c r="AN11" s="18">
        <v>-0.7996525820013014</v>
      </c>
      <c r="AO11" s="46">
        <v>1</v>
      </c>
      <c r="AP11" s="18">
        <v>-0.2547585096746412</v>
      </c>
      <c r="AQ11" s="46">
        <v>1</v>
      </c>
    </row>
    <row r="12" spans="1:43" ht="20" customHeight="1" x14ac:dyDescent="0.45">
      <c r="A12" s="26">
        <v>2</v>
      </c>
      <c r="B12" s="16" t="s">
        <v>490</v>
      </c>
      <c r="C12" s="16" t="s">
        <v>214</v>
      </c>
      <c r="D12" s="46">
        <v>29</v>
      </c>
      <c r="E12" s="46">
        <v>1</v>
      </c>
      <c r="F12" s="13">
        <v>0.1658728435809082</v>
      </c>
      <c r="G12" s="13">
        <v>-0.19617836673788139</v>
      </c>
      <c r="H12" s="13">
        <v>0.1043412604630739</v>
      </c>
      <c r="I12" s="13">
        <v>8.0123495238214267E-5</v>
      </c>
      <c r="J12" s="13">
        <v>0.53352740572289836</v>
      </c>
      <c r="K12" s="13">
        <v>18.24285714285714</v>
      </c>
      <c r="L12" s="13">
        <v>2.2242500027298071</v>
      </c>
      <c r="M12" s="13">
        <v>-2.8813534935110061</v>
      </c>
      <c r="N12" s="19">
        <f>(F12-Settings!$D$18)/Settings!$E$18</f>
        <v>-9.4661500932105666E-2</v>
      </c>
      <c r="O12" s="19">
        <f>(G12-Settings!$D$19)/Settings!$E$19</f>
        <v>-0.78963309319514419</v>
      </c>
      <c r="P12" s="19">
        <f>(H12-Settings!$D$20)/Settings!$E$20</f>
        <v>0.46400927365396377</v>
      </c>
      <c r="Q12" s="19">
        <f>(I12-Settings!$D$21)/Settings!$E$21</f>
        <v>3.7194427675187533E-2</v>
      </c>
      <c r="R12" s="19">
        <f>(J12-Settings!$D$22)/Settings!$E$22</f>
        <v>0.76859829698752635</v>
      </c>
      <c r="S12" s="19">
        <f>(K12-Settings!$D$23)/Settings!$E$23</f>
        <v>1.0375405758209031</v>
      </c>
      <c r="T12" s="19">
        <f>(L12-Settings!$D$24)/Settings!$E$24</f>
        <v>0.63326851792108951</v>
      </c>
      <c r="U12" s="19">
        <f>(M12-Settings!$D$25)/Settings!$E$25</f>
        <v>-1.9072466290913486</v>
      </c>
      <c r="V12" s="31">
        <f>Settings!$B$18*(N12-F$6)^2</f>
        <v>0.13299510453882152</v>
      </c>
      <c r="W12" s="31">
        <f>Settings!$B$19*(O12-G$6)^2</f>
        <v>0.10394629672870055</v>
      </c>
      <c r="X12" s="31">
        <f>Settings!$B$20*(P12-H$6)^2</f>
        <v>2.423865545252378E-2</v>
      </c>
      <c r="Y12" s="31">
        <f>Settings!$B$21*(Q12-I$6)^2</f>
        <v>3.0823438220169481E-2</v>
      </c>
      <c r="Z12" s="31">
        <f>Settings!$B$22*(R12-J$6)^2</f>
        <v>3.3783603372839911E-3</v>
      </c>
      <c r="AA12" s="31">
        <f>Settings!$B$23*(S12-K$6)^2</f>
        <v>1.1911211571004329E-2</v>
      </c>
      <c r="AB12" s="31">
        <f>Settings!$B$24*(T12-L$6)^2</f>
        <v>5.7308558311503867E-2</v>
      </c>
      <c r="AC12" s="31">
        <f>Settings!$B$25*(U12-M$6)^2</f>
        <v>0.29431480771696217</v>
      </c>
      <c r="AD12" s="19">
        <f t="shared" si="0"/>
        <v>0.81173667705541652</v>
      </c>
      <c r="AE12" s="15">
        <f t="shared" si="1"/>
        <v>0.32130009323333647</v>
      </c>
      <c r="AF12" s="33">
        <f t="shared" si="2"/>
        <v>0.94969264818930998</v>
      </c>
      <c r="AG12" s="47">
        <f t="shared" si="3"/>
        <v>5.5988952835673046E-3</v>
      </c>
      <c r="AH12" s="48"/>
      <c r="AI12" s="48"/>
      <c r="AJ12" s="48"/>
      <c r="AK12" s="48"/>
      <c r="AL12" s="48"/>
      <c r="AM12" s="48"/>
      <c r="AN12" s="48"/>
      <c r="AO12" s="48"/>
      <c r="AP12" s="48"/>
      <c r="AQ12" s="48"/>
    </row>
    <row r="13" spans="1:43" ht="20" customHeight="1" x14ac:dyDescent="0.45">
      <c r="A13" s="26">
        <v>3</v>
      </c>
      <c r="B13" s="16" t="s">
        <v>304</v>
      </c>
      <c r="C13" s="16" t="s">
        <v>227</v>
      </c>
      <c r="D13" s="46">
        <v>29</v>
      </c>
      <c r="E13" s="46">
        <v>0</v>
      </c>
      <c r="F13" s="13">
        <v>0.49463714381143598</v>
      </c>
      <c r="G13" s="13">
        <v>-4.7035605152738108E-2</v>
      </c>
      <c r="H13" s="13">
        <v>0.13639287364888639</v>
      </c>
      <c r="I13" s="13">
        <v>9.6100951071654867E-4</v>
      </c>
      <c r="J13" s="13">
        <v>0.32097336787622288</v>
      </c>
      <c r="K13" s="13">
        <v>17.555057471264409</v>
      </c>
      <c r="L13" s="13">
        <v>2.4298441024842732</v>
      </c>
      <c r="M13" s="13">
        <v>-2.9104119276385712</v>
      </c>
      <c r="N13" s="19">
        <f>(F13-Settings!$D$18)/Settings!$E$18</f>
        <v>1.0819654349696211</v>
      </c>
      <c r="O13" s="19">
        <f>(G13-Settings!$D$19)/Settings!$E$19</f>
        <v>-0.16828533924829508</v>
      </c>
      <c r="P13" s="19">
        <f>(H13-Settings!$D$20)/Settings!$E$20</f>
        <v>0.75440305258399165</v>
      </c>
      <c r="Q13" s="19">
        <f>(I13-Settings!$D$21)/Settings!$E$21</f>
        <v>4.8026953919725252E-2</v>
      </c>
      <c r="R13" s="19">
        <f>(J13-Settings!$D$22)/Settings!$E$22</f>
        <v>0.19671165099262708</v>
      </c>
      <c r="S13" s="19">
        <f>(K13-Settings!$D$23)/Settings!$E$23</f>
        <v>0.7986835701151217</v>
      </c>
      <c r="T13" s="19">
        <f>(L13-Settings!$D$24)/Settings!$E$24</f>
        <v>0.77540696474607318</v>
      </c>
      <c r="U13" s="19">
        <f>(M13-Settings!$D$25)/Settings!$E$25</f>
        <v>-1.9268439607053678</v>
      </c>
      <c r="V13" s="31">
        <f>Settings!$B$18*(N13-F$6)^2</f>
        <v>2.6088265845078059E-2</v>
      </c>
      <c r="W13" s="31">
        <f>Settings!$B$19*(O13-G$6)^2</f>
        <v>1.9830876856709247E-3</v>
      </c>
      <c r="X13" s="31">
        <f>Settings!$B$20*(P13-H$6)^2</f>
        <v>8.1542075850925835E-2</v>
      </c>
      <c r="Y13" s="31">
        <f>Settings!$B$21*(Q13-I$6)^2</f>
        <v>2.9145863977839016E-2</v>
      </c>
      <c r="Z13" s="31">
        <f>Settings!$B$22*(R13-J$6)^2</f>
        <v>3.9058335880240908E-2</v>
      </c>
      <c r="AA13" s="31">
        <f>Settings!$B$23*(S13-K$6)^2</f>
        <v>0.12110087004242424</v>
      </c>
      <c r="AB13" s="31">
        <f>Settings!$B$24*(T13-L$6)^2</f>
        <v>0.14556552751136265</v>
      </c>
      <c r="AC13" s="31">
        <f>Settings!$B$25*(U13-M$6)^2</f>
        <v>0.2734354491844489</v>
      </c>
      <c r="AD13" s="19">
        <f t="shared" si="0"/>
        <v>0.84730128996596632</v>
      </c>
      <c r="AE13" s="15">
        <f t="shared" si="1"/>
        <v>0.33537721179525543</v>
      </c>
      <c r="AF13" s="33">
        <f t="shared" si="2"/>
        <v>0.94531323850402793</v>
      </c>
      <c r="AG13" s="47">
        <f t="shared" si="3"/>
        <v>5.5730765554993511E-3</v>
      </c>
      <c r="AH13" s="18">
        <v>-1.276116811163027</v>
      </c>
      <c r="AI13" s="46">
        <v>0</v>
      </c>
      <c r="AJ13" s="18">
        <v>0.98751932412942667</v>
      </c>
      <c r="AK13" s="46">
        <v>0</v>
      </c>
      <c r="AL13" s="18">
        <v>0.28040779970043239</v>
      </c>
      <c r="AM13" s="46">
        <v>0</v>
      </c>
      <c r="AN13" s="18">
        <v>-0.78490648803165231</v>
      </c>
      <c r="AO13" s="46">
        <v>1</v>
      </c>
      <c r="AP13" s="18">
        <v>-0.31259307878145842</v>
      </c>
      <c r="AQ13" s="46">
        <v>1</v>
      </c>
    </row>
    <row r="14" spans="1:43" ht="20" customHeight="1" x14ac:dyDescent="0.45">
      <c r="A14" s="26">
        <v>4</v>
      </c>
      <c r="B14" s="16" t="s">
        <v>310</v>
      </c>
      <c r="C14" s="16" t="s">
        <v>220</v>
      </c>
      <c r="D14" s="46">
        <v>29</v>
      </c>
      <c r="E14" s="46">
        <v>1</v>
      </c>
      <c r="F14" s="13">
        <v>0.51429570538712033</v>
      </c>
      <c r="G14" s="13">
        <v>7.8423736184903114E-2</v>
      </c>
      <c r="H14" s="13">
        <v>0.2115096893873008</v>
      </c>
      <c r="I14" s="13">
        <v>5.2225331743713341E-2</v>
      </c>
      <c r="J14" s="13">
        <v>0.1435455372969624</v>
      </c>
      <c r="K14" s="13">
        <v>19.096171171171179</v>
      </c>
      <c r="L14" s="13">
        <v>2.128140005528945</v>
      </c>
      <c r="M14" s="13">
        <v>-3.3286558038746308</v>
      </c>
      <c r="N14" s="19">
        <f>(F14-Settings!$D$18)/Settings!$E$18</f>
        <v>1.152322201366744</v>
      </c>
      <c r="O14" s="19">
        <f>(G14-Settings!$D$19)/Settings!$E$19</f>
        <v>0.35439426734657004</v>
      </c>
      <c r="P14" s="19">
        <f>(H14-Settings!$D$20)/Settings!$E$20</f>
        <v>1.4349758480002421</v>
      </c>
      <c r="Q14" s="19">
        <f>(I14-Settings!$D$21)/Settings!$E$21</f>
        <v>0.67844009051132825</v>
      </c>
      <c r="R14" s="19">
        <f>(J14-Settings!$D$22)/Settings!$E$22</f>
        <v>-0.28066628058690962</v>
      </c>
      <c r="S14" s="19">
        <f>(K14-Settings!$D$23)/Settings!$E$23</f>
        <v>1.3338769105822226</v>
      </c>
      <c r="T14" s="19">
        <f>(L14-Settings!$D$24)/Settings!$E$24</f>
        <v>0.56682241979473846</v>
      </c>
      <c r="U14" s="19">
        <f>(M14-Settings!$D$25)/Settings!$E$25</f>
        <v>-2.2089122890312782</v>
      </c>
      <c r="V14" s="31">
        <f>Settings!$B$18*(N14-F$6)^2</f>
        <v>3.7242487037193385E-2</v>
      </c>
      <c r="W14" s="31">
        <f>Settings!$B$19*(O14-G$6)^2</f>
        <v>3.5803282539426044E-2</v>
      </c>
      <c r="X14" s="31">
        <f>Settings!$B$20*(P14-H$6)^2</f>
        <v>0.34800223022507354</v>
      </c>
      <c r="Y14" s="31">
        <f>Settings!$B$21*(Q14-I$6)^2</f>
        <v>1.2367158677905693E-2</v>
      </c>
      <c r="Z14" s="31">
        <f>Settings!$B$22*(R14-J$6)^2</f>
        <v>0.16902106881319148</v>
      </c>
      <c r="AA14" s="31">
        <f>Settings!$B$23*(S14-K$6)^2</f>
        <v>3.5043030387754359E-2</v>
      </c>
      <c r="AB14" s="31">
        <f>Settings!$B$24*(T14-L$6)^2</f>
        <v>2.9910305670939098E-2</v>
      </c>
      <c r="AC14" s="31">
        <f>Settings!$B$25*(U14-M$6)^2</f>
        <v>5.800497845057178E-2</v>
      </c>
      <c r="AD14" s="19">
        <f t="shared" si="0"/>
        <v>0.85170096970829812</v>
      </c>
      <c r="AE14" s="15">
        <f t="shared" si="1"/>
        <v>0.33711868480166918</v>
      </c>
      <c r="AF14" s="33">
        <f t="shared" si="2"/>
        <v>0.9447598565632952</v>
      </c>
      <c r="AG14" s="47">
        <f t="shared" si="3"/>
        <v>5.5698141025953647E-3</v>
      </c>
      <c r="AH14" s="48"/>
      <c r="AI14" s="48"/>
      <c r="AJ14" s="48"/>
      <c r="AK14" s="48"/>
      <c r="AL14" s="18">
        <v>0.38046466951184449</v>
      </c>
      <c r="AM14" s="46">
        <v>1</v>
      </c>
      <c r="AN14" s="18">
        <v>0.52577889032425817</v>
      </c>
      <c r="AO14" s="46">
        <v>1</v>
      </c>
      <c r="AP14" s="48"/>
      <c r="AQ14" s="48"/>
    </row>
    <row r="15" spans="1:43" ht="20" customHeight="1" x14ac:dyDescent="0.45">
      <c r="A15" s="26">
        <v>5</v>
      </c>
      <c r="B15" s="16" t="s">
        <v>376</v>
      </c>
      <c r="C15" s="16" t="s">
        <v>220</v>
      </c>
      <c r="D15" s="46">
        <v>29</v>
      </c>
      <c r="E15" s="46">
        <v>1</v>
      </c>
      <c r="F15" s="13">
        <v>0.21726826664764121</v>
      </c>
      <c r="G15" s="13">
        <v>-0.16760944921500601</v>
      </c>
      <c r="H15" s="13">
        <v>9.3751852142525127E-2</v>
      </c>
      <c r="I15" s="13">
        <v>3.6810508585530921E-2</v>
      </c>
      <c r="J15" s="13">
        <v>0.48455992340929682</v>
      </c>
      <c r="K15" s="13">
        <v>16.263359788359821</v>
      </c>
      <c r="L15" s="13">
        <v>1.971695984319759</v>
      </c>
      <c r="M15" s="13">
        <v>-3.26764845203502</v>
      </c>
      <c r="N15" s="19">
        <f>(F15-Settings!$D$18)/Settings!$E$18</f>
        <v>8.927951431796699E-2</v>
      </c>
      <c r="O15" s="19">
        <f>(G15-Settings!$D$19)/Settings!$E$19</f>
        <v>-0.67061134150659507</v>
      </c>
      <c r="P15" s="19">
        <f>(H15-Settings!$D$20)/Settings!$E$20</f>
        <v>0.36806719794594855</v>
      </c>
      <c r="Q15" s="19">
        <f>(I15-Settings!$D$21)/Settings!$E$21</f>
        <v>0.48887926938142828</v>
      </c>
      <c r="R15" s="19">
        <f>(J15-Settings!$D$22)/Settings!$E$22</f>
        <v>0.63684898040507432</v>
      </c>
      <c r="S15" s="19">
        <f>(K15-Settings!$D$23)/Settings!$E$23</f>
        <v>0.35010667547772995</v>
      </c>
      <c r="T15" s="19">
        <f>(L15-Settings!$D$24)/Settings!$E$24</f>
        <v>0.4586641106979063</v>
      </c>
      <c r="U15" s="19">
        <f>(M15-Settings!$D$25)/Settings!$E$25</f>
        <v>-2.1677682514810974</v>
      </c>
      <c r="V15" s="31">
        <f>Settings!$B$18*(N15-F$6)^2</f>
        <v>7.9763324781530087E-2</v>
      </c>
      <c r="W15" s="31">
        <f>Settings!$B$19*(O15-G$6)^2</f>
        <v>7.2457274971005875E-2</v>
      </c>
      <c r="X15" s="31">
        <f>Settings!$B$20*(P15-H$6)^2</f>
        <v>1.2719573129056989E-2</v>
      </c>
      <c r="Y15" s="31">
        <f>Settings!$B$21*(Q15-I$6)^2</f>
        <v>6.9873262990727888E-4</v>
      </c>
      <c r="Z15" s="31">
        <f>Settings!$B$22*(R15-J$6)^2</f>
        <v>6.3428704185469511E-7</v>
      </c>
      <c r="AA15" s="31">
        <f>Settings!$B$23*(S15-K$6)^2</f>
        <v>0.63452758452716751</v>
      </c>
      <c r="AB15" s="31">
        <f>Settings!$B$24*(T15-L$6)^2</f>
        <v>4.197439930803213E-3</v>
      </c>
      <c r="AC15" s="31">
        <f>Settings!$B$25*(U15-M$6)^2</f>
        <v>7.9516253563859995E-2</v>
      </c>
      <c r="AD15" s="19">
        <f t="shared" si="0"/>
        <v>0.94014935931498289</v>
      </c>
      <c r="AE15" s="15">
        <f t="shared" si="1"/>
        <v>0.37212816094121559</v>
      </c>
      <c r="AF15" s="33">
        <f t="shared" si="2"/>
        <v>0.93310300333593366</v>
      </c>
      <c r="AG15" s="47">
        <f t="shared" si="3"/>
        <v>5.5010913419418555E-3</v>
      </c>
      <c r="AH15" s="18">
        <v>0.5387100462032155</v>
      </c>
      <c r="AI15" s="46">
        <v>1</v>
      </c>
      <c r="AJ15" s="18">
        <v>1.155968981624528</v>
      </c>
      <c r="AK15" s="46">
        <v>1</v>
      </c>
      <c r="AL15" s="18">
        <v>-1.0027110814642519</v>
      </c>
      <c r="AM15" s="46">
        <v>1</v>
      </c>
      <c r="AN15" s="18">
        <v>-0.51839931877969248</v>
      </c>
      <c r="AO15" s="46">
        <v>1</v>
      </c>
      <c r="AP15" s="48"/>
      <c r="AQ15" s="48"/>
    </row>
    <row r="16" spans="1:43" ht="20" customHeight="1" x14ac:dyDescent="0.45">
      <c r="A16" s="26">
        <v>6</v>
      </c>
      <c r="B16" s="16" t="s">
        <v>381</v>
      </c>
      <c r="C16" s="16" t="s">
        <v>224</v>
      </c>
      <c r="D16" s="46">
        <v>29</v>
      </c>
      <c r="E16" s="46">
        <v>0</v>
      </c>
      <c r="F16" s="13">
        <v>8.9458753929776119E-2</v>
      </c>
      <c r="G16" s="13">
        <v>8.042621626427926E-2</v>
      </c>
      <c r="H16" s="13">
        <v>8.409869109543619E-2</v>
      </c>
      <c r="I16" s="13">
        <v>2.7454675053522168E-3</v>
      </c>
      <c r="J16" s="13">
        <v>0.74327087120515622</v>
      </c>
      <c r="K16" s="13">
        <v>17.27567287784683</v>
      </c>
      <c r="L16" s="13">
        <v>1.420607757931158</v>
      </c>
      <c r="M16" s="13">
        <v>-2.4711660090495342</v>
      </c>
      <c r="N16" s="19">
        <f>(F16-Settings!$D$18)/Settings!$E$18</f>
        <v>-0.36814276426540055</v>
      </c>
      <c r="O16" s="19">
        <f>(G16-Settings!$D$19)/Settings!$E$19</f>
        <v>0.36273685458593369</v>
      </c>
      <c r="P16" s="19">
        <f>(H16-Settings!$D$20)/Settings!$E$20</f>
        <v>0.28060770257411699</v>
      </c>
      <c r="Q16" s="19">
        <f>(I16-Settings!$D$21)/Settings!$E$21</f>
        <v>6.9970982681118898E-2</v>
      </c>
      <c r="R16" s="19">
        <f>(J16-Settings!$D$22)/Settings!$E$22</f>
        <v>1.3329229657125692</v>
      </c>
      <c r="S16" s="19">
        <f>(K16-Settings!$D$23)/Settings!$E$23</f>
        <v>0.70165972701046164</v>
      </c>
      <c r="T16" s="19">
        <f>(L16-Settings!$D$24)/Settings!$E$24</f>
        <v>7.7666676160833059E-2</v>
      </c>
      <c r="U16" s="19">
        <f>(M16-Settings!$D$25)/Settings!$E$25</f>
        <v>-1.6306116211063053</v>
      </c>
      <c r="V16" s="31">
        <f>Settings!$B$18*(N16-F$6)^2</f>
        <v>0.23715875149797908</v>
      </c>
      <c r="W16" s="31">
        <f>Settings!$B$19*(O16-G$6)^2</f>
        <v>3.7229112808727788E-2</v>
      </c>
      <c r="X16" s="31">
        <f>Settings!$B$20*(P16-H$6)^2</f>
        <v>5.4269756374274516E-3</v>
      </c>
      <c r="Y16" s="31">
        <f>Settings!$B$21*(Q16-I$6)^2</f>
        <v>2.5891361892997213E-2</v>
      </c>
      <c r="Z16" s="31">
        <f>Settings!$B$22*(R16-J$6)^2</f>
        <v>9.6408590885281586E-2</v>
      </c>
      <c r="AA16" s="31">
        <f>Settings!$B$23*(S16-K$6)^2</f>
        <v>0.19804221832327526</v>
      </c>
      <c r="AB16" s="31">
        <f>Settings!$B$24*(T16-L$6)^2</f>
        <v>9.9988626185931989E-2</v>
      </c>
      <c r="AC16" s="31">
        <f>Settings!$B$25*(U16-M$6)^2</f>
        <v>0.67099508279669018</v>
      </c>
      <c r="AD16" s="19">
        <f t="shared" si="0"/>
        <v>1.1709571811250445</v>
      </c>
      <c r="AE16" s="15">
        <f t="shared" si="1"/>
        <v>0.46348608126528812</v>
      </c>
      <c r="AF16" s="33">
        <f t="shared" si="2"/>
        <v>0.89815764598705694</v>
      </c>
      <c r="AG16" s="47">
        <f t="shared" si="3"/>
        <v>5.2950716398664126E-3</v>
      </c>
      <c r="AH16" s="18">
        <v>-0.86612501217575522</v>
      </c>
      <c r="AI16" s="46">
        <v>0</v>
      </c>
      <c r="AJ16" s="18">
        <v>-0.69049790384857723</v>
      </c>
      <c r="AK16" s="46">
        <v>1</v>
      </c>
      <c r="AL16" s="18">
        <v>-0.48354323559548279</v>
      </c>
      <c r="AM16" s="46">
        <v>1</v>
      </c>
      <c r="AN16" s="18">
        <v>0.8271059965812777</v>
      </c>
      <c r="AO16" s="46">
        <v>1</v>
      </c>
      <c r="AP16" s="18">
        <v>0.64609506482839207</v>
      </c>
      <c r="AQ16" s="46">
        <v>1</v>
      </c>
    </row>
    <row r="17" spans="1:43" ht="20" customHeight="1" x14ac:dyDescent="0.45">
      <c r="A17" s="26">
        <v>7</v>
      </c>
      <c r="B17" s="16" t="s">
        <v>261</v>
      </c>
      <c r="C17" s="16" t="s">
        <v>229</v>
      </c>
      <c r="D17" s="46">
        <v>29</v>
      </c>
      <c r="E17" s="46">
        <v>1</v>
      </c>
      <c r="F17" s="13">
        <v>0.4350774640242272</v>
      </c>
      <c r="G17" s="13">
        <v>-0.26705257840532282</v>
      </c>
      <c r="H17" s="13">
        <v>0.13320050841900929</v>
      </c>
      <c r="I17" s="13">
        <v>-7.7017827035308559E-3</v>
      </c>
      <c r="J17" s="13">
        <v>0.15696766644790991</v>
      </c>
      <c r="K17" s="13">
        <v>18.840269151138699</v>
      </c>
      <c r="L17" s="13">
        <v>0.98239461874948053</v>
      </c>
      <c r="M17" s="13">
        <v>-2.5128775627292188</v>
      </c>
      <c r="N17" s="19">
        <f>(F17-Settings!$D$18)/Settings!$E$18</f>
        <v>0.86880505386324147</v>
      </c>
      <c r="O17" s="19">
        <f>(G17-Settings!$D$19)/Settings!$E$19</f>
        <v>-1.0849040923658144</v>
      </c>
      <c r="P17" s="19">
        <f>(H17-Settings!$D$20)/Settings!$E$20</f>
        <v>0.725479609715313</v>
      </c>
      <c r="Q17" s="19">
        <f>(I17-Settings!$D$21)/Settings!$E$21</f>
        <v>-5.8502066138398291E-2</v>
      </c>
      <c r="R17" s="19">
        <f>(J17-Settings!$D$22)/Settings!$E$22</f>
        <v>-0.24455341018459467</v>
      </c>
      <c r="S17" s="19">
        <f>(K17-Settings!$D$23)/Settings!$E$23</f>
        <v>1.2450080250861382</v>
      </c>
      <c r="T17" s="19">
        <f>(L17-Settings!$D$24)/Settings!$E$24</f>
        <v>-0.22529403650539201</v>
      </c>
      <c r="U17" s="19">
        <f>(M17-Settings!$D$25)/Settings!$E$25</f>
        <v>-1.6587423574704276</v>
      </c>
      <c r="V17" s="31">
        <f>Settings!$B$18*(N17-F$6)^2</f>
        <v>4.3811694997139255E-3</v>
      </c>
      <c r="W17" s="31">
        <f>Settings!$B$19*(O17-G$6)^2</f>
        <v>0.2065304749645645</v>
      </c>
      <c r="X17" s="31">
        <f>Settings!$B$20*(P17-H$6)^2</f>
        <v>7.432208681043917E-2</v>
      </c>
      <c r="Y17" s="31">
        <f>Settings!$B$21*(Q17-I$6)^2</f>
        <v>4.7682322883874091E-2</v>
      </c>
      <c r="Z17" s="31">
        <f>Settings!$B$22*(R17-J$6)^2</f>
        <v>0.15600252813346838</v>
      </c>
      <c r="AA17" s="31">
        <f>Settings!$B$23*(S17-K$6)^2</f>
        <v>9.668582814310437E-3</v>
      </c>
      <c r="AB17" s="31">
        <f>Settings!$B$24*(T17-L$6)^2</f>
        <v>0.38337210137405742</v>
      </c>
      <c r="AC17" s="31">
        <f>Settings!$B$25*(U17-M$6)^2</f>
        <v>0.6257002354648723</v>
      </c>
      <c r="AD17" s="19">
        <f t="shared" si="0"/>
        <v>1.2278678682762654</v>
      </c>
      <c r="AE17" s="15">
        <f t="shared" si="1"/>
        <v>0.48601236300728234</v>
      </c>
      <c r="AF17" s="33">
        <f t="shared" si="2"/>
        <v>0.88860362547972793</v>
      </c>
      <c r="AG17" s="47">
        <f t="shared" si="3"/>
        <v>5.2387460902693118E-3</v>
      </c>
      <c r="AH17" s="18">
        <v>-7.0114668733373131E-2</v>
      </c>
      <c r="AI17" s="46">
        <v>1</v>
      </c>
      <c r="AJ17" s="18">
        <v>1.408386131052193</v>
      </c>
      <c r="AK17" s="46">
        <v>1</v>
      </c>
      <c r="AL17" s="18">
        <v>-0.81800621218268343</v>
      </c>
      <c r="AM17" s="46">
        <v>1</v>
      </c>
      <c r="AN17" s="48"/>
      <c r="AO17" s="48"/>
      <c r="AP17" s="48"/>
      <c r="AQ17" s="48"/>
    </row>
    <row r="18" spans="1:43" ht="20" customHeight="1" x14ac:dyDescent="0.45">
      <c r="A18" s="26">
        <v>8</v>
      </c>
      <c r="B18" s="16" t="s">
        <v>368</v>
      </c>
      <c r="C18" s="16" t="s">
        <v>229</v>
      </c>
      <c r="D18" s="46">
        <v>29</v>
      </c>
      <c r="E18" s="46">
        <v>1</v>
      </c>
      <c r="F18" s="13">
        <v>0.44286117488192472</v>
      </c>
      <c r="G18" s="13">
        <v>-0.1305894517333244</v>
      </c>
      <c r="H18" s="13">
        <v>0.14407608443096659</v>
      </c>
      <c r="I18" s="13">
        <v>3.3319900910068142E-4</v>
      </c>
      <c r="J18" s="13">
        <v>0.2821400899446837</v>
      </c>
      <c r="K18" s="13">
        <v>18.44814814814815</v>
      </c>
      <c r="L18" s="13">
        <v>3.5572803227816099</v>
      </c>
      <c r="M18" s="13">
        <v>-3.7481625879518199</v>
      </c>
      <c r="N18" s="19">
        <f>(F18-Settings!$D$18)/Settings!$E$18</f>
        <v>0.89666246979926534</v>
      </c>
      <c r="O18" s="19">
        <f>(G18-Settings!$D$19)/Settings!$E$19</f>
        <v>-0.5163813135663573</v>
      </c>
      <c r="P18" s="19">
        <f>(H18-Settings!$D$20)/Settings!$E$20</f>
        <v>0.82401441973701284</v>
      </c>
      <c r="Q18" s="19">
        <f>(I18-Settings!$D$21)/Settings!$E$21</f>
        <v>4.0306575101295095E-2</v>
      </c>
      <c r="R18" s="19">
        <f>(J18-Settings!$D$22)/Settings!$E$22</f>
        <v>9.2228888424383371E-2</v>
      </c>
      <c r="S18" s="19">
        <f>(K18-Settings!$D$23)/Settings!$E$23</f>
        <v>1.1088334200128604</v>
      </c>
      <c r="T18" s="19">
        <f>(L18-Settings!$D$24)/Settings!$E$24</f>
        <v>1.5548652927753162</v>
      </c>
      <c r="U18" s="19">
        <f>(M18-Settings!$D$25)/Settings!$E$25</f>
        <v>-2.4918323364708859</v>
      </c>
      <c r="V18" s="31">
        <f>Settings!$B$18*(N18-F$6)^2</f>
        <v>6.1856051955596885E-3</v>
      </c>
      <c r="W18" s="31">
        <f>Settings!$B$19*(O18-G$6)^2</f>
        <v>4.0082092055544083E-2</v>
      </c>
      <c r="X18" s="31">
        <f>Settings!$B$20*(P18-H$6)^2</f>
        <v>0.10029058084735643</v>
      </c>
      <c r="Y18" s="31">
        <f>Settings!$B$21*(Q18-I$6)^2</f>
        <v>3.0336671535285076E-2</v>
      </c>
      <c r="Z18" s="31">
        <f>Settings!$B$22*(R18-J$6)^2</f>
        <v>5.9710798400259828E-2</v>
      </c>
      <c r="AA18" s="31">
        <f>Settings!$B$23*(S18-K$6)^2</f>
        <v>1.4322934515808654E-3</v>
      </c>
      <c r="AB18" s="31">
        <f>Settings!$B$24*(T18-L$6)^2</f>
        <v>1.3478950742704281</v>
      </c>
      <c r="AC18" s="31">
        <f>Settings!$B$25*(U18-M$6)^2</f>
        <v>1.7705429477453873E-3</v>
      </c>
      <c r="AD18" s="19">
        <f t="shared" si="0"/>
        <v>1.2600411337348316</v>
      </c>
      <c r="AE18" s="15">
        <f t="shared" si="1"/>
        <v>0.49874712476396038</v>
      </c>
      <c r="AF18" s="33">
        <f t="shared" si="2"/>
        <v>0.88304921197500741</v>
      </c>
      <c r="AG18" s="47">
        <f t="shared" si="3"/>
        <v>5.2060001491126065E-3</v>
      </c>
      <c r="AH18" s="18">
        <v>-2.320768727845874</v>
      </c>
      <c r="AI18" s="46">
        <v>1</v>
      </c>
      <c r="AJ18" s="48"/>
      <c r="AK18" s="48"/>
      <c r="AL18" s="48"/>
      <c r="AM18" s="48"/>
      <c r="AN18" s="48"/>
      <c r="AO18" s="48"/>
      <c r="AP18" s="48"/>
      <c r="AQ18" s="48"/>
    </row>
    <row r="19" spans="1:43" ht="20" customHeight="1" x14ac:dyDescent="0.45">
      <c r="A19" s="26">
        <v>9</v>
      </c>
      <c r="B19" s="16" t="s">
        <v>248</v>
      </c>
      <c r="C19" s="16" t="s">
        <v>271</v>
      </c>
      <c r="D19" s="46">
        <v>29</v>
      </c>
      <c r="E19" s="46">
        <v>1</v>
      </c>
      <c r="F19" s="13">
        <v>0.12210195025359701</v>
      </c>
      <c r="G19" s="13">
        <v>-7.3301092077940444E-2</v>
      </c>
      <c r="H19" s="13">
        <v>0.121934980514165</v>
      </c>
      <c r="I19" s="13">
        <v>-3.5602668192803867E-2</v>
      </c>
      <c r="J19" s="13">
        <v>0.64705930896149366</v>
      </c>
      <c r="K19" s="13">
        <v>17.90083857442346</v>
      </c>
      <c r="L19" s="13">
        <v>2.713049820977639</v>
      </c>
      <c r="M19" s="13">
        <v>-2.2077024874723601</v>
      </c>
      <c r="N19" s="19">
        <f>(F19-Settings!$D$18)/Settings!$E$18</f>
        <v>-0.25131479954537533</v>
      </c>
      <c r="O19" s="19">
        <f>(G19-Settings!$D$19)/Settings!$E$19</f>
        <v>-0.27771070548021892</v>
      </c>
      <c r="P19" s="19">
        <f>(H19-Settings!$D$20)/Settings!$E$20</f>
        <v>0.62341176055702152</v>
      </c>
      <c r="Q19" s="19">
        <f>(I19-Settings!$D$21)/Settings!$E$21</f>
        <v>-0.40160783578133241</v>
      </c>
      <c r="R19" s="19">
        <f>(J19-Settings!$D$22)/Settings!$E$22</f>
        <v>1.0740612277993733</v>
      </c>
      <c r="S19" s="19">
        <f>(K19-Settings!$D$23)/Settings!$E$23</f>
        <v>0.91876539385161005</v>
      </c>
      <c r="T19" s="19">
        <f>(L19-Settings!$D$24)/Settings!$E$24</f>
        <v>0.97120256883527134</v>
      </c>
      <c r="U19" s="19">
        <f>(M19-Settings!$D$25)/Settings!$E$25</f>
        <v>-1.4529288878289692</v>
      </c>
      <c r="V19" s="31">
        <f>Settings!$B$18*(N19-F$6)^2</f>
        <v>0.18900097492363802</v>
      </c>
      <c r="W19" s="31">
        <f>Settings!$B$19*(O19-G$6)^2</f>
        <v>8.7363388385816379E-3</v>
      </c>
      <c r="X19" s="31">
        <f>Settings!$B$20*(P19-H$6)^2</f>
        <v>5.1517489434624232E-2</v>
      </c>
      <c r="Y19" s="31">
        <f>Settings!$B$21*(Q19-I$6)^2</f>
        <v>0.13823850355313058</v>
      </c>
      <c r="Z19" s="31">
        <f>Settings!$B$22*(R19-J$6)^2</f>
        <v>3.7920099952334502E-2</v>
      </c>
      <c r="AA19" s="31">
        <f>Settings!$B$23*(S19-K$6)^2</f>
        <v>5.1944645152337092E-2</v>
      </c>
      <c r="AB19" s="31">
        <f>Settings!$B$24*(T19-L$6)^2</f>
        <v>0.33330543815147334</v>
      </c>
      <c r="AC19" s="31">
        <f>Settings!$B$25*(U19-M$6)^2</f>
        <v>0.99366133363797582</v>
      </c>
      <c r="AD19" s="19">
        <f t="shared" si="0"/>
        <v>1.3432515861312411</v>
      </c>
      <c r="AE19" s="15">
        <f t="shared" si="1"/>
        <v>0.53168333039401505</v>
      </c>
      <c r="AF19" s="33">
        <f t="shared" si="2"/>
        <v>0.8681909657377026</v>
      </c>
      <c r="AG19" s="47">
        <f t="shared" si="3"/>
        <v>5.1184036357156274E-3</v>
      </c>
      <c r="AH19" s="18">
        <v>-0.89879345606065875</v>
      </c>
      <c r="AI19" s="46">
        <v>1</v>
      </c>
      <c r="AJ19" s="18">
        <v>0.1632397355937143</v>
      </c>
      <c r="AK19" s="46">
        <v>1</v>
      </c>
      <c r="AL19" s="18">
        <v>-5.1580120523677442E-2</v>
      </c>
      <c r="AM19" s="46">
        <v>1</v>
      </c>
      <c r="AN19" s="18">
        <v>-0.19358522774701339</v>
      </c>
      <c r="AO19" s="46">
        <v>1</v>
      </c>
      <c r="AP19" s="48"/>
      <c r="AQ19" s="48"/>
    </row>
    <row r="20" spans="1:43" ht="20" customHeight="1" x14ac:dyDescent="0.45">
      <c r="A20" s="26">
        <v>10</v>
      </c>
      <c r="B20" s="16" t="s">
        <v>281</v>
      </c>
      <c r="C20" s="16" t="s">
        <v>224</v>
      </c>
      <c r="D20" s="46">
        <v>29</v>
      </c>
      <c r="E20" s="46">
        <v>0</v>
      </c>
      <c r="F20" s="13">
        <v>0.51291838312908855</v>
      </c>
      <c r="G20" s="13">
        <v>7.2738212682334907E-2</v>
      </c>
      <c r="H20" s="13">
        <v>0.13313042535117581</v>
      </c>
      <c r="I20" s="13">
        <v>-8.0106449444618307E-3</v>
      </c>
      <c r="J20" s="13">
        <v>0.27320233389293891</v>
      </c>
      <c r="K20" s="13">
        <v>20.274203821656052</v>
      </c>
      <c r="L20" s="13">
        <v>2.9518943364610899</v>
      </c>
      <c r="M20" s="13">
        <v>-2.408968010852405</v>
      </c>
      <c r="N20" s="19">
        <f>(F20-Settings!$D$18)/Settings!$E$18</f>
        <v>1.1473928508652425</v>
      </c>
      <c r="O20" s="19">
        <f>(G20-Settings!$D$19)/Settings!$E$19</f>
        <v>0.33070765177913586</v>
      </c>
      <c r="P20" s="19">
        <f>(H20-Settings!$D$20)/Settings!$E$20</f>
        <v>0.72484464364389589</v>
      </c>
      <c r="Q20" s="19">
        <f>(I20-Settings!$D$21)/Settings!$E$21</f>
        <v>-6.2300240104203299E-2</v>
      </c>
      <c r="R20" s="19">
        <f>(J20-Settings!$D$22)/Settings!$E$22</f>
        <v>6.8181434972381647E-2</v>
      </c>
      <c r="S20" s="19">
        <f>(K20-Settings!$D$23)/Settings!$E$23</f>
        <v>1.7429805538957905</v>
      </c>
      <c r="T20" s="19">
        <f>(L20-Settings!$D$24)/Settings!$E$24</f>
        <v>1.1363288467976622</v>
      </c>
      <c r="U20" s="19">
        <f>(M20-Settings!$D$25)/Settings!$E$25</f>
        <v>-1.5886645983917869</v>
      </c>
      <c r="V20" s="31">
        <f>Settings!$B$18*(N20-F$6)^2</f>
        <v>3.6396494723031525E-2</v>
      </c>
      <c r="W20" s="31">
        <f>Settings!$B$19*(O20-G$6)^2</f>
        <v>3.1906739491369587E-2</v>
      </c>
      <c r="X20" s="31">
        <f>Settings!$B$20*(P20-H$6)^2</f>
        <v>7.416733767952087E-2</v>
      </c>
      <c r="Y20" s="31">
        <f>Settings!$B$21*(Q20-I$6)^2</f>
        <v>4.8427028126406813E-2</v>
      </c>
      <c r="Z20" s="31">
        <f>Settings!$B$22*(R20-J$6)^2</f>
        <v>6.5082274914049262E-2</v>
      </c>
      <c r="AA20" s="31">
        <f>Settings!$B$23*(S20-K$6)^2</f>
        <v>0.35557545609396668</v>
      </c>
      <c r="AB20" s="31">
        <f>Settings!$B$24*(T20-L$6)^2</f>
        <v>0.5512355495018445</v>
      </c>
      <c r="AC20" s="31">
        <f>Settings!$B$25*(U20-M$6)^2</f>
        <v>0.74147584677613509</v>
      </c>
      <c r="AD20" s="19">
        <f t="shared" si="0"/>
        <v>1.3799517119473146</v>
      </c>
      <c r="AE20" s="15">
        <f t="shared" si="1"/>
        <v>0.54620990555032589</v>
      </c>
      <c r="AF20" s="33">
        <f t="shared" si="2"/>
        <v>0.86142039466296394</v>
      </c>
      <c r="AG20" s="47">
        <f t="shared" si="3"/>
        <v>5.0784878603016698E-3</v>
      </c>
      <c r="AH20" s="18">
        <v>-0.15221199124225129</v>
      </c>
      <c r="AI20" s="46">
        <v>0</v>
      </c>
      <c r="AJ20" s="18">
        <v>0.1102642292448905</v>
      </c>
      <c r="AK20" s="46">
        <v>1</v>
      </c>
      <c r="AL20" s="18">
        <v>-2.894223722568956E-2</v>
      </c>
      <c r="AM20" s="46">
        <v>1</v>
      </c>
      <c r="AN20" s="18">
        <v>-9.3337784840994864E-2</v>
      </c>
      <c r="AO20" s="46">
        <v>1</v>
      </c>
      <c r="AP20" s="18">
        <v>-0.87597996078228957</v>
      </c>
      <c r="AQ20" s="46">
        <v>1</v>
      </c>
    </row>
    <row r="21" spans="1:43" ht="20" customHeight="1" x14ac:dyDescent="0.45">
      <c r="A21" s="26">
        <v>11</v>
      </c>
      <c r="B21" s="16" t="s">
        <v>759</v>
      </c>
      <c r="C21" s="16" t="s">
        <v>258</v>
      </c>
      <c r="D21" s="46">
        <v>29</v>
      </c>
      <c r="E21" s="46">
        <v>0</v>
      </c>
      <c r="F21" s="13">
        <v>0.32767351652868082</v>
      </c>
      <c r="G21" s="13">
        <v>-0.12812168450413161</v>
      </c>
      <c r="H21" s="13">
        <v>0.15591071753158969</v>
      </c>
      <c r="I21" s="13">
        <v>8.1296548586403099E-5</v>
      </c>
      <c r="J21" s="13">
        <v>0.38821278488701161</v>
      </c>
      <c r="K21" s="13">
        <v>18.88152454780359</v>
      </c>
      <c r="L21" s="13">
        <v>3.26508517589189</v>
      </c>
      <c r="M21" s="13">
        <v>-2.40173273713516</v>
      </c>
      <c r="N21" s="19">
        <f>(F21-Settings!$D$18)/Settings!$E$18</f>
        <v>0.48441302116132823</v>
      </c>
      <c r="O21" s="19">
        <f>(G21-Settings!$D$19)/Settings!$E$19</f>
        <v>-0.50610028075708335</v>
      </c>
      <c r="P21" s="19">
        <f>(H21-Settings!$D$20)/Settings!$E$20</f>
        <v>0.93123847140694804</v>
      </c>
      <c r="Q21" s="19">
        <f>(I21-Settings!$D$21)/Settings!$E$21</f>
        <v>3.7208853072977055E-2</v>
      </c>
      <c r="R21" s="19">
        <f>(J21-Settings!$D$22)/Settings!$E$22</f>
        <v>0.37762246813123351</v>
      </c>
      <c r="S21" s="19">
        <f>(K21-Settings!$D$23)/Settings!$E$23</f>
        <v>1.2593350754229913</v>
      </c>
      <c r="T21" s="19">
        <f>(L21-Settings!$D$24)/Settings!$E$24</f>
        <v>1.352854805128525</v>
      </c>
      <c r="U21" s="19">
        <f>(M21-Settings!$D$25)/Settings!$E$25</f>
        <v>-1.5837850492139962</v>
      </c>
      <c r="V21" s="31">
        <f>Settings!$B$18*(N21-F$6)^2</f>
        <v>1.117564846422067E-2</v>
      </c>
      <c r="W21" s="31">
        <f>Settings!$B$19*(O21-G$6)^2</f>
        <v>3.8262218669219542E-2</v>
      </c>
      <c r="X21" s="31">
        <f>Settings!$B$20*(P21-H$6)^2</f>
        <v>0.13296155296596232</v>
      </c>
      <c r="Y21" s="31">
        <f>Settings!$B$21*(Q21-I$6)^2</f>
        <v>3.0821173026430389E-2</v>
      </c>
      <c r="Z21" s="31">
        <f>Settings!$B$22*(R21-J$6)^2</f>
        <v>1.362496888099944E-2</v>
      </c>
      <c r="AA21" s="31">
        <f>Settings!$B$23*(S21-K$6)^2</f>
        <v>1.2691374877291639E-2</v>
      </c>
      <c r="AB21" s="31">
        <f>Settings!$B$24*(T21-L$6)^2</f>
        <v>0.91963947009407732</v>
      </c>
      <c r="AC21" s="31">
        <f>Settings!$B$25*(U21-M$6)^2</f>
        <v>0.74990311797847942</v>
      </c>
      <c r="AD21" s="19">
        <f t="shared" si="0"/>
        <v>1.3816944397936473</v>
      </c>
      <c r="AE21" s="15">
        <f t="shared" si="1"/>
        <v>0.54689970882684935</v>
      </c>
      <c r="AF21" s="33">
        <f t="shared" si="2"/>
        <v>0.86109568721088636</v>
      </c>
      <c r="AG21" s="47">
        <f t="shared" si="3"/>
        <v>5.076573553577865E-3</v>
      </c>
      <c r="AH21" s="18">
        <v>-1.5502068144443459</v>
      </c>
      <c r="AI21" s="46">
        <v>0</v>
      </c>
      <c r="AJ21" s="18">
        <v>-0.67971675786629415</v>
      </c>
      <c r="AK21" s="46">
        <v>0</v>
      </c>
      <c r="AL21" s="18">
        <v>-0.71858787018382198</v>
      </c>
      <c r="AM21" s="46">
        <v>0</v>
      </c>
      <c r="AN21" s="18">
        <v>0.28937368971991151</v>
      </c>
      <c r="AO21" s="46">
        <v>0</v>
      </c>
      <c r="AP21" s="48"/>
      <c r="AQ21" s="48"/>
    </row>
    <row r="22" spans="1:43" ht="20" customHeight="1" x14ac:dyDescent="0.45">
      <c r="A22" s="26">
        <v>12</v>
      </c>
      <c r="B22" s="16" t="s">
        <v>325</v>
      </c>
      <c r="C22" s="16" t="s">
        <v>246</v>
      </c>
      <c r="D22" s="46">
        <v>29</v>
      </c>
      <c r="E22" s="46">
        <v>1</v>
      </c>
      <c r="F22" s="13">
        <v>0.48620066020199709</v>
      </c>
      <c r="G22" s="13">
        <v>-5.4616072346269882E-2</v>
      </c>
      <c r="H22" s="13">
        <v>0.19852920761357831</v>
      </c>
      <c r="I22" s="13">
        <v>1.1121689999965521E-6</v>
      </c>
      <c r="J22" s="13">
        <v>0.26065294766915492</v>
      </c>
      <c r="K22" s="13">
        <v>17.231528662420381</v>
      </c>
      <c r="L22" s="13">
        <v>2.4091483217735532</v>
      </c>
      <c r="M22" s="13">
        <v>-2.0439282893312392</v>
      </c>
      <c r="N22" s="19">
        <f>(F22-Settings!$D$18)/Settings!$E$18</f>
        <v>1.0517717860478897</v>
      </c>
      <c r="O22" s="19">
        <f>(G22-Settings!$D$19)/Settings!$E$19</f>
        <v>-0.19986653175477698</v>
      </c>
      <c r="P22" s="19">
        <f>(H22-Settings!$D$20)/Settings!$E$20</f>
        <v>1.3173701870074235</v>
      </c>
      <c r="Q22" s="19">
        <f>(I22-Settings!$D$21)/Settings!$E$21</f>
        <v>3.6222801096887886E-2</v>
      </c>
      <c r="R22" s="19">
        <f>(J22-Settings!$D$22)/Settings!$E$22</f>
        <v>3.4416720504847613E-2</v>
      </c>
      <c r="S22" s="19">
        <f>(K22-Settings!$D$23)/Settings!$E$23</f>
        <v>0.6863294563641037</v>
      </c>
      <c r="T22" s="19">
        <f>(L22-Settings!$D$24)/Settings!$E$24</f>
        <v>0.76109883951502166</v>
      </c>
      <c r="U22" s="19">
        <f>(M22-Settings!$D$25)/Settings!$E$25</f>
        <v>-1.3424777445670188</v>
      </c>
      <c r="V22" s="31">
        <f>Settings!$B$18*(N22-F$6)^2</f>
        <v>2.1908621851025014E-2</v>
      </c>
      <c r="W22" s="31">
        <f>Settings!$B$19*(O22-G$6)^2</f>
        <v>3.4404572800989818E-3</v>
      </c>
      <c r="X22" s="31">
        <f>Settings!$B$20*(P22-H$6)^2</f>
        <v>0.28871524111289903</v>
      </c>
      <c r="Y22" s="31">
        <f>Settings!$B$21*(Q22-I$6)^2</f>
        <v>3.0976202573337164E-2</v>
      </c>
      <c r="Z22" s="31">
        <f>Settings!$B$22*(R22-J$6)^2</f>
        <v>7.3014697010944846E-2</v>
      </c>
      <c r="AA22" s="31">
        <f>Settings!$B$23*(S22-K$6)^2</f>
        <v>0.21192176955576655</v>
      </c>
      <c r="AB22" s="31">
        <f>Settings!$B$24*(T22-L$6)^2</f>
        <v>0.13485227742150724</v>
      </c>
      <c r="AC22" s="31">
        <f>Settings!$B$25*(U22-M$6)^2</f>
        <v>1.2260618492875162</v>
      </c>
      <c r="AD22" s="19">
        <f t="shared" si="0"/>
        <v>1.4109894103405225</v>
      </c>
      <c r="AE22" s="15">
        <f t="shared" si="1"/>
        <v>0.5584951892751675</v>
      </c>
      <c r="AF22" s="33">
        <f t="shared" si="2"/>
        <v>0.85559474967131499</v>
      </c>
      <c r="AG22" s="47">
        <f t="shared" si="3"/>
        <v>5.0441428789756914E-3</v>
      </c>
      <c r="AH22" s="18">
        <v>-0.75578134747462844</v>
      </c>
      <c r="AI22" s="46">
        <v>1</v>
      </c>
      <c r="AJ22" s="48"/>
      <c r="AK22" s="48"/>
      <c r="AL22" s="48"/>
      <c r="AM22" s="48"/>
      <c r="AN22" s="48"/>
      <c r="AO22" s="48"/>
      <c r="AP22" s="48"/>
      <c r="AQ22" s="48"/>
    </row>
    <row r="23" spans="1:43" ht="20" customHeight="1" x14ac:dyDescent="0.45">
      <c r="A23" s="26">
        <v>13</v>
      </c>
      <c r="B23" s="16" t="s">
        <v>494</v>
      </c>
      <c r="C23" s="16" t="s">
        <v>246</v>
      </c>
      <c r="D23" s="46">
        <v>29</v>
      </c>
      <c r="E23" s="46">
        <v>1</v>
      </c>
      <c r="F23" s="13">
        <v>0.40943754583930442</v>
      </c>
      <c r="G23" s="13">
        <v>1.131301509064457E-3</v>
      </c>
      <c r="H23" s="13">
        <v>-8.2987558408012443E-3</v>
      </c>
      <c r="I23" s="13">
        <v>2.4430074313888391E-2</v>
      </c>
      <c r="J23" s="13">
        <v>0.55670232249694163</v>
      </c>
      <c r="K23" s="13">
        <v>16.962745098039221</v>
      </c>
      <c r="L23" s="13">
        <v>1.702962287987547</v>
      </c>
      <c r="M23" s="13">
        <v>-1.8144306948068261</v>
      </c>
      <c r="N23" s="19">
        <f>(F23-Settings!$D$18)/Settings!$E$18</f>
        <v>0.77704138502954334</v>
      </c>
      <c r="O23" s="19">
        <f>(G23-Settings!$D$19)/Settings!$E$19</f>
        <v>3.2384133080020958E-2</v>
      </c>
      <c r="P23" s="19">
        <f>(H23-Settings!$D$20)/Settings!$E$20</f>
        <v>-0.55653093452816904</v>
      </c>
      <c r="Q23" s="19">
        <f>(I23-Settings!$D$21)/Settings!$E$21</f>
        <v>0.33663326160082185</v>
      </c>
      <c r="R23" s="19">
        <f>(J23-Settings!$D$22)/Settings!$E$22</f>
        <v>0.83095150165672582</v>
      </c>
      <c r="S23" s="19">
        <f>(K23-Settings!$D$23)/Settings!$E$23</f>
        <v>0.59298710680708588</v>
      </c>
      <c r="T23" s="19">
        <f>(L23-Settings!$D$24)/Settings!$E$24</f>
        <v>0.27287380712491838</v>
      </c>
      <c r="U23" s="19">
        <f>(M23-Settings!$D$25)/Settings!$E$25</f>
        <v>-1.1877020107896701</v>
      </c>
      <c r="V23" s="31">
        <f>Settings!$B$18*(N23-F$6)^2</f>
        <v>6.3264539417145355E-4</v>
      </c>
      <c r="W23" s="31">
        <f>Settings!$B$19*(O23-G$6)^2</f>
        <v>2.0439661202786225E-3</v>
      </c>
      <c r="X23" s="31">
        <f>Settings!$B$20*(P23-H$6)^2</f>
        <v>9.0427568759204463E-2</v>
      </c>
      <c r="Y23" s="31">
        <f>Settings!$B$21*(Q23-I$6)^2</f>
        <v>1.7349668544712504E-3</v>
      </c>
      <c r="Z23" s="31">
        <f>Settings!$B$22*(R23-J$6)^2</f>
        <v>7.3975248633011345E-3</v>
      </c>
      <c r="AA23" s="31">
        <f>Settings!$B$23*(S23-K$6)^2</f>
        <v>0.30657479344936733</v>
      </c>
      <c r="AB23" s="31">
        <f>Settings!$B$24*(T23-L$6)^2</f>
        <v>1.4641641539904136E-2</v>
      </c>
      <c r="AC23" s="31">
        <f>Settings!$B$25*(U23-M$6)^2</f>
        <v>1.5927765267425247</v>
      </c>
      <c r="AD23" s="19">
        <f t="shared" si="0"/>
        <v>1.4199400106072169</v>
      </c>
      <c r="AE23" s="15">
        <f t="shared" si="1"/>
        <v>0.56203799913145647</v>
      </c>
      <c r="AF23" s="33">
        <f t="shared" si="2"/>
        <v>0.85389814860568392</v>
      </c>
      <c r="AG23" s="47">
        <f t="shared" si="3"/>
        <v>5.0341405990564263E-3</v>
      </c>
      <c r="AH23" s="18">
        <v>-0.71873361965808269</v>
      </c>
      <c r="AI23" s="46">
        <v>1</v>
      </c>
      <c r="AJ23" s="48"/>
      <c r="AK23" s="48"/>
      <c r="AL23" s="48"/>
      <c r="AM23" s="48"/>
      <c r="AN23" s="48"/>
      <c r="AO23" s="48"/>
      <c r="AP23" s="48"/>
      <c r="AQ23" s="48"/>
    </row>
    <row r="24" spans="1:43" ht="20" customHeight="1" x14ac:dyDescent="0.45">
      <c r="A24" s="26">
        <v>14</v>
      </c>
      <c r="B24" s="16" t="s">
        <v>566</v>
      </c>
      <c r="C24" s="16" t="s">
        <v>260</v>
      </c>
      <c r="D24" s="46">
        <v>29</v>
      </c>
      <c r="E24" s="46">
        <v>1</v>
      </c>
      <c r="F24" s="13">
        <v>0.27276659192783731</v>
      </c>
      <c r="G24" s="13">
        <v>-7.8743164641289165E-2</v>
      </c>
      <c r="H24" s="13">
        <v>1.3457346157152701E-2</v>
      </c>
      <c r="I24" s="13">
        <v>-8.5349656541235927E-2</v>
      </c>
      <c r="J24" s="13">
        <v>0.54968324073248498</v>
      </c>
      <c r="K24" s="13">
        <v>15.19766355140184</v>
      </c>
      <c r="L24" s="13">
        <v>1.410565388361094</v>
      </c>
      <c r="M24" s="13">
        <v>-2.9146813835021002</v>
      </c>
      <c r="N24" s="19">
        <f>(F24-Settings!$D$18)/Settings!$E$18</f>
        <v>0.28790456082187843</v>
      </c>
      <c r="O24" s="19">
        <f>(G24-Settings!$D$19)/Settings!$E$19</f>
        <v>-0.30038307340551107</v>
      </c>
      <c r="P24" s="19">
        <f>(H24-Settings!$D$20)/Settings!$E$20</f>
        <v>-0.35941646676810185</v>
      </c>
      <c r="Q24" s="19">
        <f>(I24-Settings!$D$21)/Settings!$E$21</f>
        <v>-1.0133618509458022</v>
      </c>
      <c r="R24" s="19">
        <f>(J24-Settings!$D$22)/Settings!$E$22</f>
        <v>0.8120663317069805</v>
      </c>
      <c r="S24" s="19">
        <f>(K24-Settings!$D$23)/Settings!$E$23</f>
        <v>-1.9985115293622496E-2</v>
      </c>
      <c r="T24" s="19">
        <f>(L24-Settings!$D$24)/Settings!$E$24</f>
        <v>7.0723836775675231E-2</v>
      </c>
      <c r="U24" s="19">
        <f>(M24-Settings!$D$25)/Settings!$E$25</f>
        <v>-1.929723329290808</v>
      </c>
      <c r="V24" s="31">
        <f>Settings!$B$18*(N24-F$6)^2</f>
        <v>3.7479486617776808E-2</v>
      </c>
      <c r="W24" s="31">
        <f>Settings!$B$19*(O24-G$6)^2</f>
        <v>1.0734571111785359E-2</v>
      </c>
      <c r="X24" s="31">
        <f>Settings!$B$20*(P24-H$6)^2</f>
        <v>4.5181541203998574E-2</v>
      </c>
      <c r="Y24" s="31">
        <f>Settings!$B$21*(Q24-I$6)^2</f>
        <v>0.41652709235185803</v>
      </c>
      <c r="Z24" s="31">
        <f>Settings!$B$22*(R24-J$6)^2</f>
        <v>6.0160438314644168E-3</v>
      </c>
      <c r="AA24" s="31">
        <f>Settings!$B$23*(S24-K$6)^2</f>
        <v>1.3611053282948418</v>
      </c>
      <c r="AB24" s="31">
        <f>Settings!$B$24*(T24-L$6)^2</f>
        <v>0.10442761666052143</v>
      </c>
      <c r="AC24" s="31">
        <f>Settings!$B$25*(U24-M$6)^2</f>
        <v>0.27043243549417401</v>
      </c>
      <c r="AD24" s="19">
        <f t="shared" si="0"/>
        <v>1.5006345709620381</v>
      </c>
      <c r="AE24" s="15">
        <f t="shared" si="1"/>
        <v>0.5939783690793542</v>
      </c>
      <c r="AF24" s="33">
        <f t="shared" si="2"/>
        <v>0.83827828485011824</v>
      </c>
      <c r="AG24" s="47">
        <f t="shared" si="3"/>
        <v>4.9420539837943828E-3</v>
      </c>
      <c r="AH24" s="18">
        <v>-1.488142866068572</v>
      </c>
      <c r="AI24" s="46">
        <v>1</v>
      </c>
      <c r="AJ24" s="18">
        <v>0.76961228748346266</v>
      </c>
      <c r="AK24" s="46">
        <v>1</v>
      </c>
      <c r="AL24" s="18">
        <v>8.6549046355882342E-2</v>
      </c>
      <c r="AM24" s="46">
        <v>1</v>
      </c>
      <c r="AN24" s="18">
        <v>-1.1919748877297109</v>
      </c>
      <c r="AO24" s="46">
        <v>1</v>
      </c>
      <c r="AP24" s="18">
        <v>0.46657880106057348</v>
      </c>
      <c r="AQ24" s="46">
        <v>1</v>
      </c>
    </row>
    <row r="25" spans="1:43" ht="20" customHeight="1" x14ac:dyDescent="0.45">
      <c r="A25" s="26">
        <v>15</v>
      </c>
      <c r="B25" s="16" t="s">
        <v>765</v>
      </c>
      <c r="C25" s="16" t="s">
        <v>242</v>
      </c>
      <c r="D25" s="46">
        <v>29</v>
      </c>
      <c r="E25" s="46">
        <v>0</v>
      </c>
      <c r="F25" s="13">
        <v>0.48378063799364218</v>
      </c>
      <c r="G25" s="13">
        <v>-2.7473557005750861E-2</v>
      </c>
      <c r="H25" s="13">
        <v>0.35873681379833477</v>
      </c>
      <c r="I25" s="13">
        <v>2.989033270532895E-2</v>
      </c>
      <c r="J25" s="13">
        <v>0.1001186584969431</v>
      </c>
      <c r="K25" s="13">
        <v>19.62214765100671</v>
      </c>
      <c r="L25" s="13">
        <v>2.6827703746937268</v>
      </c>
      <c r="M25" s="13">
        <v>-3.0696564864194511</v>
      </c>
      <c r="N25" s="19">
        <f>(F25-Settings!$D$18)/Settings!$E$18</f>
        <v>1.0431106774243739</v>
      </c>
      <c r="O25" s="19">
        <f>(G25-Settings!$D$19)/Settings!$E$19</f>
        <v>-8.6787353361855391E-2</v>
      </c>
      <c r="P25" s="19">
        <f>(H25-Settings!$D$20)/Settings!$E$20</f>
        <v>2.7688819066708348</v>
      </c>
      <c r="Q25" s="19">
        <f>(I25-Settings!$D$21)/Settings!$E$21</f>
        <v>0.40377973831622155</v>
      </c>
      <c r="R25" s="19">
        <f>(J25-Settings!$D$22)/Settings!$E$22</f>
        <v>-0.39750834256121464</v>
      </c>
      <c r="S25" s="19">
        <f>(K25-Settings!$D$23)/Settings!$E$23</f>
        <v>1.5165364439231657</v>
      </c>
      <c r="T25" s="19">
        <f>(L25-Settings!$D$24)/Settings!$E$24</f>
        <v>0.95026873138246626</v>
      </c>
      <c r="U25" s="19">
        <f>(M25-Settings!$D$25)/Settings!$E$25</f>
        <v>-2.0342402647339006</v>
      </c>
      <c r="V25" s="31">
        <f>Settings!$B$18*(N25-F$6)^2</f>
        <v>2.0776987661215791E-2</v>
      </c>
      <c r="W25" s="31">
        <f>Settings!$B$19*(O25-G$6)^2</f>
        <v>6.5365048538188045E-5</v>
      </c>
      <c r="X25" s="31">
        <f>Settings!$B$20*(P25-H$6)^2</f>
        <v>1.4076827352508641</v>
      </c>
      <c r="Y25" s="31">
        <f>Settings!$B$21*(Q25-I$6)^2</f>
        <v>1.3512007386677028E-4</v>
      </c>
      <c r="Z25" s="31">
        <f>Settings!$B$22*(R25-J$6)^2</f>
        <v>0.21471646368314193</v>
      </c>
      <c r="AA25" s="31">
        <f>Settings!$B$23*(S25-K$6)^2</f>
        <v>0.13679447481097132</v>
      </c>
      <c r="AB25" s="31">
        <f>Settings!$B$24*(T25-L$6)^2</f>
        <v>0.30957236178265418</v>
      </c>
      <c r="AC25" s="31">
        <f>Settings!$B$25*(U25-M$6)^2</f>
        <v>0.17265209328009218</v>
      </c>
      <c r="AD25" s="19">
        <f t="shared" si="0"/>
        <v>1.5041261920435214</v>
      </c>
      <c r="AE25" s="15">
        <f t="shared" si="1"/>
        <v>0.59536041600507106</v>
      </c>
      <c r="AF25" s="33">
        <f t="shared" si="2"/>
        <v>0.83758961964810841</v>
      </c>
      <c r="AG25" s="47">
        <f t="shared" si="3"/>
        <v>4.9379939709482887E-3</v>
      </c>
      <c r="AH25" s="18">
        <v>-1.368300338299022</v>
      </c>
      <c r="AI25" s="46">
        <v>0</v>
      </c>
      <c r="AJ25" s="18">
        <v>0.88871548043097404</v>
      </c>
      <c r="AK25" s="46">
        <v>0</v>
      </c>
      <c r="AL25" s="18">
        <v>-0.18261249835149901</v>
      </c>
      <c r="AM25" s="46">
        <v>0</v>
      </c>
      <c r="AN25" s="18">
        <v>0.73992721173860065</v>
      </c>
      <c r="AO25" s="46">
        <v>0</v>
      </c>
      <c r="AP25" s="18">
        <v>8.6851366209364844E-2</v>
      </c>
      <c r="AQ25" s="46">
        <v>0</v>
      </c>
    </row>
    <row r="26" spans="1:43" ht="20" customHeight="1" x14ac:dyDescent="0.45">
      <c r="A26" s="26">
        <v>16</v>
      </c>
      <c r="B26" s="16" t="s">
        <v>767</v>
      </c>
      <c r="C26" s="16" t="s">
        <v>224</v>
      </c>
      <c r="D26" s="46">
        <v>29</v>
      </c>
      <c r="E26" s="46">
        <v>0</v>
      </c>
      <c r="F26" s="13">
        <v>0.19771324889836209</v>
      </c>
      <c r="G26" s="13">
        <v>0.15119985720296261</v>
      </c>
      <c r="H26" s="13">
        <v>0.13389515620394279</v>
      </c>
      <c r="I26" s="13">
        <v>6.8198511529744812E-3</v>
      </c>
      <c r="J26" s="13">
        <v>0.51037188654175814</v>
      </c>
      <c r="K26" s="13">
        <v>18.1832298136646</v>
      </c>
      <c r="L26" s="13">
        <v>2.962000536761412</v>
      </c>
      <c r="M26" s="13">
        <v>-1.9094337042167151</v>
      </c>
      <c r="N26" s="19">
        <f>(F26-Settings!$D$18)/Settings!$E$18</f>
        <v>1.9293324820797108E-2</v>
      </c>
      <c r="O26" s="19">
        <f>(G26-Settings!$D$19)/Settings!$E$19</f>
        <v>0.65758886328222566</v>
      </c>
      <c r="P26" s="19">
        <f>(H26-Settings!$D$20)/Settings!$E$20</f>
        <v>0.73177325222630851</v>
      </c>
      <c r="Q26" s="19">
        <f>(I26-Settings!$D$21)/Settings!$E$21</f>
        <v>0.12007493145276224</v>
      </c>
      <c r="R26" s="19">
        <f>(J26-Settings!$D$22)/Settings!$E$22</f>
        <v>0.70629728245528245</v>
      </c>
      <c r="S26" s="19">
        <f>(K26-Settings!$D$23)/Settings!$E$23</f>
        <v>1.0168333758942409</v>
      </c>
      <c r="T26" s="19">
        <f>(L26-Settings!$D$24)/Settings!$E$24</f>
        <v>1.1433158158580852</v>
      </c>
      <c r="U26" s="19">
        <f>(M26-Settings!$D$25)/Settings!$E$25</f>
        <v>-1.2517730984319755</v>
      </c>
      <c r="V26" s="31">
        <f>Settings!$B$18*(N26-F$6)^2</f>
        <v>9.8421989833549647E-2</v>
      </c>
      <c r="W26" s="31">
        <f>Settings!$B$19*(O26-G$6)^2</f>
        <v>0.10550173023897894</v>
      </c>
      <c r="X26" s="31">
        <f>Settings!$B$20*(P26-H$6)^2</f>
        <v>7.5864647023715592E-2</v>
      </c>
      <c r="Y26" s="31">
        <f>Settings!$B$21*(Q26-I$6)^2</f>
        <v>1.9182461291947204E-2</v>
      </c>
      <c r="Z26" s="31">
        <f>Settings!$B$22*(R26-J$6)^2</f>
        <v>9.1577674889862983E-4</v>
      </c>
      <c r="AA26" s="31">
        <f>Settings!$B$23*(S26-K$6)^2</f>
        <v>1.68599050622255E-2</v>
      </c>
      <c r="AB26" s="31">
        <f>Settings!$B$24*(T26-L$6)^2</f>
        <v>0.56165935097600972</v>
      </c>
      <c r="AC26" s="31">
        <f>Settings!$B$25*(U26-M$6)^2</f>
        <v>1.435159477630765</v>
      </c>
      <c r="AD26" s="19">
        <f t="shared" si="0"/>
        <v>1.5210408734830536</v>
      </c>
      <c r="AE26" s="15">
        <f t="shared" si="1"/>
        <v>0.60205555357511198</v>
      </c>
      <c r="AF26" s="33">
        <f t="shared" si="2"/>
        <v>0.83423891835989072</v>
      </c>
      <c r="AG26" s="47">
        <f t="shared" si="3"/>
        <v>4.9182399740367476E-3</v>
      </c>
      <c r="AH26" s="18">
        <v>-1.143729451579329</v>
      </c>
      <c r="AI26" s="46">
        <v>0</v>
      </c>
      <c r="AJ26" s="18">
        <v>0.13695689742918751</v>
      </c>
      <c r="AK26" s="46">
        <v>1</v>
      </c>
      <c r="AL26" s="18">
        <v>0.26078653276543529</v>
      </c>
      <c r="AM26" s="46">
        <v>1</v>
      </c>
      <c r="AN26" s="18">
        <v>-0.3148179623213323</v>
      </c>
      <c r="AO26" s="46">
        <v>1</v>
      </c>
      <c r="AP26" s="18">
        <v>0.56381172770171584</v>
      </c>
      <c r="AQ26" s="46">
        <v>1</v>
      </c>
    </row>
    <row r="27" spans="1:43" ht="20" customHeight="1" x14ac:dyDescent="0.45">
      <c r="A27" s="26">
        <v>17</v>
      </c>
      <c r="B27" s="16" t="s">
        <v>337</v>
      </c>
      <c r="C27" s="16" t="s">
        <v>260</v>
      </c>
      <c r="D27" s="46">
        <v>29</v>
      </c>
      <c r="E27" s="46">
        <v>1</v>
      </c>
      <c r="F27" s="13">
        <v>0.35248555025072659</v>
      </c>
      <c r="G27" s="13">
        <v>-0.1194004432301659</v>
      </c>
      <c r="H27" s="13">
        <v>0.16350617486004371</v>
      </c>
      <c r="I27" s="13">
        <v>6.5204499246390199E-2</v>
      </c>
      <c r="J27" s="13">
        <v>0.29940333241267358</v>
      </c>
      <c r="K27" s="13">
        <v>17.396370967741941</v>
      </c>
      <c r="L27" s="13">
        <v>1.2937907126394561</v>
      </c>
      <c r="M27" s="13">
        <v>-1.724732230967275</v>
      </c>
      <c r="N27" s="19">
        <f>(F27-Settings!$D$18)/Settings!$E$18</f>
        <v>0.57321374311133921</v>
      </c>
      <c r="O27" s="19">
        <f>(G27-Settings!$D$19)/Settings!$E$19</f>
        <v>-0.46976647803268112</v>
      </c>
      <c r="P27" s="19">
        <f>(H27-Settings!$D$20)/Settings!$E$20</f>
        <v>1.0000547753952873</v>
      </c>
      <c r="Q27" s="19">
        <f>(I27-Settings!$D$21)/Settings!$E$21</f>
        <v>0.83804890497145079</v>
      </c>
      <c r="R27" s="19">
        <f>(J27-Settings!$D$22)/Settings!$E$22</f>
        <v>0.13867645504806234</v>
      </c>
      <c r="S27" s="19">
        <f>(K27-Settings!$D$23)/Settings!$E$23</f>
        <v>0.7435753974265189</v>
      </c>
      <c r="T27" s="19">
        <f>(L27-Settings!$D$24)/Settings!$E$24</f>
        <v>-1.0008883936579444E-2</v>
      </c>
      <c r="U27" s="19">
        <f>(M27-Settings!$D$25)/Settings!$E$25</f>
        <v>-1.1272083677593911</v>
      </c>
      <c r="V27" s="31">
        <f>Settings!$B$18*(N27-F$6)^2</f>
        <v>4.3562705380812174E-3</v>
      </c>
      <c r="W27" s="31">
        <f>Settings!$B$19*(O27-G$6)^2</f>
        <v>3.2169412960146145E-2</v>
      </c>
      <c r="X27" s="31">
        <f>Settings!$B$20*(P27-H$6)^2</f>
        <v>0.15635264405150923</v>
      </c>
      <c r="Y27" s="31">
        <f>Settings!$B$21*(Q27-I$6)^2</f>
        <v>3.3337997738544858E-2</v>
      </c>
      <c r="Z27" s="31">
        <f>Settings!$B$22*(R27-J$6)^2</f>
        <v>4.9990675982686555E-2</v>
      </c>
      <c r="AA27" s="31">
        <f>Settings!$B$23*(S27-K$6)^2</f>
        <v>0.16249257327744368</v>
      </c>
      <c r="AB27" s="31">
        <f>Settings!$B$24*(T27-L$6)^2</f>
        <v>0.16312336950167994</v>
      </c>
      <c r="AC27" s="31">
        <f>Settings!$B$25*(U27-M$6)^2</f>
        <v>1.7491283151009422</v>
      </c>
      <c r="AD27" s="19">
        <f t="shared" si="0"/>
        <v>1.5332812068081425</v>
      </c>
      <c r="AE27" s="15">
        <f t="shared" si="1"/>
        <v>0.60690049941743185</v>
      </c>
      <c r="AF27" s="33">
        <f t="shared" si="2"/>
        <v>0.83179928762745536</v>
      </c>
      <c r="AG27" s="47">
        <f t="shared" si="3"/>
        <v>4.9038571765837808E-3</v>
      </c>
      <c r="AH27" s="18">
        <v>-0.23656978076374099</v>
      </c>
      <c r="AI27" s="46">
        <v>1</v>
      </c>
      <c r="AJ27" s="18">
        <v>0.6288527195581799</v>
      </c>
      <c r="AK27" s="46">
        <v>1</v>
      </c>
      <c r="AL27" s="18">
        <v>-0.87662237588288694</v>
      </c>
      <c r="AM27" s="46">
        <v>1</v>
      </c>
      <c r="AN27" s="18">
        <v>-0.31319707398291391</v>
      </c>
      <c r="AO27" s="46">
        <v>1</v>
      </c>
      <c r="AP27" s="18">
        <v>0.58992249379636985</v>
      </c>
      <c r="AQ27" s="46">
        <v>1</v>
      </c>
    </row>
    <row r="28" spans="1:43" ht="20" customHeight="1" x14ac:dyDescent="0.45">
      <c r="A28" s="26">
        <v>18</v>
      </c>
      <c r="B28" s="16" t="s">
        <v>278</v>
      </c>
      <c r="C28" s="16" t="s">
        <v>260</v>
      </c>
      <c r="D28" s="46">
        <v>29</v>
      </c>
      <c r="E28" s="46">
        <v>1</v>
      </c>
      <c r="F28" s="13">
        <v>0.1096274494405864</v>
      </c>
      <c r="G28" s="13">
        <v>-8.9138278466997234E-2</v>
      </c>
      <c r="H28" s="13">
        <v>4.886986857227936E-2</v>
      </c>
      <c r="I28" s="13">
        <v>8.8505048658971425E-3</v>
      </c>
      <c r="J28" s="13">
        <v>0.74351389865423989</v>
      </c>
      <c r="K28" s="13">
        <v>18.019685039370081</v>
      </c>
      <c r="L28" s="13">
        <v>1.6205613309489511</v>
      </c>
      <c r="M28" s="13">
        <v>-1.597478102079257</v>
      </c>
      <c r="N28" s="19">
        <f>(F28-Settings!$D$18)/Settings!$E$18</f>
        <v>-0.29596026031536843</v>
      </c>
      <c r="O28" s="19">
        <f>(G28-Settings!$D$19)/Settings!$E$19</f>
        <v>-0.34369044252605813</v>
      </c>
      <c r="P28" s="19">
        <f>(H28-Settings!$D$20)/Settings!$E$20</f>
        <v>-3.857220392379257E-2</v>
      </c>
      <c r="Q28" s="19">
        <f>(I28-Settings!$D$21)/Settings!$E$21</f>
        <v>0.14504650467822428</v>
      </c>
      <c r="R28" s="19">
        <f>(J28-Settings!$D$22)/Settings!$E$22</f>
        <v>1.3335768425062033</v>
      </c>
      <c r="S28" s="19">
        <f>(K28-Settings!$D$23)/Settings!$E$23</f>
        <v>0.960038037512708</v>
      </c>
      <c r="T28" s="19">
        <f>(L28-Settings!$D$24)/Settings!$E$24</f>
        <v>0.2159055183250653</v>
      </c>
      <c r="U28" s="19">
        <f>(M28-Settings!$D$25)/Settings!$E$25</f>
        <v>-1.0413867659441045</v>
      </c>
      <c r="V28" s="31">
        <f>Settings!$B$18*(N28-F$6)^2</f>
        <v>0.2067598024083592</v>
      </c>
      <c r="W28" s="31">
        <f>Settings!$B$19*(O28-G$6)^2</f>
        <v>1.5122953825869227E-2</v>
      </c>
      <c r="X28" s="31">
        <f>Settings!$B$20*(P28-H$6)^2</f>
        <v>4.7711600070258244E-3</v>
      </c>
      <c r="Y28" s="31">
        <f>Settings!$B$21*(Q28-I$6)^2</f>
        <v>1.6213727456684285E-2</v>
      </c>
      <c r="Z28" s="31">
        <f>Settings!$B$22*(R28-J$6)^2</f>
        <v>9.6590269263293449E-2</v>
      </c>
      <c r="AA28" s="31">
        <f>Settings!$B$23*(S28-K$6)^2</f>
        <v>3.4834876135451498E-2</v>
      </c>
      <c r="AB28" s="31">
        <f>Settings!$B$24*(T28-L$6)^2</f>
        <v>3.1673655399823822E-2</v>
      </c>
      <c r="AC28" s="31">
        <f>Settings!$B$25*(U28-M$6)^2</f>
        <v>1.9834997203291485</v>
      </c>
      <c r="AD28" s="19">
        <f t="shared" si="0"/>
        <v>1.5457898190975563</v>
      </c>
      <c r="AE28" s="15">
        <f t="shared" si="1"/>
        <v>0.61185163493761974</v>
      </c>
      <c r="AF28" s="33">
        <f t="shared" si="2"/>
        <v>0.8292934451865086</v>
      </c>
      <c r="AG28" s="47">
        <f t="shared" si="3"/>
        <v>4.8890840292389751E-3</v>
      </c>
      <c r="AH28" s="18">
        <v>-0.3392588273133943</v>
      </c>
      <c r="AI28" s="46">
        <v>1</v>
      </c>
      <c r="AJ28" s="18">
        <v>-0.33259059250881262</v>
      </c>
      <c r="AK28" s="46">
        <v>1</v>
      </c>
      <c r="AL28" s="18">
        <v>-0.75344953290873184</v>
      </c>
      <c r="AM28" s="46">
        <v>1</v>
      </c>
      <c r="AN28" s="18">
        <v>-0.157795409749761</v>
      </c>
      <c r="AO28" s="46">
        <v>1</v>
      </c>
      <c r="AP28" s="18">
        <v>-1.342029154261183E-2</v>
      </c>
      <c r="AQ28" s="46">
        <v>1</v>
      </c>
    </row>
    <row r="29" spans="1:43" ht="20" customHeight="1" x14ac:dyDescent="0.45">
      <c r="A29" s="26">
        <v>19</v>
      </c>
      <c r="B29" s="16" t="s">
        <v>302</v>
      </c>
      <c r="C29" s="16" t="s">
        <v>260</v>
      </c>
      <c r="D29" s="46">
        <v>29</v>
      </c>
      <c r="E29" s="46">
        <v>1</v>
      </c>
      <c r="F29" s="13">
        <v>2.9377106398449409E-2</v>
      </c>
      <c r="G29" s="13">
        <v>-7.6258015933359291E-2</v>
      </c>
      <c r="H29" s="13">
        <v>2.7903970901466499E-2</v>
      </c>
      <c r="I29" s="13">
        <v>5.8324596427640095E-4</v>
      </c>
      <c r="J29" s="13">
        <v>0.86587766080244832</v>
      </c>
      <c r="K29" s="13">
        <v>15.763775510204081</v>
      </c>
      <c r="L29" s="13">
        <v>1.6186378940181161</v>
      </c>
      <c r="M29" s="13">
        <v>-2.2883322961920789</v>
      </c>
      <c r="N29" s="19">
        <f>(F29-Settings!$D$18)/Settings!$E$18</f>
        <v>-0.58317123538937132</v>
      </c>
      <c r="O29" s="19">
        <f>(G29-Settings!$D$19)/Settings!$E$19</f>
        <v>-0.29002962714043962</v>
      </c>
      <c r="P29" s="19">
        <f>(H29-Settings!$D$20)/Settings!$E$20</f>
        <v>-0.22852726852511529</v>
      </c>
      <c r="Q29" s="19">
        <f>(I29-Settings!$D$21)/Settings!$E$21</f>
        <v>4.338147940981326E-2</v>
      </c>
      <c r="R29" s="19">
        <f>(J29-Settings!$D$22)/Settings!$E$22</f>
        <v>1.6628023055234473</v>
      </c>
      <c r="S29" s="19">
        <f>(K29-Settings!$D$23)/Settings!$E$23</f>
        <v>0.17661254672707963</v>
      </c>
      <c r="T29" s="19">
        <f>(L29-Settings!$D$24)/Settings!$E$24</f>
        <v>0.21457574116589001</v>
      </c>
      <c r="U29" s="19">
        <f>(M29-Settings!$D$25)/Settings!$E$25</f>
        <v>-1.5073065288442622</v>
      </c>
      <c r="V29" s="31">
        <f>Settings!$B$18*(N29-F$6)^2</f>
        <v>0.34006757713016089</v>
      </c>
      <c r="W29" s="31">
        <f>Settings!$B$19*(O29-G$6)^2</f>
        <v>9.7965600389703887E-3</v>
      </c>
      <c r="X29" s="31">
        <f>Settings!$B$20*(P29-H$6)^2</f>
        <v>2.3723414578897265E-2</v>
      </c>
      <c r="Y29" s="31">
        <f>Settings!$B$21*(Q29-I$6)^2</f>
        <v>2.9859534913443231E-2</v>
      </c>
      <c r="Z29" s="31">
        <f>Settings!$B$22*(R29-J$6)^2</f>
        <v>0.20978585078186543</v>
      </c>
      <c r="AA29" s="31">
        <f>Settings!$B$23*(S29-K$6)^2</f>
        <v>0.94102906543514242</v>
      </c>
      <c r="AB29" s="31">
        <f>Settings!$B$24*(T29-L$6)^2</f>
        <v>3.2148747088502232E-2</v>
      </c>
      <c r="AC29" s="31">
        <f>Settings!$B$25*(U29-M$6)^2</f>
        <v>0.88820820911733633</v>
      </c>
      <c r="AD29" s="19">
        <f t="shared" si="0"/>
        <v>1.5730921648410554</v>
      </c>
      <c r="AE29" s="15">
        <f t="shared" si="1"/>
        <v>0.62265839836328685</v>
      </c>
      <c r="AF29" s="33">
        <f t="shared" si="2"/>
        <v>0.82378002840888898</v>
      </c>
      <c r="AG29" s="47">
        <f t="shared" si="3"/>
        <v>4.8565797835217837E-3</v>
      </c>
      <c r="AH29" s="18">
        <v>-1.1651434794749831</v>
      </c>
      <c r="AI29" s="46">
        <v>1</v>
      </c>
      <c r="AJ29" s="18">
        <v>1.1638156725334039</v>
      </c>
      <c r="AK29" s="46">
        <v>1</v>
      </c>
      <c r="AL29" s="18">
        <v>0.37613893104348711</v>
      </c>
      <c r="AM29" s="46">
        <v>1</v>
      </c>
      <c r="AN29" s="18">
        <v>-0.57253180937937831</v>
      </c>
      <c r="AO29" s="46">
        <v>1</v>
      </c>
      <c r="AP29" s="18">
        <v>1.0031507353215681</v>
      </c>
      <c r="AQ29" s="46">
        <v>1</v>
      </c>
    </row>
    <row r="30" spans="1:43" ht="20" customHeight="1" x14ac:dyDescent="0.45">
      <c r="A30" s="26">
        <v>20</v>
      </c>
      <c r="B30" s="16" t="s">
        <v>446</v>
      </c>
      <c r="C30" s="16" t="s">
        <v>246</v>
      </c>
      <c r="D30" s="46">
        <v>29</v>
      </c>
      <c r="E30" s="46">
        <v>1</v>
      </c>
      <c r="F30" s="13">
        <v>0.16274831907594089</v>
      </c>
      <c r="G30" s="13">
        <v>-0.22755656585515019</v>
      </c>
      <c r="H30" s="13">
        <v>-3.1065813981748781E-2</v>
      </c>
      <c r="I30" s="13">
        <v>-1.140135899549024E-3</v>
      </c>
      <c r="J30" s="13">
        <v>0.57748916518761106</v>
      </c>
      <c r="K30" s="13">
        <v>15.101994301994329</v>
      </c>
      <c r="L30" s="13">
        <v>1.2672514535181201</v>
      </c>
      <c r="M30" s="13">
        <v>-2.7178082819598601</v>
      </c>
      <c r="N30" s="19">
        <f>(F30-Settings!$D$18)/Settings!$E$18</f>
        <v>-0.10584397935768798</v>
      </c>
      <c r="O30" s="19">
        <f>(G30-Settings!$D$19)/Settings!$E$19</f>
        <v>-0.92035867006654715</v>
      </c>
      <c r="P30" s="19">
        <f>(H30-Settings!$D$20)/Settings!$E$20</f>
        <v>-0.76280485934877451</v>
      </c>
      <c r="Q30" s="19">
        <f>(I30-Settings!$D$21)/Settings!$E$21</f>
        <v>2.2188522612659519E-2</v>
      </c>
      <c r="R30" s="19">
        <f>(J30-Settings!$D$22)/Settings!$E$22</f>
        <v>0.88687948057268351</v>
      </c>
      <c r="S30" s="19">
        <f>(K30-Settings!$D$23)/Settings!$E$23</f>
        <v>-5.3208845102450546E-2</v>
      </c>
      <c r="T30" s="19">
        <f>(L30-Settings!$D$24)/Settings!$E$24</f>
        <v>-2.8356925421707421E-2</v>
      </c>
      <c r="U30" s="19">
        <f>(M30-Settings!$D$25)/Settings!$E$25</f>
        <v>-1.7969499169360161</v>
      </c>
      <c r="V30" s="31">
        <f>Settings!$B$18*(N30-F$6)^2</f>
        <v>0.13666766104807523</v>
      </c>
      <c r="W30" s="31">
        <f>Settings!$B$19*(O30-G$6)^2</f>
        <v>0.14506141686437157</v>
      </c>
      <c r="X30" s="31">
        <f>Settings!$B$20*(P30-H$6)^2</f>
        <v>0.15441777679607926</v>
      </c>
      <c r="Y30" s="31">
        <f>Settings!$B$21*(Q30-I$6)^2</f>
        <v>3.3224866681484631E-2</v>
      </c>
      <c r="Z30" s="31">
        <f>Settings!$B$22*(R30-J$6)^2</f>
        <v>1.2325577525057786E-2</v>
      </c>
      <c r="AA30" s="31">
        <f>Settings!$B$23*(S30-K$6)^2</f>
        <v>1.4397310160576255</v>
      </c>
      <c r="AB30" s="31">
        <f>Settings!$B$24*(T30-L$6)^2</f>
        <v>0.17828103014939539</v>
      </c>
      <c r="AC30" s="31">
        <f>Settings!$B$25*(U30-M$6)^2</f>
        <v>0.42615384499092263</v>
      </c>
      <c r="AD30" s="19">
        <f t="shared" si="0"/>
        <v>1.5892964450073537</v>
      </c>
      <c r="AE30" s="15">
        <f t="shared" si="1"/>
        <v>0.62907234623009645</v>
      </c>
      <c r="AF30" s="33">
        <f t="shared" si="2"/>
        <v>0.82047978317524317</v>
      </c>
      <c r="AG30" s="47">
        <f t="shared" si="3"/>
        <v>4.8371232493383248E-3</v>
      </c>
      <c r="AH30" s="18">
        <v>-1.3212618068450011</v>
      </c>
      <c r="AI30" s="46">
        <v>1</v>
      </c>
      <c r="AJ30" s="48"/>
      <c r="AK30" s="48"/>
      <c r="AL30" s="48"/>
      <c r="AM30" s="48"/>
      <c r="AN30" s="48"/>
      <c r="AO30" s="48"/>
      <c r="AP30" s="48"/>
      <c r="AQ30" s="48"/>
    </row>
    <row r="31" spans="1:43" ht="20" customHeight="1" x14ac:dyDescent="0.45">
      <c r="A31" s="26">
        <v>21</v>
      </c>
      <c r="B31" s="16" t="s">
        <v>579</v>
      </c>
      <c r="C31" s="16" t="s">
        <v>236</v>
      </c>
      <c r="D31" s="46">
        <v>29</v>
      </c>
      <c r="E31" s="46">
        <v>0</v>
      </c>
      <c r="F31" s="13">
        <v>0.27701205874358681</v>
      </c>
      <c r="G31" s="13">
        <v>-0.25311201515191573</v>
      </c>
      <c r="H31" s="13">
        <v>2.8322590104206829E-2</v>
      </c>
      <c r="I31" s="13">
        <v>-1.046007228631775E-4</v>
      </c>
      <c r="J31" s="13">
        <v>0.44144873527742751</v>
      </c>
      <c r="K31" s="13">
        <v>16.241935483870972</v>
      </c>
      <c r="L31" s="13">
        <v>0.89830145470587974</v>
      </c>
      <c r="M31" s="13">
        <v>-2.0661352586998309</v>
      </c>
      <c r="N31" s="19">
        <f>(F31-Settings!$D$18)/Settings!$E$18</f>
        <v>0.30309882190005843</v>
      </c>
      <c r="O31" s="19">
        <f>(G31-Settings!$D$19)/Settings!$E$19</f>
        <v>-1.0268259290396411</v>
      </c>
      <c r="P31" s="19">
        <f>(H31-Settings!$D$20)/Settings!$E$20</f>
        <v>-0.22473449804858123</v>
      </c>
      <c r="Q31" s="19">
        <f>(I31-Settings!$D$21)/Settings!$E$21</f>
        <v>3.4922817154161782E-2</v>
      </c>
      <c r="R31" s="19">
        <f>(J31-Settings!$D$22)/Settings!$E$22</f>
        <v>0.52085629903632813</v>
      </c>
      <c r="S31" s="19">
        <f>(K31-Settings!$D$23)/Settings!$E$23</f>
        <v>0.34266650731410547</v>
      </c>
      <c r="T31" s="19">
        <f>(L31-Settings!$D$24)/Settings!$E$24</f>
        <v>-0.28343224056879107</v>
      </c>
      <c r="U31" s="19">
        <f>(M31-Settings!$D$25)/Settings!$E$25</f>
        <v>-1.3574543720393792</v>
      </c>
      <c r="V31" s="31">
        <f>Settings!$B$18*(N31-F$6)^2</f>
        <v>3.4894656420353359E-2</v>
      </c>
      <c r="W31" s="31">
        <f>Settings!$B$19*(O31-G$6)^2</f>
        <v>0.18359759279668755</v>
      </c>
      <c r="X31" s="31">
        <f>Settings!$B$20*(P31-H$6)^2</f>
        <v>2.3203786956911651E-2</v>
      </c>
      <c r="Y31" s="31">
        <f>Settings!$B$21*(Q31-I$6)^2</f>
        <v>3.1181183647712787E-2</v>
      </c>
      <c r="Z31" s="31">
        <f>Settings!$B$22*(R31-J$6)^2</f>
        <v>2.7741210504646438E-3</v>
      </c>
      <c r="AA31" s="31">
        <f>Settings!$B$23*(S31-K$6)^2</f>
        <v>0.64643620581391115</v>
      </c>
      <c r="AB31" s="31">
        <f>Settings!$B$24*(T31-L$6)^2</f>
        <v>0.45874707327509667</v>
      </c>
      <c r="AC31" s="31">
        <f>Settings!$B$25*(U31-M$6)^2</f>
        <v>1.1931196052189554</v>
      </c>
      <c r="AD31" s="19">
        <f t="shared" si="0"/>
        <v>1.6043547691143918</v>
      </c>
      <c r="AE31" s="15">
        <f t="shared" si="1"/>
        <v>0.63503270391293509</v>
      </c>
      <c r="AF31" s="33">
        <f t="shared" si="2"/>
        <v>0.81739463814534974</v>
      </c>
      <c r="AG31" s="47">
        <f t="shared" si="3"/>
        <v>4.8189348343917367E-3</v>
      </c>
      <c r="AH31" s="18">
        <v>-0.91549368807579623</v>
      </c>
      <c r="AI31" s="46">
        <v>1</v>
      </c>
      <c r="AJ31" s="18">
        <v>0.5165209273384086</v>
      </c>
      <c r="AK31" s="46">
        <v>1</v>
      </c>
      <c r="AL31" s="18">
        <v>-0.10321603689357529</v>
      </c>
      <c r="AM31" s="46">
        <v>1</v>
      </c>
      <c r="AN31" s="18">
        <v>-0.49326482458929177</v>
      </c>
      <c r="AO31" s="46">
        <v>1</v>
      </c>
      <c r="AP31" s="18">
        <v>-0.41840509866092779</v>
      </c>
      <c r="AQ31" s="46">
        <v>1</v>
      </c>
    </row>
    <row r="32" spans="1:43" ht="20" customHeight="1" x14ac:dyDescent="0.45">
      <c r="A32" s="26">
        <v>22</v>
      </c>
      <c r="B32" s="16" t="s">
        <v>398</v>
      </c>
      <c r="C32" s="16" t="s">
        <v>234</v>
      </c>
      <c r="D32" s="46">
        <v>29</v>
      </c>
      <c r="E32" s="46">
        <v>1</v>
      </c>
      <c r="F32" s="13">
        <v>0.36930858596533928</v>
      </c>
      <c r="G32" s="13">
        <v>-2.712042143435708E-2</v>
      </c>
      <c r="H32" s="13">
        <v>5.5140133437552953E-2</v>
      </c>
      <c r="I32" s="13">
        <v>2.9184528745823841E-4</v>
      </c>
      <c r="J32" s="13">
        <v>0.54813901387529251</v>
      </c>
      <c r="K32" s="13">
        <v>17.342206235012021</v>
      </c>
      <c r="L32" s="13">
        <v>2.589082600458291</v>
      </c>
      <c r="M32" s="13">
        <v>-1.493704058929139</v>
      </c>
      <c r="N32" s="19">
        <f>(F32-Settings!$D$18)/Settings!$E$18</f>
        <v>0.63342233921368452</v>
      </c>
      <c r="O32" s="19">
        <f>(G32-Settings!$D$19)/Settings!$E$19</f>
        <v>-8.5316145562078935E-2</v>
      </c>
      <c r="P32" s="19">
        <f>(H32-Settings!$D$20)/Settings!$E$20</f>
        <v>1.8237601516046302E-2</v>
      </c>
      <c r="Q32" s="19">
        <f>(I32-Settings!$D$21)/Settings!$E$21</f>
        <v>3.9798035668122442E-2</v>
      </c>
      <c r="R32" s="19">
        <f>(J32-Settings!$D$22)/Settings!$E$22</f>
        <v>0.80791151664460059</v>
      </c>
      <c r="S32" s="19">
        <f>(K32-Settings!$D$23)/Settings!$E$23</f>
        <v>0.72476523160488815</v>
      </c>
      <c r="T32" s="19">
        <f>(L32-Settings!$D$24)/Settings!$E$24</f>
        <v>0.88549724848379274</v>
      </c>
      <c r="U32" s="19">
        <f>(M32-Settings!$D$25)/Settings!$E$25</f>
        <v>-0.97140039545997636</v>
      </c>
      <c r="V32" s="31">
        <f>Settings!$B$18*(N32-F$6)^2</f>
        <v>1.5269296148904196E-3</v>
      </c>
      <c r="W32" s="31">
        <f>Settings!$B$19*(O32-G$6)^2</f>
        <v>5.5159159554676964E-5</v>
      </c>
      <c r="X32" s="31">
        <f>Settings!$B$20*(P32-H$6)^2</f>
        <v>1.9068476438596352E-3</v>
      </c>
      <c r="Y32" s="31">
        <f>Settings!$B$21*(Q32-I$6)^2</f>
        <v>3.0415946678895953E-2</v>
      </c>
      <c r="Z32" s="31">
        <f>Settings!$B$22*(R32-J$6)^2</f>
        <v>5.7312576978746929E-3</v>
      </c>
      <c r="AA32" s="31">
        <f>Settings!$B$23*(S32-K$6)^2</f>
        <v>0.1780112895781473</v>
      </c>
      <c r="AB32" s="31">
        <f>Settings!$B$24*(T32-L$6)^2</f>
        <v>0.24169100155015277</v>
      </c>
      <c r="AC32" s="31">
        <f>Settings!$B$25*(U32-M$6)^2</f>
        <v>2.1855309066956061</v>
      </c>
      <c r="AD32" s="19">
        <f t="shared" si="0"/>
        <v>1.6263054259944476</v>
      </c>
      <c r="AE32" s="15">
        <f t="shared" si="1"/>
        <v>0.64372117186251554</v>
      </c>
      <c r="AF32" s="33">
        <f t="shared" si="2"/>
        <v>0.8128664317255202</v>
      </c>
      <c r="AG32" s="47">
        <f t="shared" si="3"/>
        <v>4.7922388779522073E-3</v>
      </c>
      <c r="AH32" s="18">
        <v>-1.324973471395015</v>
      </c>
      <c r="AI32" s="46">
        <v>1</v>
      </c>
      <c r="AJ32" s="18">
        <v>1.4181510361965779</v>
      </c>
      <c r="AK32" s="46">
        <v>1</v>
      </c>
      <c r="AL32" s="18">
        <v>3.9773760363460031E-2</v>
      </c>
      <c r="AM32" s="46">
        <v>1</v>
      </c>
      <c r="AN32" s="18">
        <v>-1.4394787299329159</v>
      </c>
      <c r="AO32" s="46">
        <v>1</v>
      </c>
      <c r="AP32" s="18">
        <v>1.708510705391264</v>
      </c>
      <c r="AQ32" s="46">
        <v>1</v>
      </c>
    </row>
    <row r="33" spans="1:43" ht="20" customHeight="1" x14ac:dyDescent="0.45">
      <c r="A33" s="26">
        <v>23</v>
      </c>
      <c r="B33" s="16" t="s">
        <v>576</v>
      </c>
      <c r="C33" s="16" t="s">
        <v>214</v>
      </c>
      <c r="D33" s="46">
        <v>29</v>
      </c>
      <c r="E33" s="46">
        <v>1</v>
      </c>
      <c r="F33" s="13">
        <v>0.2728524670433688</v>
      </c>
      <c r="G33" s="13">
        <v>0.18033751278788351</v>
      </c>
      <c r="H33" s="13">
        <v>5.153838483551005E-2</v>
      </c>
      <c r="I33" s="13">
        <v>0.1193746568426086</v>
      </c>
      <c r="J33" s="13">
        <v>0.37589697849062909</v>
      </c>
      <c r="K33" s="13">
        <v>14.803444444444469</v>
      </c>
      <c r="L33" s="13">
        <v>1.9403230130140721</v>
      </c>
      <c r="M33" s="13">
        <v>-2.5342061048151159</v>
      </c>
      <c r="N33" s="19">
        <f>(F33-Settings!$D$18)/Settings!$E$18</f>
        <v>0.28821190250705275</v>
      </c>
      <c r="O33" s="19">
        <f>(G33-Settings!$D$19)/Settings!$E$19</f>
        <v>0.77898005022650008</v>
      </c>
      <c r="P33" s="19">
        <f>(H33-Settings!$D$20)/Settings!$E$20</f>
        <v>-1.4394933428128013E-2</v>
      </c>
      <c r="Q33" s="19">
        <f>(I33-Settings!$D$21)/Settings!$E$21</f>
        <v>1.504195992700093</v>
      </c>
      <c r="R33" s="19">
        <f>(J33-Settings!$D$22)/Settings!$E$22</f>
        <v>0.34448621118639799</v>
      </c>
      <c r="S33" s="19">
        <f>(K33-Settings!$D$23)/Settings!$E$23</f>
        <v>-0.1568883436156055</v>
      </c>
      <c r="T33" s="19">
        <f>(L33-Settings!$D$24)/Settings!$E$24</f>
        <v>0.43697425958349828</v>
      </c>
      <c r="U33" s="19">
        <f>(M33-Settings!$D$25)/Settings!$E$25</f>
        <v>-1.6731265637998523</v>
      </c>
      <c r="V33" s="31">
        <f>Settings!$B$18*(N33-F$6)^2</f>
        <v>3.7426286930040568E-2</v>
      </c>
      <c r="W33" s="31">
        <f>Settings!$B$19*(O33-G$6)^2</f>
        <v>0.14371536034442567</v>
      </c>
      <c r="X33" s="31">
        <f>Settings!$B$20*(P33-H$6)^2</f>
        <v>3.3943650874539398E-3</v>
      </c>
      <c r="Y33" s="31">
        <f>Settings!$B$21*(Q33-I$6)^2</f>
        <v>0.23087736088066799</v>
      </c>
      <c r="Z33" s="31">
        <f>Settings!$B$22*(R33-J$6)^2</f>
        <v>1.7304094025764813E-2</v>
      </c>
      <c r="AA33" s="31">
        <f>Settings!$B$23*(S33-K$6)^2</f>
        <v>1.6992880097155436</v>
      </c>
      <c r="AB33" s="31">
        <f>Settings!$B$24*(T33-L$6)^2</f>
        <v>1.8574204938127696E-3</v>
      </c>
      <c r="AC33" s="31">
        <f>Settings!$B$25*(U33-M$6)^2</f>
        <v>0.60315097665233874</v>
      </c>
      <c r="AD33" s="19">
        <f t="shared" si="0"/>
        <v>1.6543922975310446</v>
      </c>
      <c r="AE33" s="15">
        <f t="shared" si="1"/>
        <v>0.65483846482022334</v>
      </c>
      <c r="AF33" s="33">
        <f t="shared" si="2"/>
        <v>0.80702009713920542</v>
      </c>
      <c r="AG33" s="47">
        <f t="shared" si="3"/>
        <v>4.757771921507001E-3</v>
      </c>
      <c r="AH33" s="48"/>
      <c r="AI33" s="48"/>
      <c r="AJ33" s="48"/>
      <c r="AK33" s="48"/>
      <c r="AL33" s="48"/>
      <c r="AM33" s="48"/>
      <c r="AN33" s="48"/>
      <c r="AO33" s="48"/>
      <c r="AP33" s="48"/>
      <c r="AQ33" s="48"/>
    </row>
    <row r="34" spans="1:43" ht="20" customHeight="1" x14ac:dyDescent="0.45">
      <c r="A34" s="26">
        <v>24</v>
      </c>
      <c r="B34" s="16" t="s">
        <v>448</v>
      </c>
      <c r="C34" s="16" t="s">
        <v>220</v>
      </c>
      <c r="D34" s="46">
        <v>29</v>
      </c>
      <c r="E34" s="46">
        <v>1</v>
      </c>
      <c r="F34" s="13">
        <v>0.35310666356480902</v>
      </c>
      <c r="G34" s="13">
        <v>8.4188646382146667E-2</v>
      </c>
      <c r="H34" s="13">
        <v>0.19185430915396909</v>
      </c>
      <c r="I34" s="13">
        <v>1.6315869777629909E-2</v>
      </c>
      <c r="J34" s="13">
        <v>0.35453451112144541</v>
      </c>
      <c r="K34" s="13">
        <v>18.19891304347826</v>
      </c>
      <c r="L34" s="13">
        <v>3.8489201608600419</v>
      </c>
      <c r="M34" s="13">
        <v>-2.6040254153305651</v>
      </c>
      <c r="N34" s="19">
        <f>(F34-Settings!$D$18)/Settings!$E$18</f>
        <v>0.57543666894326229</v>
      </c>
      <c r="O34" s="19">
        <f>(G34-Settings!$D$19)/Settings!$E$19</f>
        <v>0.37841161800235529</v>
      </c>
      <c r="P34" s="19">
        <f>(H34-Settings!$D$20)/Settings!$E$20</f>
        <v>1.2568943233926042</v>
      </c>
      <c r="Q34" s="19">
        <f>(I34-Settings!$D$21)/Settings!$E$21</f>
        <v>0.23685039293439464</v>
      </c>
      <c r="R34" s="19">
        <f>(J34-Settings!$D$22)/Settings!$E$22</f>
        <v>0.28700948697215128</v>
      </c>
      <c r="S34" s="19">
        <f>(K34-Settings!$D$23)/Settings!$E$23</f>
        <v>1.0222798008749507</v>
      </c>
      <c r="T34" s="19">
        <f>(L34-Settings!$D$24)/Settings!$E$24</f>
        <v>1.7564918650663701</v>
      </c>
      <c r="U34" s="19">
        <f>(M34-Settings!$D$25)/Settings!$E$25</f>
        <v>-1.7202134844242323</v>
      </c>
      <c r="V34" s="31">
        <f>Settings!$B$18*(N34-F$6)^2</f>
        <v>4.2260305527203265E-3</v>
      </c>
      <c r="W34" s="31">
        <f>Settings!$B$19*(O34-G$6)^2</f>
        <v>3.998337740991658E-2</v>
      </c>
      <c r="X34" s="31">
        <f>Settings!$B$20*(P34-H$6)^2</f>
        <v>0.2603822692590182</v>
      </c>
      <c r="Y34" s="31">
        <f>Settings!$B$21*(Q34-I$6)^2</f>
        <v>7.4437533053922523E-3</v>
      </c>
      <c r="Z34" s="31">
        <f>Settings!$B$22*(R34-J$6)^2</f>
        <v>2.472737351831172E-2</v>
      </c>
      <c r="AA34" s="31">
        <f>Settings!$B$23*(S34-K$6)^2</f>
        <v>1.5475178910362836E-2</v>
      </c>
      <c r="AB34" s="31">
        <f>Settings!$B$24*(T34-L$6)^2</f>
        <v>1.8567207473369602</v>
      </c>
      <c r="AC34" s="31">
        <f>Settings!$B$25*(U34-M$6)^2</f>
        <v>0.53223011723523084</v>
      </c>
      <c r="AD34" s="19">
        <f t="shared" si="0"/>
        <v>1.6556536013091365</v>
      </c>
      <c r="AE34" s="15">
        <f t="shared" si="1"/>
        <v>0.65533771172251509</v>
      </c>
      <c r="AF34" s="33">
        <f t="shared" si="2"/>
        <v>0.80675620380809354</v>
      </c>
      <c r="AG34" s="47">
        <f t="shared" si="3"/>
        <v>4.7562161432983937E-3</v>
      </c>
      <c r="AH34" s="18">
        <v>-0.62251684458959078</v>
      </c>
      <c r="AI34" s="46">
        <v>1</v>
      </c>
      <c r="AJ34" s="18">
        <v>0.31473325275321612</v>
      </c>
      <c r="AK34" s="46">
        <v>1</v>
      </c>
      <c r="AL34" s="18">
        <v>-0.34422719069700092</v>
      </c>
      <c r="AM34" s="46">
        <v>1</v>
      </c>
      <c r="AN34" s="18">
        <v>1.2084003248123021</v>
      </c>
      <c r="AO34" s="46">
        <v>1</v>
      </c>
      <c r="AP34" s="48"/>
      <c r="AQ34" s="48"/>
    </row>
    <row r="35" spans="1:43" ht="20" customHeight="1" x14ac:dyDescent="0.45">
      <c r="A35" s="26">
        <v>25</v>
      </c>
      <c r="B35" s="16" t="s">
        <v>291</v>
      </c>
      <c r="C35" s="16" t="s">
        <v>218</v>
      </c>
      <c r="D35" s="46">
        <v>29</v>
      </c>
      <c r="E35" s="46">
        <v>0</v>
      </c>
      <c r="F35" s="13">
        <v>0.33325036584720169</v>
      </c>
      <c r="G35" s="13">
        <v>-3.0412581489263769E-2</v>
      </c>
      <c r="H35" s="13">
        <v>6.7464065917179253E-2</v>
      </c>
      <c r="I35" s="13">
        <v>8.8674476702091075E-3</v>
      </c>
      <c r="J35" s="13">
        <v>0.56000553907614614</v>
      </c>
      <c r="K35" s="13">
        <v>17.887638888888851</v>
      </c>
      <c r="L35" s="13">
        <v>4.1259399238880627</v>
      </c>
      <c r="M35" s="13">
        <v>-4.4835648994899291</v>
      </c>
      <c r="N35" s="19">
        <f>(F35-Settings!$D$18)/Settings!$E$18</f>
        <v>0.50437221722074133</v>
      </c>
      <c r="O35" s="19">
        <f>(G35-Settings!$D$19)/Settings!$E$19</f>
        <v>-9.9031703957328437E-2</v>
      </c>
      <c r="P35" s="19">
        <f>(H35-Settings!$D$20)/Settings!$E$20</f>
        <v>0.1298947996511258</v>
      </c>
      <c r="Q35" s="19">
        <f>(I35-Settings!$D$21)/Settings!$E$21</f>
        <v>0.14525485555352538</v>
      </c>
      <c r="R35" s="19">
        <f>(J35-Settings!$D$22)/Settings!$E$22</f>
        <v>0.83983896138044412</v>
      </c>
      <c r="S35" s="19">
        <f>(K35-Settings!$D$23)/Settings!$E$23</f>
        <v>0.91418144667444201</v>
      </c>
      <c r="T35" s="19">
        <f>(L35-Settings!$D$24)/Settings!$E$24</f>
        <v>1.948010779780617</v>
      </c>
      <c r="U35" s="19">
        <f>(M35-Settings!$D$25)/Settings!$E$25</f>
        <v>-2.9877958459174367</v>
      </c>
      <c r="V35" s="31">
        <f>Settings!$B$18*(N35-F$6)^2</f>
        <v>9.3680942241271721E-3</v>
      </c>
      <c r="W35" s="31">
        <f>Settings!$B$19*(O35-G$6)^2</f>
        <v>1.8389273242347889E-4</v>
      </c>
      <c r="X35" s="31">
        <f>Settings!$B$20*(P35-H$6)^2</f>
        <v>3.9277173995807315E-5</v>
      </c>
      <c r="Y35" s="31">
        <f>Settings!$B$21*(Q35-I$6)^2</f>
        <v>1.6190007011901791E-2</v>
      </c>
      <c r="Z35" s="31">
        <f>Settings!$B$22*(R35-J$6)^2</f>
        <v>8.0970226857974108E-3</v>
      </c>
      <c r="AA35" s="31">
        <f>Settings!$B$23*(S35-K$6)^2</f>
        <v>5.4055146256589338E-2</v>
      </c>
      <c r="AB35" s="31">
        <f>Settings!$B$24*(T35-L$6)^2</f>
        <v>2.4153334898654011</v>
      </c>
      <c r="AC35" s="31">
        <f>Settings!$B$25*(U35-M$6)^2</f>
        <v>0.28948847234340663</v>
      </c>
      <c r="AD35" s="19">
        <f t="shared" si="0"/>
        <v>1.671153913406435</v>
      </c>
      <c r="AE35" s="15">
        <f t="shared" si="1"/>
        <v>0.6614730162649608</v>
      </c>
      <c r="AF35" s="33">
        <f t="shared" si="2"/>
        <v>0.80350387141795077</v>
      </c>
      <c r="AG35" s="47">
        <f t="shared" si="3"/>
        <v>4.7370420783896233E-3</v>
      </c>
      <c r="AH35" s="18">
        <v>-1.792101225235059</v>
      </c>
      <c r="AI35" s="46">
        <v>0</v>
      </c>
      <c r="AJ35" s="18">
        <v>-0.2834928012221356</v>
      </c>
      <c r="AK35" s="46">
        <v>0</v>
      </c>
      <c r="AL35" s="18">
        <v>-4.1966736985375341E-2</v>
      </c>
      <c r="AM35" s="46">
        <v>0</v>
      </c>
      <c r="AN35" s="18">
        <v>1.1970078082778839</v>
      </c>
      <c r="AO35" s="46">
        <v>0</v>
      </c>
      <c r="AP35" s="18">
        <v>-2.1430795417978938</v>
      </c>
      <c r="AQ35" s="46">
        <v>1</v>
      </c>
    </row>
    <row r="36" spans="1:43" ht="20" customHeight="1" x14ac:dyDescent="0.45">
      <c r="A36" s="26">
        <v>26</v>
      </c>
      <c r="B36" s="16" t="s">
        <v>370</v>
      </c>
      <c r="C36" s="16" t="s">
        <v>214</v>
      </c>
      <c r="D36" s="46">
        <v>29</v>
      </c>
      <c r="E36" s="46">
        <v>1</v>
      </c>
      <c r="F36" s="13">
        <v>0.53946321275943521</v>
      </c>
      <c r="G36" s="13">
        <v>0.14461430705689329</v>
      </c>
      <c r="H36" s="13">
        <v>0.16832430129991779</v>
      </c>
      <c r="I36" s="13">
        <v>-5.7378298142845459E-2</v>
      </c>
      <c r="J36" s="13">
        <v>-9.0219880740908032E-2</v>
      </c>
      <c r="K36" s="13">
        <v>17.315021929824539</v>
      </c>
      <c r="L36" s="13">
        <v>1.4066645485008911</v>
      </c>
      <c r="M36" s="13">
        <v>-1.8884640293533439</v>
      </c>
      <c r="N36" s="19">
        <f>(F36-Settings!$D$18)/Settings!$E$18</f>
        <v>1.242395141351428</v>
      </c>
      <c r="O36" s="19">
        <f>(G36-Settings!$D$19)/Settings!$E$19</f>
        <v>0.63015262200390854</v>
      </c>
      <c r="P36" s="19">
        <f>(H36-Settings!$D$20)/Settings!$E$20</f>
        <v>1.0437079274574448</v>
      </c>
      <c r="Q36" s="19">
        <f>(I36-Settings!$D$21)/Settings!$E$21</f>
        <v>-0.66938945426585095</v>
      </c>
      <c r="R36" s="19">
        <f>(J36-Settings!$D$22)/Settings!$E$22</f>
        <v>-0.90962314363040431</v>
      </c>
      <c r="S36" s="19">
        <f>(K36-Settings!$D$23)/Settings!$E$23</f>
        <v>0.71532474768572885</v>
      </c>
      <c r="T36" s="19">
        <f>(L36-Settings!$D$24)/Settings!$E$24</f>
        <v>6.8026972810685926E-2</v>
      </c>
      <c r="U36" s="19">
        <f>(M36-Settings!$D$25)/Settings!$E$25</f>
        <v>-1.2376309161543071</v>
      </c>
      <c r="V36" s="31">
        <f>Settings!$B$18*(N36-F$6)^2</f>
        <v>5.441254606560203E-2</v>
      </c>
      <c r="W36" s="31">
        <f>Settings!$B$19*(O36-G$6)^2</f>
        <v>9.7681525848320835E-2</v>
      </c>
      <c r="X36" s="31">
        <f>Settings!$B$20*(P36-H$6)^2</f>
        <v>0.17217255205242502</v>
      </c>
      <c r="Y36" s="31">
        <f>Settings!$B$21*(Q36-I$6)^2</f>
        <v>0.24163120336031041</v>
      </c>
      <c r="Z36" s="31">
        <f>Settings!$B$22*(R36-J$6)^2</f>
        <v>0.47941745579760281</v>
      </c>
      <c r="AA36" s="31">
        <f>Settings!$B$23*(S36-K$6)^2</f>
        <v>0.18606655398508637</v>
      </c>
      <c r="AB36" s="31">
        <f>Settings!$B$24*(T36-L$6)^2</f>
        <v>0.10617788705498096</v>
      </c>
      <c r="AC36" s="31">
        <f>Settings!$B$25*(U36-M$6)^2</f>
        <v>1.469243622104708</v>
      </c>
      <c r="AD36" s="19">
        <f t="shared" si="0"/>
        <v>1.6753517082299574</v>
      </c>
      <c r="AE36" s="15">
        <f t="shared" si="1"/>
        <v>0.66313457956041855</v>
      </c>
      <c r="AF36" s="33">
        <f t="shared" si="2"/>
        <v>0.80262013415168421</v>
      </c>
      <c r="AG36" s="47">
        <f t="shared" si="3"/>
        <v>4.7318320218292763E-3</v>
      </c>
      <c r="AH36" s="48"/>
      <c r="AI36" s="48"/>
      <c r="AJ36" s="48"/>
      <c r="AK36" s="48"/>
      <c r="AL36" s="48"/>
      <c r="AM36" s="48"/>
      <c r="AN36" s="48"/>
      <c r="AO36" s="48"/>
      <c r="AP36" s="48"/>
      <c r="AQ36" s="48"/>
    </row>
    <row r="37" spans="1:43" ht="20" customHeight="1" x14ac:dyDescent="0.45">
      <c r="A37" s="26">
        <v>27</v>
      </c>
      <c r="B37" s="16" t="s">
        <v>577</v>
      </c>
      <c r="C37" s="16" t="s">
        <v>246</v>
      </c>
      <c r="D37" s="46">
        <v>29</v>
      </c>
      <c r="E37" s="46">
        <v>1</v>
      </c>
      <c r="F37" s="13">
        <v>0.41243474577927419</v>
      </c>
      <c r="G37" s="13">
        <v>-0.1137059524026108</v>
      </c>
      <c r="H37" s="13">
        <v>1.9141978887103079E-2</v>
      </c>
      <c r="I37" s="13">
        <v>-1.28579993243746E-5</v>
      </c>
      <c r="J37" s="13">
        <v>0.45470446493168759</v>
      </c>
      <c r="K37" s="13">
        <v>17.672814207650241</v>
      </c>
      <c r="L37" s="13">
        <v>1.8068382220273489</v>
      </c>
      <c r="M37" s="13">
        <v>-1.2673266688460221</v>
      </c>
      <c r="N37" s="19">
        <f>(F37-Settings!$D$18)/Settings!$E$18</f>
        <v>0.78776817677420252</v>
      </c>
      <c r="O37" s="19">
        <f>(G37-Settings!$D$19)/Settings!$E$19</f>
        <v>-0.44604250344640961</v>
      </c>
      <c r="P37" s="19">
        <f>(H37-Settings!$D$20)/Settings!$E$20</f>
        <v>-0.3079126010902794</v>
      </c>
      <c r="Q37" s="19">
        <f>(I37-Settings!$D$21)/Settings!$E$21</f>
        <v>3.6051005640545912E-2</v>
      </c>
      <c r="R37" s="19">
        <f>(J37-Settings!$D$22)/Settings!$E$22</f>
        <v>0.55652146375861988</v>
      </c>
      <c r="S37" s="19">
        <f>(K37-Settings!$D$23)/Settings!$E$23</f>
        <v>0.83957777611215489</v>
      </c>
      <c r="T37" s="19">
        <f>(L37-Settings!$D$24)/Settings!$E$24</f>
        <v>0.3446889221722127</v>
      </c>
      <c r="U37" s="19">
        <f>(M37-Settings!$D$25)/Settings!$E$25</f>
        <v>-0.81872896230912307</v>
      </c>
      <c r="V37" s="31">
        <f>Settings!$B$18*(N37-F$6)^2</f>
        <v>8.9697915171473713E-4</v>
      </c>
      <c r="W37" s="31">
        <f>Settings!$B$19*(O37-G$6)^2</f>
        <v>2.8476107812135051E-2</v>
      </c>
      <c r="X37" s="31">
        <f>Settings!$B$20*(P37-H$6)^2</f>
        <v>3.5920207563392634E-2</v>
      </c>
      <c r="Y37" s="31">
        <f>Settings!$B$21*(Q37-I$6)^2</f>
        <v>3.100325246533199E-2</v>
      </c>
      <c r="Z37" s="31">
        <f>Settings!$B$22*(R37-J$6)^2</f>
        <v>1.3483568529283757E-3</v>
      </c>
      <c r="AA37" s="31">
        <f>Settings!$B$23*(S37-K$6)^2</f>
        <v>9.4311206562837924E-2</v>
      </c>
      <c r="AB37" s="31">
        <f>Settings!$B$24*(T37-L$6)^2</f>
        <v>2.4194136893899471E-3</v>
      </c>
      <c r="AC37" s="31">
        <f>Settings!$B$25*(U37-M$6)^2</f>
        <v>2.660244357871564</v>
      </c>
      <c r="AD37" s="19">
        <f t="shared" si="0"/>
        <v>1.6895620385085877</v>
      </c>
      <c r="AE37" s="15">
        <f t="shared" si="1"/>
        <v>0.66875928591219114</v>
      </c>
      <c r="AF37" s="33">
        <f t="shared" si="2"/>
        <v>0.79961933864700918</v>
      </c>
      <c r="AG37" s="47">
        <f t="shared" si="3"/>
        <v>4.7141408879344225E-3</v>
      </c>
      <c r="AH37" s="18">
        <v>-1.8205177188241799</v>
      </c>
      <c r="AI37" s="46">
        <v>1</v>
      </c>
      <c r="AJ37" s="48"/>
      <c r="AK37" s="48"/>
      <c r="AL37" s="48"/>
      <c r="AM37" s="48"/>
      <c r="AN37" s="48"/>
      <c r="AO37" s="48"/>
      <c r="AP37" s="48"/>
      <c r="AQ37" s="48"/>
    </row>
    <row r="38" spans="1:43" ht="20" customHeight="1" x14ac:dyDescent="0.45">
      <c r="A38" s="26">
        <v>28</v>
      </c>
      <c r="B38" s="16" t="s">
        <v>563</v>
      </c>
      <c r="C38" s="16" t="s">
        <v>246</v>
      </c>
      <c r="D38" s="46">
        <v>29</v>
      </c>
      <c r="E38" s="46">
        <v>1</v>
      </c>
      <c r="F38" s="13">
        <v>-0.17488188479683259</v>
      </c>
      <c r="G38" s="13">
        <v>0.24409705284821809</v>
      </c>
      <c r="H38" s="13">
        <v>1.9473936593615251E-2</v>
      </c>
      <c r="I38" s="13">
        <v>8.086161685349683E-3</v>
      </c>
      <c r="J38" s="13">
        <v>0.55346096407598433</v>
      </c>
      <c r="K38" s="13">
        <v>15.63120567375887</v>
      </c>
      <c r="L38" s="13">
        <v>1.3962279679761189</v>
      </c>
      <c r="M38" s="13">
        <v>-2.5404688899033019</v>
      </c>
      <c r="N38" s="19">
        <f>(F38-Settings!$D$18)/Settings!$E$18</f>
        <v>-1.3142014317092261</v>
      </c>
      <c r="O38" s="19">
        <f>(G38-Settings!$D$19)/Settings!$E$19</f>
        <v>1.0446104206723119</v>
      </c>
      <c r="P38" s="19">
        <f>(H38-Settings!$D$20)/Settings!$E$20</f>
        <v>-0.30490500043441954</v>
      </c>
      <c r="Q38" s="19">
        <f>(I38-Settings!$D$21)/Settings!$E$21</f>
        <v>0.13564714151701238</v>
      </c>
      <c r="R38" s="19">
        <f>(J38-Settings!$D$22)/Settings!$E$22</f>
        <v>0.82223047422008999</v>
      </c>
      <c r="S38" s="19">
        <f>(K38-Settings!$D$23)/Settings!$E$23</f>
        <v>0.13057409179894461</v>
      </c>
      <c r="T38" s="19">
        <f>(L38-Settings!$D$24)/Settings!$E$24</f>
        <v>6.0811593829836745E-2</v>
      </c>
      <c r="U38" s="19">
        <f>(M38-Settings!$D$25)/Settings!$E$25</f>
        <v>-1.6773502558151108</v>
      </c>
      <c r="V38" s="31">
        <f>Settings!$B$18*(N38-F$6)^2</f>
        <v>0.82824519874206115</v>
      </c>
      <c r="W38" s="31">
        <f>Settings!$B$19*(O38-G$6)^2</f>
        <v>0.24789604641240431</v>
      </c>
      <c r="X38" s="31">
        <f>Settings!$B$20*(P38-H$6)^2</f>
        <v>3.5412175900193354E-2</v>
      </c>
      <c r="Y38" s="31">
        <f>Settings!$B$21*(Q38-I$6)^2</f>
        <v>1.7301892590378256E-2</v>
      </c>
      <c r="Z38" s="31">
        <f>Settings!$B$22*(R38-J$6)^2</f>
        <v>6.7418391068652566E-3</v>
      </c>
      <c r="AA38" s="31">
        <f>Settings!$B$23*(S38-K$6)^2</f>
        <v>1.032469332863424</v>
      </c>
      <c r="AB38" s="31">
        <f>Settings!$B$24*(T38-L$6)^2</f>
        <v>0.11093220380278787</v>
      </c>
      <c r="AC38" s="31">
        <f>Settings!$B$25*(U38-M$6)^2</f>
        <v>0.59660834166271581</v>
      </c>
      <c r="AD38" s="19">
        <f t="shared" si="0"/>
        <v>1.6957614900335571</v>
      </c>
      <c r="AE38" s="15">
        <f t="shared" si="1"/>
        <v>0.67121314121930109</v>
      </c>
      <c r="AF38" s="33">
        <f t="shared" si="2"/>
        <v>0.79830580514506355</v>
      </c>
      <c r="AG38" s="47">
        <f t="shared" si="3"/>
        <v>4.7063969756877891E-3</v>
      </c>
      <c r="AH38" s="18">
        <v>-0.84557559886594291</v>
      </c>
      <c r="AI38" s="46">
        <v>1</v>
      </c>
      <c r="AJ38" s="48"/>
      <c r="AK38" s="48"/>
      <c r="AL38" s="48"/>
      <c r="AM38" s="48"/>
      <c r="AN38" s="48"/>
      <c r="AO38" s="48"/>
      <c r="AP38" s="48"/>
      <c r="AQ38" s="48"/>
    </row>
    <row r="39" spans="1:43" ht="20" customHeight="1" x14ac:dyDescent="0.45">
      <c r="A39" s="26">
        <v>29</v>
      </c>
      <c r="B39" s="16" t="s">
        <v>272</v>
      </c>
      <c r="C39" s="16" t="s">
        <v>227</v>
      </c>
      <c r="D39" s="46">
        <v>29</v>
      </c>
      <c r="E39" s="46">
        <v>0</v>
      </c>
      <c r="F39" s="13">
        <v>0.38824322745495798</v>
      </c>
      <c r="G39" s="13">
        <v>-4.3879285221099303E-2</v>
      </c>
      <c r="H39" s="13">
        <v>0.19386045777343841</v>
      </c>
      <c r="I39" s="13">
        <v>-9.4341534342662209E-3</v>
      </c>
      <c r="J39" s="13">
        <v>0.36458287611623802</v>
      </c>
      <c r="K39" s="13">
        <v>19.3248427672956</v>
      </c>
      <c r="L39" s="13">
        <v>1.9526392889376389</v>
      </c>
      <c r="M39" s="13">
        <v>-1.330457286152301</v>
      </c>
      <c r="N39" s="19">
        <f>(F39-Settings!$D$18)/Settings!$E$18</f>
        <v>0.70118824075076092</v>
      </c>
      <c r="O39" s="19">
        <f>(G39-Settings!$D$19)/Settings!$E$19</f>
        <v>-0.15513570812025779</v>
      </c>
      <c r="P39" s="19">
        <f>(H39-Settings!$D$20)/Settings!$E$20</f>
        <v>1.2750704156637045</v>
      </c>
      <c r="Q39" s="19">
        <f>(I39-Settings!$D$21)/Settings!$E$21</f>
        <v>-7.980556179642577E-2</v>
      </c>
      <c r="R39" s="19">
        <f>(J39-Settings!$D$22)/Settings!$E$22</f>
        <v>0.31404508607354176</v>
      </c>
      <c r="S39" s="19">
        <f>(K39-Settings!$D$23)/Settings!$E$23</f>
        <v>1.413289296188279</v>
      </c>
      <c r="T39" s="19">
        <f>(L39-Settings!$D$24)/Settings!$E$24</f>
        <v>0.4454891748098323</v>
      </c>
      <c r="U39" s="19">
        <f>(M39-Settings!$D$25)/Settings!$E$25</f>
        <v>-0.86130495373789995</v>
      </c>
      <c r="V39" s="31">
        <f>Settings!$B$18*(N39-F$6)^2</f>
        <v>7.6914904439884737E-5</v>
      </c>
      <c r="W39" s="31">
        <f>Settings!$B$19*(O39-G$6)^2</f>
        <v>1.4939136286699654E-3</v>
      </c>
      <c r="X39" s="31">
        <f>Settings!$B$20*(P39-H$6)^2</f>
        <v>0.26874400852012997</v>
      </c>
      <c r="Y39" s="31">
        <f>Settings!$B$21*(Q39-I$6)^2</f>
        <v>5.1933868891386382E-2</v>
      </c>
      <c r="Z39" s="31">
        <f>Settings!$B$22*(R39-J$6)^2</f>
        <v>2.1071051559919628E-2</v>
      </c>
      <c r="AA39" s="31">
        <f>Settings!$B$23*(S39-K$6)^2</f>
        <v>7.1081011097529193E-2</v>
      </c>
      <c r="AB39" s="31">
        <f>Settings!$B$24*(T39-L$6)^2</f>
        <v>2.663872527488819E-3</v>
      </c>
      <c r="AC39" s="31">
        <f>Settings!$B$25*(U39-M$6)^2</f>
        <v>2.5231720129014259</v>
      </c>
      <c r="AD39" s="19">
        <f t="shared" si="0"/>
        <v>1.7147118282763987</v>
      </c>
      <c r="AE39" s="15">
        <f t="shared" si="1"/>
        <v>0.67871402865771924</v>
      </c>
      <c r="AF39" s="33">
        <f t="shared" si="2"/>
        <v>0.79427433578307505</v>
      </c>
      <c r="AG39" s="47">
        <f t="shared" si="3"/>
        <v>4.6826295233023049E-3</v>
      </c>
      <c r="AH39" s="18">
        <v>-0.58398628665907371</v>
      </c>
      <c r="AI39" s="46">
        <v>0</v>
      </c>
      <c r="AJ39" s="18">
        <v>0.1547231728191347</v>
      </c>
      <c r="AK39" s="46">
        <v>0</v>
      </c>
      <c r="AL39" s="18">
        <v>-0.44109037223960817</v>
      </c>
      <c r="AM39" s="46">
        <v>0</v>
      </c>
      <c r="AN39" s="18">
        <v>-0.83762074246140472</v>
      </c>
      <c r="AO39" s="46">
        <v>1</v>
      </c>
      <c r="AP39" s="48"/>
      <c r="AQ39" s="48"/>
    </row>
    <row r="40" spans="1:43" ht="20" customHeight="1" x14ac:dyDescent="0.45">
      <c r="A40" s="26">
        <v>30</v>
      </c>
      <c r="B40" s="16" t="s">
        <v>764</v>
      </c>
      <c r="C40" s="16" t="s">
        <v>227</v>
      </c>
      <c r="D40" s="46">
        <v>29</v>
      </c>
      <c r="E40" s="46">
        <v>0</v>
      </c>
      <c r="F40" s="13">
        <v>0.43298237038003201</v>
      </c>
      <c r="G40" s="13">
        <v>0.37546514853267782</v>
      </c>
      <c r="H40" s="13">
        <v>3.5395948253345022E-2</v>
      </c>
      <c r="I40" s="13">
        <v>2.2922521932707489E-2</v>
      </c>
      <c r="J40" s="13">
        <v>0.13323401090123771</v>
      </c>
      <c r="K40" s="13">
        <v>19.153246753246751</v>
      </c>
      <c r="L40" s="13">
        <v>1.4341445050825139</v>
      </c>
      <c r="M40" s="13">
        <v>-1.556623897680824</v>
      </c>
      <c r="N40" s="19">
        <f>(F40-Settings!$D$18)/Settings!$E$18</f>
        <v>0.86130684431534343</v>
      </c>
      <c r="O40" s="19">
        <f>(G40-Settings!$D$19)/Settings!$E$19</f>
        <v>1.5919066509839332</v>
      </c>
      <c r="P40" s="19">
        <f>(H40-Settings!$D$20)/Settings!$E$20</f>
        <v>-0.16064851302356012</v>
      </c>
      <c r="Q40" s="19">
        <f>(I40-Settings!$D$21)/Settings!$E$21</f>
        <v>0.31809442632905321</v>
      </c>
      <c r="R40" s="19">
        <f>(J40-Settings!$D$22)/Settings!$E$22</f>
        <v>-0.30840992782730053</v>
      </c>
      <c r="S40" s="19">
        <f>(K40-Settings!$D$23)/Settings!$E$23</f>
        <v>1.3536979474284838</v>
      </c>
      <c r="T40" s="19">
        <f>(L40-Settings!$D$24)/Settings!$E$24</f>
        <v>8.7025369904739733E-2</v>
      </c>
      <c r="U40" s="19">
        <f>(M40-Settings!$D$25)/Settings!$E$25</f>
        <v>-1.0138342354839884</v>
      </c>
      <c r="V40" s="31">
        <f>Settings!$B$18*(N40-F$6)^2</f>
        <v>3.9485014039803345E-3</v>
      </c>
      <c r="W40" s="31">
        <f>Settings!$B$19*(O40-G$6)^2</f>
        <v>0.55152889777576286</v>
      </c>
      <c r="X40" s="31">
        <f>Settings!$B$20*(P40-H$6)^2</f>
        <v>1.5293717119344453E-2</v>
      </c>
      <c r="Y40" s="31">
        <f>Settings!$B$21*(Q40-I$6)^2</f>
        <v>2.4943784139811243E-3</v>
      </c>
      <c r="Z40" s="31">
        <f>Settings!$B$22*(R40-J$6)^2</f>
        <v>0.17937686163720415</v>
      </c>
      <c r="AA40" s="31">
        <f>Settings!$B$23*(S40-K$6)^2</f>
        <v>4.285681436111461E-2</v>
      </c>
      <c r="AB40" s="31">
        <f>Settings!$B$24*(T40-L$6)^2</f>
        <v>9.4157590318771106E-2</v>
      </c>
      <c r="AC40" s="31">
        <f>Settings!$B$25*(U40-M$6)^2</f>
        <v>2.0618670529470506</v>
      </c>
      <c r="AD40" s="19">
        <f t="shared" si="0"/>
        <v>1.7179999458606536</v>
      </c>
      <c r="AE40" s="15">
        <f t="shared" si="1"/>
        <v>0.6800155252097978</v>
      </c>
      <c r="AF40" s="33">
        <f t="shared" si="2"/>
        <v>0.79357235601932874</v>
      </c>
      <c r="AG40" s="47">
        <f t="shared" si="3"/>
        <v>4.6784910147059794E-3</v>
      </c>
      <c r="AH40" s="18">
        <v>-0.13755240141190739</v>
      </c>
      <c r="AI40" s="46">
        <v>0</v>
      </c>
      <c r="AJ40" s="18">
        <v>0.26189136113932121</v>
      </c>
      <c r="AK40" s="46">
        <v>0</v>
      </c>
      <c r="AL40" s="18">
        <v>-0.53255318049225187</v>
      </c>
      <c r="AM40" s="46">
        <v>0</v>
      </c>
      <c r="AN40" s="18">
        <v>0.71737495478981472</v>
      </c>
      <c r="AO40" s="46">
        <v>1</v>
      </c>
      <c r="AP40" s="18">
        <v>-0.46078117517753059</v>
      </c>
      <c r="AQ40" s="46">
        <v>1</v>
      </c>
    </row>
    <row r="41" spans="1:43" ht="20" customHeight="1" x14ac:dyDescent="0.45">
      <c r="A41" s="26">
        <v>31</v>
      </c>
      <c r="B41" s="16" t="s">
        <v>268</v>
      </c>
      <c r="C41" s="16" t="s">
        <v>246</v>
      </c>
      <c r="D41" s="46">
        <v>29</v>
      </c>
      <c r="E41" s="46">
        <v>1</v>
      </c>
      <c r="F41" s="13">
        <v>0.36679608604357983</v>
      </c>
      <c r="G41" s="13">
        <v>-2.924868639634266E-2</v>
      </c>
      <c r="H41" s="13">
        <v>0.15770119388113379</v>
      </c>
      <c r="I41" s="13">
        <v>-2.3748132422194469E-2</v>
      </c>
      <c r="J41" s="13">
        <v>0.42250590125674931</v>
      </c>
      <c r="K41" s="13">
        <v>19.098353909465061</v>
      </c>
      <c r="L41" s="13">
        <v>2.727073052282909</v>
      </c>
      <c r="M41" s="13">
        <v>-1.421054721161795</v>
      </c>
      <c r="N41" s="19">
        <f>(F41-Settings!$D$18)/Settings!$E$18</f>
        <v>0.62443025861880175</v>
      </c>
      <c r="O41" s="19">
        <f>(G41-Settings!$D$19)/Settings!$E$19</f>
        <v>-9.4182768654468049E-2</v>
      </c>
      <c r="P41" s="19">
        <f>(H41-Settings!$D$20)/Settings!$E$20</f>
        <v>0.94746053143914344</v>
      </c>
      <c r="Q41" s="19">
        <f>(I41-Settings!$D$21)/Settings!$E$21</f>
        <v>-0.25582896360545115</v>
      </c>
      <c r="R41" s="19">
        <f>(J41-Settings!$D$22)/Settings!$E$22</f>
        <v>0.46988971226398857</v>
      </c>
      <c r="S41" s="19">
        <f>(K41-Settings!$D$23)/Settings!$E$23</f>
        <v>1.3346349253860228</v>
      </c>
      <c r="T41" s="19">
        <f>(L41-Settings!$D$24)/Settings!$E$24</f>
        <v>0.98089759568467516</v>
      </c>
      <c r="U41" s="19">
        <f>(M41-Settings!$D$25)/Settings!$E$25</f>
        <v>-0.92240487293748208</v>
      </c>
      <c r="V41" s="31">
        <f>Settings!$B$18*(N41-F$6)^2</f>
        <v>1.8573796333346852E-3</v>
      </c>
      <c r="W41" s="31">
        <f>Settings!$B$19*(O41-G$6)^2</f>
        <v>1.2978212203211328E-4</v>
      </c>
      <c r="X41" s="31">
        <f>Settings!$B$20*(P41-H$6)^2</f>
        <v>0.13830489498731074</v>
      </c>
      <c r="Y41" s="31">
        <f>Settings!$B$21*(Q41-I$6)^2</f>
        <v>9.4009750512976178E-2</v>
      </c>
      <c r="Z41" s="31">
        <f>Settings!$B$22*(R41-J$6)^2</f>
        <v>5.6946456548821328E-3</v>
      </c>
      <c r="AA41" s="31">
        <f>Settings!$B$23*(S41-K$6)^2</f>
        <v>3.5327402438419364E-2</v>
      </c>
      <c r="AB41" s="31">
        <f>Settings!$B$24*(T41-L$6)^2</f>
        <v>0.34459381598621253</v>
      </c>
      <c r="AC41" s="31">
        <f>Settings!$B$25*(U41-M$6)^2</f>
        <v>2.3327969331735514</v>
      </c>
      <c r="AD41" s="19">
        <f t="shared" si="0"/>
        <v>1.7183464739419461</v>
      </c>
      <c r="AE41" s="15">
        <f t="shared" si="1"/>
        <v>0.68015268730678602</v>
      </c>
      <c r="AF41" s="33">
        <f t="shared" si="2"/>
        <v>0.79349833364409394</v>
      </c>
      <c r="AG41" s="47">
        <f t="shared" si="3"/>
        <v>4.6780546171742406E-3</v>
      </c>
      <c r="AH41" s="18">
        <v>-8.168805090495912E-2</v>
      </c>
      <c r="AI41" s="46">
        <v>1</v>
      </c>
      <c r="AJ41" s="48"/>
      <c r="AK41" s="48"/>
      <c r="AL41" s="48"/>
      <c r="AM41" s="48"/>
      <c r="AN41" s="48"/>
      <c r="AO41" s="48"/>
      <c r="AP41" s="48"/>
      <c r="AQ41" s="48"/>
    </row>
    <row r="42" spans="1:43" ht="20" customHeight="1" x14ac:dyDescent="0.45">
      <c r="A42" s="26">
        <v>32</v>
      </c>
      <c r="B42" s="16" t="s">
        <v>409</v>
      </c>
      <c r="C42" s="16" t="s">
        <v>229</v>
      </c>
      <c r="D42" s="46">
        <v>29</v>
      </c>
      <c r="E42" s="46">
        <v>1</v>
      </c>
      <c r="F42" s="13">
        <v>0.50629142610711386</v>
      </c>
      <c r="G42" s="13">
        <v>-6.4531620230985666E-3</v>
      </c>
      <c r="H42" s="13">
        <v>0.1012935430148187</v>
      </c>
      <c r="I42" s="13">
        <v>-5.1058231867932097E-2</v>
      </c>
      <c r="J42" s="13">
        <v>0.33490363698703668</v>
      </c>
      <c r="K42" s="13">
        <v>17.68467908902689</v>
      </c>
      <c r="L42" s="13">
        <v>2.3429992131239339</v>
      </c>
      <c r="M42" s="13">
        <v>-1.2874396064513289</v>
      </c>
      <c r="N42" s="19">
        <f>(F42-Settings!$D$18)/Settings!$E$18</f>
        <v>1.1236753847971477</v>
      </c>
      <c r="O42" s="19">
        <f>(G42-Settings!$D$19)/Settings!$E$19</f>
        <v>7.862913174427811E-4</v>
      </c>
      <c r="P42" s="19">
        <f>(H42-Settings!$D$20)/Settings!$E$20</f>
        <v>0.43639636750228311</v>
      </c>
      <c r="Q42" s="19">
        <f>(I42-Settings!$D$21)/Settings!$E$21</f>
        <v>-0.59166965557766238</v>
      </c>
      <c r="R42" s="19">
        <f>(J42-Settings!$D$22)/Settings!$E$22</f>
        <v>0.23419169588048877</v>
      </c>
      <c r="S42" s="19">
        <f>(K42-Settings!$D$23)/Settings!$E$23</f>
        <v>0.84369817650740075</v>
      </c>
      <c r="T42" s="19">
        <f>(L42-Settings!$D$24)/Settings!$E$24</f>
        <v>0.71536634245628872</v>
      </c>
      <c r="U42" s="19">
        <f>(M42-Settings!$D$25)/Settings!$E$25</f>
        <v>-0.8322933514380394</v>
      </c>
      <c r="V42" s="31">
        <f>Settings!$B$18*(N42-F$6)^2</f>
        <v>3.2461906509942261E-2</v>
      </c>
      <c r="W42" s="31">
        <f>Settings!$B$19*(O42-G$6)^2</f>
        <v>9.6592034669826146E-4</v>
      </c>
      <c r="X42" s="31">
        <f>Settings!$B$20*(P42-H$6)^2</f>
        <v>2.0546016910158008E-2</v>
      </c>
      <c r="Y42" s="31">
        <f>Settings!$B$21*(Q42-I$6)^2</f>
        <v>0.20866863238560038</v>
      </c>
      <c r="Z42" s="31">
        <f>Settings!$B$22*(R42-J$6)^2</f>
        <v>3.2714041317021117E-2</v>
      </c>
      <c r="AA42" s="31">
        <f>Settings!$B$23*(S42-K$6)^2</f>
        <v>9.1797423651931068E-2</v>
      </c>
      <c r="AB42" s="31">
        <f>Settings!$B$24*(T42-L$6)^2</f>
        <v>0.10335574575163839</v>
      </c>
      <c r="AC42" s="31">
        <f>Settings!$B$25*(U42-M$6)^2</f>
        <v>2.6161806199360931</v>
      </c>
      <c r="AD42" s="19">
        <f t="shared" si="0"/>
        <v>1.7625805816498383</v>
      </c>
      <c r="AE42" s="15">
        <f t="shared" si="1"/>
        <v>0.69766134908389699</v>
      </c>
      <c r="AF42" s="33">
        <f t="shared" si="2"/>
        <v>0.78398477457693705</v>
      </c>
      <c r="AG42" s="47">
        <f t="shared" si="3"/>
        <v>4.6219676072425534E-3</v>
      </c>
      <c r="AH42" s="18">
        <v>-0.60225610299950549</v>
      </c>
      <c r="AI42" s="46">
        <v>1</v>
      </c>
      <c r="AJ42" s="18">
        <v>-0.51297341404414132</v>
      </c>
      <c r="AK42" s="46">
        <v>1</v>
      </c>
      <c r="AL42" s="18">
        <v>-1.4761329765023889</v>
      </c>
      <c r="AM42" s="46">
        <v>1</v>
      </c>
      <c r="AN42" s="48"/>
      <c r="AO42" s="48"/>
      <c r="AP42" s="48"/>
      <c r="AQ42" s="48"/>
    </row>
    <row r="43" spans="1:43" ht="20" customHeight="1" x14ac:dyDescent="0.45">
      <c r="A43" s="26">
        <v>33</v>
      </c>
      <c r="B43" s="16" t="s">
        <v>502</v>
      </c>
      <c r="C43" s="16" t="s">
        <v>218</v>
      </c>
      <c r="D43" s="46">
        <v>29</v>
      </c>
      <c r="E43" s="46">
        <v>0</v>
      </c>
      <c r="F43" s="13">
        <v>0.41263476146219208</v>
      </c>
      <c r="G43" s="13">
        <v>-0.12377860096013529</v>
      </c>
      <c r="H43" s="13">
        <v>0.20580724001012449</v>
      </c>
      <c r="I43" s="13">
        <v>-4.5554112447844477E-5</v>
      </c>
      <c r="J43" s="13">
        <v>-0.25773384345510009</v>
      </c>
      <c r="K43" s="13">
        <v>15.87283950617284</v>
      </c>
      <c r="L43" s="13">
        <v>0.37191841756110122</v>
      </c>
      <c r="M43" s="13">
        <v>-3.681057864470199</v>
      </c>
      <c r="N43" s="19">
        <f>(F43-Settings!$D$18)/Settings!$E$18</f>
        <v>0.78848402043471844</v>
      </c>
      <c r="O43" s="19">
        <f>(G43-Settings!$D$19)/Settings!$E$19</f>
        <v>-0.48800644115947694</v>
      </c>
      <c r="P43" s="19">
        <f>(H43-Settings!$D$20)/Settings!$E$20</f>
        <v>1.3833105600724442</v>
      </c>
      <c r="Q43" s="19">
        <f>(I43-Settings!$D$21)/Settings!$E$21</f>
        <v>3.5648931481936375E-2</v>
      </c>
      <c r="R43" s="19">
        <f>(J43-Settings!$D$22)/Settings!$E$22</f>
        <v>-1.3603273469682768</v>
      </c>
      <c r="S43" s="19">
        <f>(K43-Settings!$D$23)/Settings!$E$23</f>
        <v>0.21448796392098404</v>
      </c>
      <c r="T43" s="19">
        <f>(L43-Settings!$D$24)/Settings!$E$24</f>
        <v>-0.64734962644771732</v>
      </c>
      <c r="U43" s="19">
        <f>(M43-Settings!$D$25)/Settings!$E$25</f>
        <v>-2.4465761635758403</v>
      </c>
      <c r="V43" s="31">
        <f>Settings!$B$18*(N43-F$6)^2</f>
        <v>9.1625747610535433E-4</v>
      </c>
      <c r="W43" s="31">
        <f>Settings!$B$19*(O43-G$6)^2</f>
        <v>3.5162061329126769E-2</v>
      </c>
      <c r="X43" s="31">
        <f>Settings!$B$20*(P43-H$6)^2</f>
        <v>0.32127552509402468</v>
      </c>
      <c r="Y43" s="31">
        <f>Settings!$B$21*(Q43-I$6)^2</f>
        <v>3.1066606821430504E-2</v>
      </c>
      <c r="Z43" s="31">
        <f>Settings!$B$22*(R43-J$6)^2</f>
        <v>0.79916596129972184</v>
      </c>
      <c r="AA43" s="31">
        <f>Settings!$B$23*(S43-K$6)^2</f>
        <v>0.86898026388433869</v>
      </c>
      <c r="AB43" s="31">
        <f>Settings!$B$24*(T43-L$6)^2</f>
        <v>1.0841517591159526</v>
      </c>
      <c r="AC43" s="31">
        <f>Settings!$B$25*(U43-M$6)^2</f>
        <v>1.0101926234659985E-5</v>
      </c>
      <c r="AD43" s="19">
        <f t="shared" si="0"/>
        <v>1.7722100713366165</v>
      </c>
      <c r="AE43" s="15">
        <f t="shared" si="1"/>
        <v>0.70147287568064343</v>
      </c>
      <c r="AF43" s="33">
        <f t="shared" si="2"/>
        <v>0.78189712745623463</v>
      </c>
      <c r="AG43" s="47">
        <f t="shared" si="3"/>
        <v>4.6096599226035928E-3</v>
      </c>
      <c r="AH43" s="18">
        <v>-1.5545725925823779</v>
      </c>
      <c r="AI43" s="46">
        <v>0</v>
      </c>
      <c r="AJ43" s="18">
        <v>0.64254015481901583</v>
      </c>
      <c r="AK43" s="46">
        <v>0</v>
      </c>
      <c r="AL43" s="48"/>
      <c r="AM43" s="48"/>
      <c r="AN43" s="48"/>
      <c r="AO43" s="48"/>
      <c r="AP43" s="48"/>
      <c r="AQ43" s="48"/>
    </row>
    <row r="44" spans="1:43" ht="20" customHeight="1" x14ac:dyDescent="0.45">
      <c r="A44" s="26">
        <v>34</v>
      </c>
      <c r="B44" s="16" t="s">
        <v>228</v>
      </c>
      <c r="C44" s="16" t="s">
        <v>214</v>
      </c>
      <c r="D44" s="46">
        <v>29</v>
      </c>
      <c r="E44" s="46">
        <v>1</v>
      </c>
      <c r="F44" s="13">
        <v>0.26139862425090599</v>
      </c>
      <c r="G44" s="13">
        <v>-0.20357431431210521</v>
      </c>
      <c r="H44" s="13">
        <v>3.0586396021082769E-2</v>
      </c>
      <c r="I44" s="13">
        <v>-2.2324379443511081E-5</v>
      </c>
      <c r="J44" s="13">
        <v>0.50441834103646244</v>
      </c>
      <c r="K44" s="13">
        <v>18.62732426303857</v>
      </c>
      <c r="L44" s="13">
        <v>3.4721177178804941</v>
      </c>
      <c r="M44" s="13">
        <v>-1.7300840477486119</v>
      </c>
      <c r="N44" s="19">
        <f>(F44-Settings!$D$18)/Settings!$E$18</f>
        <v>0.24721931316646542</v>
      </c>
      <c r="O44" s="19">
        <f>(G44-Settings!$D$19)/Settings!$E$19</f>
        <v>-0.82044555344940295</v>
      </c>
      <c r="P44" s="19">
        <f>(H44-Settings!$D$20)/Settings!$E$20</f>
        <v>-0.20422398111594975</v>
      </c>
      <c r="Q44" s="19">
        <f>(I44-Settings!$D$21)/Settings!$E$21</f>
        <v>3.5934594652881825E-2</v>
      </c>
      <c r="R44" s="19">
        <f>(J44-Settings!$D$22)/Settings!$E$22</f>
        <v>0.69027898797687992</v>
      </c>
      <c r="S44" s="19">
        <f>(K44-Settings!$D$23)/Settings!$E$23</f>
        <v>1.1710571634432916</v>
      </c>
      <c r="T44" s="19">
        <f>(L44-Settings!$D$24)/Settings!$E$24</f>
        <v>1.4959877257504315</v>
      </c>
      <c r="U44" s="19">
        <f>(M44-Settings!$D$25)/Settings!$E$25</f>
        <v>-1.1308176926025988</v>
      </c>
      <c r="V44" s="31">
        <f>Settings!$B$18*(N44-F$6)^2</f>
        <v>4.4855508427500003E-2</v>
      </c>
      <c r="W44" s="31">
        <f>Settings!$B$19*(O44-G$6)^2</f>
        <v>0.11302155570585178</v>
      </c>
      <c r="X44" s="31">
        <f>Settings!$B$20*(P44-H$6)^2</f>
        <v>2.0493443033753084E-2</v>
      </c>
      <c r="Y44" s="31">
        <f>Settings!$B$21*(Q44-I$6)^2</f>
        <v>3.1021588557982767E-2</v>
      </c>
      <c r="Z44" s="31">
        <f>Settings!$B$22*(R44-J$6)^2</f>
        <v>5.3352704634789254E-4</v>
      </c>
      <c r="AA44" s="31">
        <f>Settings!$B$23*(S44-K$6)^2</f>
        <v>5.942912926578032E-4</v>
      </c>
      <c r="AB44" s="31">
        <f>Settings!$B$24*(T44-L$6)^2</f>
        <v>1.2146492463102152</v>
      </c>
      <c r="AC44" s="31">
        <f>Settings!$B$25*(U44-M$6)^2</f>
        <v>1.7395943449861115</v>
      </c>
      <c r="AD44" s="19">
        <f t="shared" si="0"/>
        <v>1.7789782194733077</v>
      </c>
      <c r="AE44" s="15">
        <f t="shared" si="1"/>
        <v>0.7041518314169104</v>
      </c>
      <c r="AF44" s="33">
        <f t="shared" si="2"/>
        <v>0.78042635407637706</v>
      </c>
      <c r="AG44" s="47">
        <f t="shared" si="3"/>
        <v>4.6009890055912503E-3</v>
      </c>
      <c r="AH44" s="48"/>
      <c r="AI44" s="48"/>
      <c r="AJ44" s="48"/>
      <c r="AK44" s="48"/>
      <c r="AL44" s="48"/>
      <c r="AM44" s="48"/>
      <c r="AN44" s="48"/>
      <c r="AO44" s="48"/>
      <c r="AP44" s="48"/>
      <c r="AQ44" s="48"/>
    </row>
    <row r="45" spans="1:43" ht="20" customHeight="1" x14ac:dyDescent="0.45">
      <c r="A45" s="26">
        <v>35</v>
      </c>
      <c r="B45" s="16" t="s">
        <v>371</v>
      </c>
      <c r="C45" s="16" t="s">
        <v>214</v>
      </c>
      <c r="D45" s="46">
        <v>29</v>
      </c>
      <c r="E45" s="46">
        <v>1</v>
      </c>
      <c r="F45" s="13">
        <v>0.44437362566255789</v>
      </c>
      <c r="G45" s="13">
        <v>-8.5625746356086302E-2</v>
      </c>
      <c r="H45" s="13">
        <v>8.0049792116881194E-2</v>
      </c>
      <c r="I45" s="13">
        <v>1.3224038080699769E-4</v>
      </c>
      <c r="J45" s="13">
        <v>0.3898185954836676</v>
      </c>
      <c r="K45" s="13">
        <v>19.638574423480058</v>
      </c>
      <c r="L45" s="13">
        <v>4.3121512507644884</v>
      </c>
      <c r="M45" s="13">
        <v>-3.126735089445345</v>
      </c>
      <c r="N45" s="19">
        <f>(F45-Settings!$D$18)/Settings!$E$18</f>
        <v>0.90207543685946845</v>
      </c>
      <c r="O45" s="19">
        <f>(G45-Settings!$D$19)/Settings!$E$19</f>
        <v>-0.32905678605769018</v>
      </c>
      <c r="P45" s="19">
        <f>(H45-Settings!$D$20)/Settings!$E$20</f>
        <v>0.24392389923254393</v>
      </c>
      <c r="Q45" s="19">
        <f>(I45-Settings!$D$21)/Settings!$E$21</f>
        <v>3.7835325045321E-2</v>
      </c>
      <c r="R45" s="19">
        <f>(J45-Settings!$D$22)/Settings!$E$22</f>
        <v>0.38194297714403852</v>
      </c>
      <c r="S45" s="19">
        <f>(K45-Settings!$D$23)/Settings!$E$23</f>
        <v>1.5222410841671894</v>
      </c>
      <c r="T45" s="19">
        <f>(L45-Settings!$D$24)/Settings!$E$24</f>
        <v>2.076748855508685</v>
      </c>
      <c r="U45" s="19">
        <f>(M45-Settings!$D$25)/Settings!$E$25</f>
        <v>-2.0727347103276603</v>
      </c>
      <c r="V45" s="31">
        <f>Settings!$B$18*(N45-F$6)^2</f>
        <v>6.5722429117754978E-3</v>
      </c>
      <c r="W45" s="31">
        <f>Settings!$B$19*(O45-G$6)^2</f>
        <v>1.35561892820286E-2</v>
      </c>
      <c r="X45" s="31">
        <f>Settings!$B$20*(P45-H$6)^2</f>
        <v>3.2789955100842325E-3</v>
      </c>
      <c r="Y45" s="31">
        <f>Settings!$B$21*(Q45-I$6)^2</f>
        <v>3.0722879583262509E-2</v>
      </c>
      <c r="Z45" s="31">
        <f>Settings!$B$22*(R45-J$6)^2</f>
        <v>1.3177628372062412E-2</v>
      </c>
      <c r="AA45" s="31">
        <f>Settings!$B$23*(S45-K$6)^2</f>
        <v>0.14104682421648443</v>
      </c>
      <c r="AB45" s="31">
        <f>Settings!$B$24*(T45-L$6)^2</f>
        <v>2.832059506003076</v>
      </c>
      <c r="AC45" s="31">
        <f>Settings!$B$25*(U45-M$6)^2</f>
        <v>0.14214393411860948</v>
      </c>
      <c r="AD45" s="19">
        <f t="shared" si="0"/>
        <v>1.7839725894747889</v>
      </c>
      <c r="AE45" s="15">
        <f t="shared" si="1"/>
        <v>0.70612869360938735</v>
      </c>
      <c r="AF45" s="33">
        <f t="shared" si="2"/>
        <v>0.77933922484204288</v>
      </c>
      <c r="AG45" s="47">
        <f t="shared" si="3"/>
        <v>4.594579855479005E-3</v>
      </c>
      <c r="AH45" s="48"/>
      <c r="AI45" s="48"/>
      <c r="AJ45" s="48"/>
      <c r="AK45" s="48"/>
      <c r="AL45" s="48"/>
      <c r="AM45" s="48"/>
      <c r="AN45" s="48"/>
      <c r="AO45" s="48"/>
      <c r="AP45" s="48"/>
      <c r="AQ45" s="48"/>
    </row>
    <row r="46" spans="1:43" ht="20" customHeight="1" x14ac:dyDescent="0.45">
      <c r="A46" s="26">
        <v>36</v>
      </c>
      <c r="B46" s="16" t="s">
        <v>316</v>
      </c>
      <c r="C46" s="16" t="s">
        <v>212</v>
      </c>
      <c r="D46" s="46">
        <v>29</v>
      </c>
      <c r="E46" s="46">
        <v>0</v>
      </c>
      <c r="F46" s="13">
        <v>0.26906001369211391</v>
      </c>
      <c r="G46" s="13">
        <v>-9.0460155521604538E-2</v>
      </c>
      <c r="H46" s="13">
        <v>0.28954727639883387</v>
      </c>
      <c r="I46" s="13">
        <v>7.9698519816784483E-2</v>
      </c>
      <c r="J46" s="13">
        <v>0.27123403457066331</v>
      </c>
      <c r="K46" s="13">
        <v>20.117616033755311</v>
      </c>
      <c r="L46" s="13">
        <v>1.314414153272693</v>
      </c>
      <c r="M46" s="13">
        <v>-1.6451421893793561</v>
      </c>
      <c r="N46" s="19">
        <f>(F46-Settings!$D$18)/Settings!$E$18</f>
        <v>0.27463894837818803</v>
      </c>
      <c r="O46" s="19">
        <f>(G46-Settings!$D$19)/Settings!$E$19</f>
        <v>-0.34919755081709802</v>
      </c>
      <c r="P46" s="19">
        <f>(H46-Settings!$D$20)/Settings!$E$20</f>
        <v>2.1420113928099189</v>
      </c>
      <c r="Q46" s="19">
        <f>(I46-Settings!$D$21)/Settings!$E$21</f>
        <v>1.0162863334909722</v>
      </c>
      <c r="R46" s="19">
        <f>(J46-Settings!$D$22)/Settings!$E$22</f>
        <v>6.2885632977115843E-2</v>
      </c>
      <c r="S46" s="19">
        <f>(K46-Settings!$D$23)/Settings!$E$23</f>
        <v>1.6886012168695732</v>
      </c>
      <c r="T46" s="19">
        <f>(L46-Settings!$D$24)/Settings!$E$24</f>
        <v>4.2492286420227256E-3</v>
      </c>
      <c r="U46" s="19">
        <f>(M46-Settings!$D$25)/Settings!$E$25</f>
        <v>-1.0735319572781936</v>
      </c>
      <c r="V46" s="31">
        <f>Settings!$B$18*(N46-F$6)^2</f>
        <v>3.9811724860934858E-2</v>
      </c>
      <c r="W46" s="31">
        <f>Settings!$B$19*(O46-G$6)^2</f>
        <v>1.5734760408470702E-2</v>
      </c>
      <c r="X46" s="31">
        <f>Settings!$B$20*(P46-H$6)^2</f>
        <v>0.82104085318333686</v>
      </c>
      <c r="Y46" s="31">
        <f>Settings!$B$21*(Q46-I$6)^2</f>
        <v>6.8799800484450557E-2</v>
      </c>
      <c r="Z46" s="31">
        <f>Settings!$B$22*(R46-J$6)^2</f>
        <v>6.6296276723142838E-2</v>
      </c>
      <c r="AA46" s="31">
        <f>Settings!$B$23*(S46-K$6)^2</f>
        <v>0.2936796099938867</v>
      </c>
      <c r="AB46" s="31">
        <f>Settings!$B$24*(T46-L$6)^2</f>
        <v>0.15180937792513893</v>
      </c>
      <c r="AC46" s="31">
        <f>Settings!$B$25*(U46-M$6)^2</f>
        <v>1.8939885320451748</v>
      </c>
      <c r="AD46" s="19">
        <f t="shared" si="0"/>
        <v>1.8306176377453967</v>
      </c>
      <c r="AE46" s="15">
        <f t="shared" si="1"/>
        <v>0.72459164937058995</v>
      </c>
      <c r="AF46" s="33">
        <f t="shared" si="2"/>
        <v>0.76911365145413568</v>
      </c>
      <c r="AG46" s="47">
        <f t="shared" si="3"/>
        <v>4.5342951784074466E-3</v>
      </c>
      <c r="AH46" s="18">
        <v>-0.3273764526706836</v>
      </c>
      <c r="AI46" s="46">
        <v>0</v>
      </c>
      <c r="AJ46" s="18">
        <v>0.39756264238976552</v>
      </c>
      <c r="AK46" s="46">
        <v>0</v>
      </c>
      <c r="AL46" s="18">
        <v>-4.9269030450251883E-2</v>
      </c>
      <c r="AM46" s="46">
        <v>0</v>
      </c>
      <c r="AN46" s="18">
        <v>-0.77166140101330161</v>
      </c>
      <c r="AO46" s="46">
        <v>0</v>
      </c>
      <c r="AP46" s="18">
        <v>-0.64388369181173688</v>
      </c>
      <c r="AQ46" s="46">
        <v>0</v>
      </c>
    </row>
    <row r="47" spans="1:43" ht="20" customHeight="1" x14ac:dyDescent="0.45">
      <c r="A47" s="26">
        <v>37</v>
      </c>
      <c r="B47" s="16" t="s">
        <v>552</v>
      </c>
      <c r="C47" s="16" t="s">
        <v>214</v>
      </c>
      <c r="D47" s="46">
        <v>29</v>
      </c>
      <c r="E47" s="46">
        <v>1</v>
      </c>
      <c r="F47" s="13">
        <v>0.18084261018481221</v>
      </c>
      <c r="G47" s="13">
        <v>-0.16787322836300439</v>
      </c>
      <c r="H47" s="13">
        <v>-8.1371527243146544E-2</v>
      </c>
      <c r="I47" s="13">
        <v>2.1822678057262721E-5</v>
      </c>
      <c r="J47" s="13">
        <v>0.56989081153097954</v>
      </c>
      <c r="K47" s="13">
        <v>15.07345679012346</v>
      </c>
      <c r="L47" s="13">
        <v>1.5408338646757029</v>
      </c>
      <c r="M47" s="13">
        <v>-2.019039077454563</v>
      </c>
      <c r="N47" s="19">
        <f>(F47-Settings!$D$18)/Settings!$E$18</f>
        <v>-4.1085639447252111E-2</v>
      </c>
      <c r="O47" s="19">
        <f>(G47-Settings!$D$19)/Settings!$E$19</f>
        <v>-0.67171027905746805</v>
      </c>
      <c r="P47" s="19">
        <f>(H47-Settings!$D$20)/Settings!$E$20</f>
        <v>-1.2185842951936479</v>
      </c>
      <c r="Q47" s="19">
        <f>(I47-Settings!$D$21)/Settings!$E$21</f>
        <v>3.6477484596181206E-2</v>
      </c>
      <c r="R47" s="19">
        <f>(J47-Settings!$D$22)/Settings!$E$22</f>
        <v>0.86643575232458214</v>
      </c>
      <c r="S47" s="19">
        <f>(K47-Settings!$D$23)/Settings!$E$23</f>
        <v>-6.3119266577332009E-2</v>
      </c>
      <c r="T47" s="19">
        <f>(L47-Settings!$D$24)/Settings!$E$24</f>
        <v>0.16078555992691781</v>
      </c>
      <c r="U47" s="19">
        <f>(M47-Settings!$D$25)/Settings!$E$25</f>
        <v>-1.3256921828737234</v>
      </c>
      <c r="V47" s="31">
        <f>Settings!$B$18*(N47-F$6)^2</f>
        <v>0.11609358360722209</v>
      </c>
      <c r="W47" s="31">
        <f>Settings!$B$19*(O47-G$6)^2</f>
        <v>7.2722097718104201E-2</v>
      </c>
      <c r="X47" s="31">
        <f>Settings!$B$20*(P47-H$6)^2</f>
        <v>0.35615953835023378</v>
      </c>
      <c r="Y47" s="31">
        <f>Settings!$B$21*(Q47-I$6)^2</f>
        <v>3.0936123345930974E-2</v>
      </c>
      <c r="Z47" s="31">
        <f>Settings!$B$22*(R47-J$6)^2</f>
        <v>1.0379107395194305E-2</v>
      </c>
      <c r="AA47" s="31">
        <f>Settings!$B$23*(S47-K$6)^2</f>
        <v>1.4636120224938696</v>
      </c>
      <c r="AB47" s="31">
        <f>Settings!$B$24*(T47-L$6)^2</f>
        <v>5.4331366805175481E-2</v>
      </c>
      <c r="AC47" s="31">
        <f>Settings!$B$25*(U47-M$6)^2</f>
        <v>1.263516129496862</v>
      </c>
      <c r="AD47" s="19">
        <f t="shared" si="0"/>
        <v>1.8351430378072966</v>
      </c>
      <c r="AE47" s="15">
        <f t="shared" si="1"/>
        <v>0.72638288475874691</v>
      </c>
      <c r="AF47" s="33">
        <f t="shared" si="2"/>
        <v>0.76811482319973745</v>
      </c>
      <c r="AG47" s="47">
        <f t="shared" si="3"/>
        <v>4.5284066050744779E-3</v>
      </c>
      <c r="AH47" s="48"/>
      <c r="AI47" s="48"/>
      <c r="AJ47" s="48"/>
      <c r="AK47" s="48"/>
      <c r="AL47" s="48"/>
      <c r="AM47" s="48"/>
      <c r="AN47" s="48"/>
      <c r="AO47" s="48"/>
      <c r="AP47" s="48"/>
      <c r="AQ47" s="48"/>
    </row>
    <row r="48" spans="1:43" ht="20" customHeight="1" x14ac:dyDescent="0.45">
      <c r="A48" s="26">
        <v>38</v>
      </c>
      <c r="B48" s="16" t="s">
        <v>308</v>
      </c>
      <c r="C48" s="16" t="s">
        <v>220</v>
      </c>
      <c r="D48" s="46">
        <v>29</v>
      </c>
      <c r="E48" s="46">
        <v>1</v>
      </c>
      <c r="F48" s="13">
        <v>0.57545192015123836</v>
      </c>
      <c r="G48" s="13">
        <v>-6.576616534001102E-4</v>
      </c>
      <c r="H48" s="13">
        <v>4.88728988607596E-2</v>
      </c>
      <c r="I48" s="13">
        <v>-2.3125524854547949E-5</v>
      </c>
      <c r="J48" s="13">
        <v>-0.37499439380974742</v>
      </c>
      <c r="K48" s="13">
        <v>14.69542124542124</v>
      </c>
      <c r="L48" s="13">
        <v>1.5022249950035429</v>
      </c>
      <c r="M48" s="13">
        <v>-4.5501420486206854</v>
      </c>
      <c r="N48" s="19">
        <f>(F48-Settings!$D$18)/Settings!$E$18</f>
        <v>1.371196481630129</v>
      </c>
      <c r="O48" s="19">
        <f>(G48-Settings!$D$19)/Settings!$E$19</f>
        <v>2.4931084530585092E-2</v>
      </c>
      <c r="P48" s="19">
        <f>(H48-Settings!$D$20)/Settings!$E$20</f>
        <v>-3.8544748927442661E-2</v>
      </c>
      <c r="Q48" s="19">
        <f>(I48-Settings!$D$21)/Settings!$E$21</f>
        <v>3.5924742721373942E-2</v>
      </c>
      <c r="R48" s="19">
        <f>(J48-Settings!$D$22)/Settings!$E$22</f>
        <v>-1.6758223783927488</v>
      </c>
      <c r="S48" s="19">
        <f>(K48-Settings!$D$23)/Settings!$E$23</f>
        <v>-0.19440231596993729</v>
      </c>
      <c r="T48" s="19">
        <f>(L48-Settings!$D$24)/Settings!$E$24</f>
        <v>0.1340931364798299</v>
      </c>
      <c r="U48" s="19">
        <f>(M48-Settings!$D$25)/Settings!$E$25</f>
        <v>-3.0326962167943985</v>
      </c>
      <c r="V48" s="31">
        <f>Settings!$B$18*(N48-F$6)^2</f>
        <v>8.4603425616126979E-2</v>
      </c>
      <c r="W48" s="31">
        <f>Settings!$B$19*(O48-G$6)^2</f>
        <v>1.7536947618961921E-3</v>
      </c>
      <c r="X48" s="31">
        <f>Settings!$B$20*(P48-H$6)^2</f>
        <v>4.7694639526427397E-3</v>
      </c>
      <c r="Y48" s="31">
        <f>Settings!$B$21*(Q48-I$6)^2</f>
        <v>3.1023140601256795E-2</v>
      </c>
      <c r="Z48" s="31">
        <f>Settings!$B$22*(R48-J$6)^2</f>
        <v>1.0713378075677618</v>
      </c>
      <c r="AA48" s="31">
        <f>Settings!$B$23*(S48-K$6)^2</f>
        <v>1.7984992918967406</v>
      </c>
      <c r="AB48" s="31">
        <f>Settings!$B$24*(T48-L$6)^2</f>
        <v>6.7487374185367696E-2</v>
      </c>
      <c r="AC48" s="31">
        <f>Settings!$B$25*(U48-M$6)^2</f>
        <v>0.33982102613944681</v>
      </c>
      <c r="AD48" s="19">
        <f t="shared" si="0"/>
        <v>1.843717772524103</v>
      </c>
      <c r="AE48" s="15">
        <f t="shared" si="1"/>
        <v>0.72977692021610119</v>
      </c>
      <c r="AF48" s="33">
        <f t="shared" si="2"/>
        <v>0.76621905568883564</v>
      </c>
      <c r="AG48" s="47">
        <f t="shared" si="3"/>
        <v>4.5172301430941048E-3</v>
      </c>
      <c r="AH48" s="18">
        <v>-1.8360605104093679</v>
      </c>
      <c r="AI48" s="46">
        <v>1</v>
      </c>
      <c r="AJ48" s="18">
        <v>1.007705810671087</v>
      </c>
      <c r="AK48" s="46">
        <v>1</v>
      </c>
      <c r="AL48" s="18">
        <v>0.76539002465658545</v>
      </c>
      <c r="AM48" s="46">
        <v>1</v>
      </c>
      <c r="AN48" s="18">
        <v>-0.7454024435007478</v>
      </c>
      <c r="AO48" s="46">
        <v>1</v>
      </c>
      <c r="AP48" s="48"/>
      <c r="AQ48" s="48"/>
    </row>
    <row r="49" spans="1:43" ht="20" customHeight="1" x14ac:dyDescent="0.45">
      <c r="A49" s="26">
        <v>39</v>
      </c>
      <c r="B49" s="16" t="s">
        <v>265</v>
      </c>
      <c r="C49" s="16" t="s">
        <v>218</v>
      </c>
      <c r="D49" s="46">
        <v>29</v>
      </c>
      <c r="E49" s="46">
        <v>0</v>
      </c>
      <c r="F49" s="13">
        <v>9.6038505557546922E-2</v>
      </c>
      <c r="G49" s="13">
        <v>0.1174819712455787</v>
      </c>
      <c r="H49" s="13">
        <v>0.41370911142910882</v>
      </c>
      <c r="I49" s="13">
        <v>-3.5634616050815138E-2</v>
      </c>
      <c r="J49" s="13">
        <v>0.33713579571695051</v>
      </c>
      <c r="K49" s="13">
        <v>16.888266666666691</v>
      </c>
      <c r="L49" s="13">
        <v>2.1863093445873898</v>
      </c>
      <c r="M49" s="13">
        <v>-2.558913116525324</v>
      </c>
      <c r="N49" s="19">
        <f>(F49-Settings!$D$18)/Settings!$E$18</f>
        <v>-0.34459424336045508</v>
      </c>
      <c r="O49" s="19">
        <f>(G49-Settings!$D$19)/Settings!$E$19</f>
        <v>0.51711585282709771</v>
      </c>
      <c r="P49" s="19">
        <f>(H49-Settings!$D$20)/Settings!$E$20</f>
        <v>3.2669414942778925</v>
      </c>
      <c r="Q49" s="19">
        <f>(I49-Settings!$D$21)/Settings!$E$21</f>
        <v>-0.40200070841670499</v>
      </c>
      <c r="R49" s="19">
        <f>(J49-Settings!$D$22)/Settings!$E$22</f>
        <v>0.24019742403466049</v>
      </c>
      <c r="S49" s="19">
        <f>(K49-Settings!$D$23)/Settings!$E$23</f>
        <v>0.56712246068692918</v>
      </c>
      <c r="T49" s="19">
        <f>(L49-Settings!$D$24)/Settings!$E$24</f>
        <v>0.60703806565460272</v>
      </c>
      <c r="U49" s="19">
        <f>(M49-Settings!$D$25)/Settings!$E$25</f>
        <v>-1.6897892476716267</v>
      </c>
      <c r="V49" s="31">
        <f>Settings!$B$18*(N49-F$6)^2</f>
        <v>0.22701247267196362</v>
      </c>
      <c r="W49" s="31">
        <f>Settings!$B$19*(O49-G$6)^2</f>
        <v>6.8638162121486046E-2</v>
      </c>
      <c r="X49" s="31">
        <f>Settings!$B$20*(P49-H$6)^2</f>
        <v>1.9858364157597457</v>
      </c>
      <c r="Y49" s="31">
        <f>Settings!$B$21*(Q49-I$6)^2</f>
        <v>0.13836918498591153</v>
      </c>
      <c r="Z49" s="31">
        <f>Settings!$B$22*(R49-J$6)^2</f>
        <v>3.1749676868975334E-2</v>
      </c>
      <c r="AA49" s="31">
        <f>Settings!$B$23*(S49-K$6)^2</f>
        <v>0.33588586689965999</v>
      </c>
      <c r="AB49" s="31">
        <f>Settings!$B$24*(T49-L$6)^2</f>
        <v>4.543787094071168E-2</v>
      </c>
      <c r="AC49" s="31">
        <f>Settings!$B$25*(U49-M$6)^2</f>
        <v>0.57754720956813765</v>
      </c>
      <c r="AD49" s="19">
        <f t="shared" si="0"/>
        <v>1.8467476437826016</v>
      </c>
      <c r="AE49" s="15">
        <f t="shared" si="1"/>
        <v>0.73097619819054482</v>
      </c>
      <c r="AF49" s="33">
        <f t="shared" si="2"/>
        <v>0.76554819948247455</v>
      </c>
      <c r="AG49" s="47">
        <f t="shared" si="3"/>
        <v>4.5132751228494934E-3</v>
      </c>
      <c r="AH49" s="18">
        <v>-1.2895048841767269</v>
      </c>
      <c r="AI49" s="46">
        <v>0</v>
      </c>
      <c r="AJ49" s="18">
        <v>-0.33012989672646192</v>
      </c>
      <c r="AK49" s="46">
        <v>0</v>
      </c>
      <c r="AL49" s="18">
        <v>9.4687672207289797E-3</v>
      </c>
      <c r="AM49" s="46">
        <v>0</v>
      </c>
      <c r="AN49" s="18">
        <v>1.152638191347108</v>
      </c>
      <c r="AO49" s="46">
        <v>0</v>
      </c>
      <c r="AP49" s="18">
        <v>0.44136813344509812</v>
      </c>
      <c r="AQ49" s="46">
        <v>1</v>
      </c>
    </row>
    <row r="50" spans="1:43" ht="20" customHeight="1" x14ac:dyDescent="0.45">
      <c r="A50" s="26">
        <v>40</v>
      </c>
      <c r="B50" s="16" t="s">
        <v>233</v>
      </c>
      <c r="C50" s="16" t="s">
        <v>229</v>
      </c>
      <c r="D50" s="46">
        <v>29</v>
      </c>
      <c r="E50" s="46">
        <v>1</v>
      </c>
      <c r="F50" s="13">
        <v>0.27714115449132071</v>
      </c>
      <c r="G50" s="13">
        <v>-0.17918030308816149</v>
      </c>
      <c r="H50" s="13">
        <v>0.18267472754993849</v>
      </c>
      <c r="I50" s="13">
        <v>1.0521430581659641E-2</v>
      </c>
      <c r="J50" s="13">
        <v>0.35048238428891959</v>
      </c>
      <c r="K50" s="13">
        <v>17.552410901467479</v>
      </c>
      <c r="L50" s="13">
        <v>1.5614622933578319</v>
      </c>
      <c r="M50" s="13">
        <v>-1.1606307522168351</v>
      </c>
      <c r="N50" s="19">
        <f>(F50-Settings!$D$18)/Settings!$E$18</f>
        <v>0.30356084753358242</v>
      </c>
      <c r="O50" s="19">
        <f>(G50-Settings!$D$19)/Settings!$E$19</f>
        <v>-0.71881699352027306</v>
      </c>
      <c r="P50" s="19">
        <f>(H50-Settings!$D$20)/Settings!$E$20</f>
        <v>1.1737255488433416</v>
      </c>
      <c r="Q50" s="19">
        <f>(I50-Settings!$D$21)/Settings!$E$21</f>
        <v>0.16559439209001553</v>
      </c>
      <c r="R50" s="19">
        <f>(J50-Settings!$D$22)/Settings!$E$22</f>
        <v>0.2761070489527393</v>
      </c>
      <c r="S50" s="19">
        <f>(K50-Settings!$D$23)/Settings!$E$23</f>
        <v>0.79776447729900823</v>
      </c>
      <c r="T50" s="19">
        <f>(L50-Settings!$D$24)/Settings!$E$24</f>
        <v>0.17504712101655734</v>
      </c>
      <c r="U50" s="19">
        <f>(M50-Settings!$D$25)/Settings!$E$25</f>
        <v>-0.74677204780833706</v>
      </c>
      <c r="V50" s="31">
        <f>Settings!$B$18*(N50-F$6)^2</f>
        <v>3.481750387278866E-2</v>
      </c>
      <c r="W50" s="31">
        <f>Settings!$B$19*(O50-G$6)^2</f>
        <v>8.4528069013918322E-2</v>
      </c>
      <c r="X50" s="31">
        <f>Settings!$B$20*(P50-H$6)^2</f>
        <v>0.22380700717419524</v>
      </c>
      <c r="Y50" s="31">
        <f>Settings!$B$21*(Q50-I$6)^2</f>
        <v>1.3957967196456287E-2</v>
      </c>
      <c r="Z50" s="31">
        <f>Settings!$B$22*(R50-J$6)^2</f>
        <v>2.6284553759913135E-2</v>
      </c>
      <c r="AA50" s="31">
        <f>Settings!$B$23*(S50-K$6)^2</f>
        <v>0.12174139510754928</v>
      </c>
      <c r="AB50" s="31">
        <f>Settings!$B$24*(T50-L$6)^2</f>
        <v>4.7886278762784867E-2</v>
      </c>
      <c r="AC50" s="31">
        <f>Settings!$B$25*(U50-M$6)^2</f>
        <v>2.9001492880947009</v>
      </c>
      <c r="AD50" s="19">
        <f t="shared" si="0"/>
        <v>1.8582712565667874</v>
      </c>
      <c r="AE50" s="15">
        <f t="shared" si="1"/>
        <v>0.73553745304892415</v>
      </c>
      <c r="AF50" s="33">
        <f t="shared" si="2"/>
        <v>0.76299204597920722</v>
      </c>
      <c r="AG50" s="47">
        <f t="shared" si="3"/>
        <v>4.4982053675757172E-3</v>
      </c>
      <c r="AH50" s="18">
        <v>-0.7533646426726619</v>
      </c>
      <c r="AI50" s="46">
        <v>1</v>
      </c>
      <c r="AJ50" s="18">
        <v>1.148750662940309</v>
      </c>
      <c r="AK50" s="46">
        <v>1</v>
      </c>
      <c r="AL50" s="18">
        <v>0.1121912869030182</v>
      </c>
      <c r="AM50" s="46">
        <v>1</v>
      </c>
      <c r="AN50" s="48"/>
      <c r="AO50" s="48"/>
      <c r="AP50" s="48"/>
      <c r="AQ50" s="48"/>
    </row>
    <row r="51" spans="1:43" ht="20" customHeight="1" x14ac:dyDescent="0.45">
      <c r="A51" s="26">
        <v>41</v>
      </c>
      <c r="B51" s="16" t="s">
        <v>366</v>
      </c>
      <c r="C51" s="16" t="s">
        <v>214</v>
      </c>
      <c r="D51" s="46">
        <v>29</v>
      </c>
      <c r="E51" s="46">
        <v>1</v>
      </c>
      <c r="F51" s="13">
        <v>0.1099172725177231</v>
      </c>
      <c r="G51" s="13">
        <v>-0.14726949544946641</v>
      </c>
      <c r="H51" s="13">
        <v>-3.175333056416263E-2</v>
      </c>
      <c r="I51" s="13">
        <v>2.445318581131227E-2</v>
      </c>
      <c r="J51" s="13">
        <v>0.68660671565733566</v>
      </c>
      <c r="K51" s="13">
        <v>18.435596707818888</v>
      </c>
      <c r="L51" s="13">
        <v>1.7793357113734489</v>
      </c>
      <c r="M51" s="13">
        <v>-1.108129410479227</v>
      </c>
      <c r="N51" s="19">
        <f>(F51-Settings!$D$18)/Settings!$E$18</f>
        <v>-0.294923001589388</v>
      </c>
      <c r="O51" s="19">
        <f>(G51-Settings!$D$19)/Settings!$E$19</f>
        <v>-0.58587250166430183</v>
      </c>
      <c r="P51" s="19">
        <f>(H51-Settings!$D$20)/Settings!$E$20</f>
        <v>-0.76903389179362469</v>
      </c>
      <c r="Q51" s="19">
        <f>(I51-Settings!$D$21)/Settings!$E$21</f>
        <v>0.33691747079247164</v>
      </c>
      <c r="R51" s="19">
        <f>(J51-Settings!$D$22)/Settings!$E$22</f>
        <v>1.1804653874295736</v>
      </c>
      <c r="S51" s="19">
        <f>(K51-Settings!$D$23)/Settings!$E$23</f>
        <v>1.1044745934850728</v>
      </c>
      <c r="T51" s="19">
        <f>(L51-Settings!$D$24)/Settings!$E$24</f>
        <v>0.32567493221432248</v>
      </c>
      <c r="U51" s="19">
        <f>(M51-Settings!$D$25)/Settings!$E$25</f>
        <v>-0.71136455820665734</v>
      </c>
      <c r="V51" s="31">
        <f>Settings!$B$18*(N51-F$6)^2</f>
        <v>0.20633816070131572</v>
      </c>
      <c r="W51" s="31">
        <f>Settings!$B$19*(O51-G$6)^2</f>
        <v>5.3491608235944371E-2</v>
      </c>
      <c r="X51" s="31">
        <f>Settings!$B$20*(P51-H$6)^2</f>
        <v>0.15661488211898361</v>
      </c>
      <c r="Y51" s="31">
        <f>Settings!$B$21*(Q51-I$6)^2</f>
        <v>1.7243946493147857E-3</v>
      </c>
      <c r="Z51" s="31">
        <f>Settings!$B$22*(R51-J$6)^2</f>
        <v>5.8717153654778691E-2</v>
      </c>
      <c r="AA51" s="31">
        <f>Settings!$B$23*(S51-K$6)^2</f>
        <v>1.7812180928632156E-3</v>
      </c>
      <c r="AB51" s="31">
        <f>Settings!$B$24*(T51-L$6)^2</f>
        <v>4.6514481313912519E-3</v>
      </c>
      <c r="AC51" s="31">
        <f>Settings!$B$25*(U51-M$6)^2</f>
        <v>3.0219996465066941</v>
      </c>
      <c r="AD51" s="19">
        <f t="shared" si="0"/>
        <v>1.8722495859503576</v>
      </c>
      <c r="AE51" s="15">
        <f t="shared" si="1"/>
        <v>0.74107032924035043</v>
      </c>
      <c r="AF51" s="33">
        <f t="shared" si="2"/>
        <v>0.75988162345882526</v>
      </c>
      <c r="AG51" s="47">
        <f t="shared" si="3"/>
        <v>4.4798679296556999E-3</v>
      </c>
      <c r="AH51" s="48"/>
      <c r="AI51" s="48"/>
      <c r="AJ51" s="48"/>
      <c r="AK51" s="48"/>
      <c r="AL51" s="48"/>
      <c r="AM51" s="48"/>
      <c r="AN51" s="48"/>
      <c r="AO51" s="48"/>
      <c r="AP51" s="48"/>
      <c r="AQ51" s="48"/>
    </row>
    <row r="52" spans="1:43" ht="20" customHeight="1" x14ac:dyDescent="0.45">
      <c r="A52" s="26">
        <v>42</v>
      </c>
      <c r="B52" s="16" t="s">
        <v>403</v>
      </c>
      <c r="C52" s="16" t="s">
        <v>214</v>
      </c>
      <c r="D52" s="46">
        <v>29</v>
      </c>
      <c r="E52" s="46">
        <v>1</v>
      </c>
      <c r="F52" s="13">
        <v>0.31194617603054647</v>
      </c>
      <c r="G52" s="13">
        <v>3.3036217839113528E-2</v>
      </c>
      <c r="H52" s="13">
        <v>0.1330550561842104</v>
      </c>
      <c r="I52" s="13">
        <v>1.227107089219991E-5</v>
      </c>
      <c r="J52" s="13">
        <v>0.52195027887523748</v>
      </c>
      <c r="K52" s="13">
        <v>18.185279805352771</v>
      </c>
      <c r="L52" s="13">
        <v>3.142797894900768</v>
      </c>
      <c r="M52" s="13">
        <v>-1.2829509641964969</v>
      </c>
      <c r="N52" s="19">
        <f>(F52-Settings!$D$18)/Settings!$E$18</f>
        <v>0.42812584993492925</v>
      </c>
      <c r="O52" s="19">
        <f>(G52-Settings!$D$19)/Settings!$E$19</f>
        <v>0.16530408099328858</v>
      </c>
      <c r="P52" s="19">
        <f>(H52-Settings!$D$20)/Settings!$E$20</f>
        <v>0.72416178449783641</v>
      </c>
      <c r="Q52" s="19">
        <f>(I52-Settings!$D$21)/Settings!$E$21</f>
        <v>3.6360025545322201E-2</v>
      </c>
      <c r="R52" s="19">
        <f>(J52-Settings!$D$22)/Settings!$E$22</f>
        <v>0.73744949214599165</v>
      </c>
      <c r="S52" s="19">
        <f>(K52-Settings!$D$23)/Settings!$E$23</f>
        <v>1.0175452908552127</v>
      </c>
      <c r="T52" s="19">
        <f>(L52-Settings!$D$24)/Settings!$E$24</f>
        <v>1.2683109188628838</v>
      </c>
      <c r="U52" s="19">
        <f>(M52-Settings!$D$25)/Settings!$E$25</f>
        <v>-0.82926616110911533</v>
      </c>
      <c r="V52" s="31">
        <f>Settings!$B$18*(N52-F$6)^2</f>
        <v>1.7131492596957482E-2</v>
      </c>
      <c r="W52" s="31">
        <f>Settings!$B$19*(O52-G$6)^2</f>
        <v>1.0952428602927384E-2</v>
      </c>
      <c r="X52" s="31">
        <f>Settings!$B$20*(P52-H$6)^2</f>
        <v>7.4001096388297535E-2</v>
      </c>
      <c r="Y52" s="31">
        <f>Settings!$B$21*(Q52-I$6)^2</f>
        <v>3.0954604507893627E-2</v>
      </c>
      <c r="Z52" s="31">
        <f>Settings!$B$22*(R52-J$6)^2</f>
        <v>1.9530650151314347E-3</v>
      </c>
      <c r="AA52" s="31">
        <f>Settings!$B$23*(S52-K$6)^2</f>
        <v>1.6675533696333053E-2</v>
      </c>
      <c r="AB52" s="31">
        <f>Settings!$B$24*(T52-L$6)^2</f>
        <v>0.76463562619202941</v>
      </c>
      <c r="AC52" s="31">
        <f>Settings!$B$25*(U52-M$6)^2</f>
        <v>2.6259825094089275</v>
      </c>
      <c r="AD52" s="19">
        <f t="shared" si="0"/>
        <v>1.8820962665093668</v>
      </c>
      <c r="AE52" s="15">
        <f t="shared" si="1"/>
        <v>0.74496782392190786</v>
      </c>
      <c r="AF52" s="33">
        <f t="shared" si="2"/>
        <v>0.75768425569201303</v>
      </c>
      <c r="AG52" s="47">
        <f t="shared" si="3"/>
        <v>4.4669133889952825E-3</v>
      </c>
      <c r="AH52" s="48"/>
      <c r="AI52" s="48"/>
      <c r="AJ52" s="48"/>
      <c r="AK52" s="48"/>
      <c r="AL52" s="48"/>
      <c r="AM52" s="48"/>
      <c r="AN52" s="48"/>
      <c r="AO52" s="48"/>
      <c r="AP52" s="48"/>
      <c r="AQ52" s="48"/>
    </row>
    <row r="53" spans="1:43" ht="20" customHeight="1" x14ac:dyDescent="0.45">
      <c r="A53" s="26">
        <v>43</v>
      </c>
      <c r="B53" s="16" t="s">
        <v>231</v>
      </c>
      <c r="C53" s="16" t="s">
        <v>271</v>
      </c>
      <c r="D53" s="46">
        <v>29</v>
      </c>
      <c r="E53" s="46">
        <v>1</v>
      </c>
      <c r="F53" s="13">
        <v>0.1930503830737767</v>
      </c>
      <c r="G53" s="13">
        <v>6.4105731470230118E-2</v>
      </c>
      <c r="H53" s="13">
        <v>0.1773581935982266</v>
      </c>
      <c r="I53" s="13">
        <v>-3.791215533833318E-3</v>
      </c>
      <c r="J53" s="13">
        <v>0.56169447632393321</v>
      </c>
      <c r="K53" s="13">
        <v>18.237604166666621</v>
      </c>
      <c r="L53" s="13">
        <v>2.817066747357627</v>
      </c>
      <c r="M53" s="13">
        <v>-1.227773012197247</v>
      </c>
      <c r="N53" s="19">
        <f>(F53-Settings!$D$18)/Settings!$E$18</f>
        <v>2.6052187099580935E-3</v>
      </c>
      <c r="O53" s="19">
        <f>(G53-Settings!$D$19)/Settings!$E$19</f>
        <v>0.29474363478547444</v>
      </c>
      <c r="P53" s="19">
        <f>(H53-Settings!$D$20)/Settings!$E$20</f>
        <v>1.125556728881081</v>
      </c>
      <c r="Q53" s="19">
        <f>(I53-Settings!$D$21)/Settings!$E$21</f>
        <v>-1.0412618976754658E-2</v>
      </c>
      <c r="R53" s="19">
        <f>(J53-Settings!$D$22)/Settings!$E$22</f>
        <v>0.84438312656176862</v>
      </c>
      <c r="S53" s="19">
        <f>(K53-Settings!$D$23)/Settings!$E$23</f>
        <v>1.0357163380148486</v>
      </c>
      <c r="T53" s="19">
        <f>(L53-Settings!$D$24)/Settings!$E$24</f>
        <v>1.0431151595993893</v>
      </c>
      <c r="U53" s="19">
        <f>(M53-Settings!$D$25)/Settings!$E$25</f>
        <v>-0.79205353573623039</v>
      </c>
      <c r="V53" s="31">
        <f>Settings!$B$18*(N53-F$6)^2</f>
        <v>0.10316040761659058</v>
      </c>
      <c r="W53" s="31">
        <f>Settings!$B$19*(O53-G$6)^2</f>
        <v>2.6419570050592558E-2</v>
      </c>
      <c r="X53" s="31">
        <f>Settings!$B$20*(P53-H$6)^2</f>
        <v>0.20388900525754738</v>
      </c>
      <c r="Y53" s="31">
        <f>Settings!$B$21*(Q53-I$6)^2</f>
        <v>3.8752508908172542E-2</v>
      </c>
      <c r="Z53" s="31">
        <f>Settings!$B$22*(R53-J$6)^2</f>
        <v>8.4668835797624669E-3</v>
      </c>
      <c r="AA53" s="31">
        <f>Settings!$B$23*(S53-K$6)^2</f>
        <v>1.2312728559952611E-2</v>
      </c>
      <c r="AB53" s="31">
        <f>Settings!$B$24*(T53-L$6)^2</f>
        <v>0.42151089154121019</v>
      </c>
      <c r="AC53" s="31">
        <f>Settings!$B$25*(U53-M$6)^2</f>
        <v>2.747972541064041</v>
      </c>
      <c r="AD53" s="19">
        <f t="shared" si="0"/>
        <v>1.8874545124526496</v>
      </c>
      <c r="AE53" s="15">
        <f t="shared" si="1"/>
        <v>0.74708871480907213</v>
      </c>
      <c r="AF53" s="33">
        <f t="shared" si="2"/>
        <v>0.75648636183214413</v>
      </c>
      <c r="AG53" s="47">
        <f t="shared" si="3"/>
        <v>4.459851228100364E-3</v>
      </c>
      <c r="AH53" s="18">
        <v>-0.46999238671003729</v>
      </c>
      <c r="AI53" s="46">
        <v>1</v>
      </c>
      <c r="AJ53" s="18">
        <v>-0.28865244223511072</v>
      </c>
      <c r="AK53" s="46">
        <v>1</v>
      </c>
      <c r="AL53" s="18">
        <v>-1.468718899514585</v>
      </c>
      <c r="AM53" s="46">
        <v>1</v>
      </c>
      <c r="AN53" s="18">
        <v>0.93723812734452894</v>
      </c>
      <c r="AO53" s="46">
        <v>1</v>
      </c>
      <c r="AP53" s="18">
        <v>1.432165191337762</v>
      </c>
      <c r="AQ53" s="46">
        <v>1</v>
      </c>
    </row>
    <row r="54" spans="1:43" ht="20" customHeight="1" x14ac:dyDescent="0.45">
      <c r="A54" s="26">
        <v>44</v>
      </c>
      <c r="B54" s="16" t="s">
        <v>472</v>
      </c>
      <c r="C54" s="16" t="s">
        <v>214</v>
      </c>
      <c r="D54" s="46">
        <v>29</v>
      </c>
      <c r="E54" s="46">
        <v>1</v>
      </c>
      <c r="F54" s="13">
        <v>0.24129575569438819</v>
      </c>
      <c r="G54" s="13">
        <v>0.17697697068160601</v>
      </c>
      <c r="H54" s="13">
        <v>4.9259302947928553E-2</v>
      </c>
      <c r="I54" s="13">
        <v>0.1179869838096729</v>
      </c>
      <c r="J54" s="13">
        <v>0.41448098686640439</v>
      </c>
      <c r="K54" s="13">
        <v>16.24666666666667</v>
      </c>
      <c r="L54" s="13">
        <v>1.579545349121402</v>
      </c>
      <c r="M54" s="13">
        <v>-1.3470128653519791</v>
      </c>
      <c r="N54" s="19">
        <f>(F54-Settings!$D$18)/Settings!$E$18</f>
        <v>0.17527239978230252</v>
      </c>
      <c r="O54" s="19">
        <f>(G54-Settings!$D$19)/Settings!$E$19</f>
        <v>0.7649796034895171</v>
      </c>
      <c r="P54" s="19">
        <f>(H54-Settings!$D$20)/Settings!$E$20</f>
        <v>-3.504385359289304E-2</v>
      </c>
      <c r="Q54" s="19">
        <f>(I54-Settings!$D$21)/Settings!$E$21</f>
        <v>1.487131350642005</v>
      </c>
      <c r="R54" s="19">
        <f>(J54-Settings!$D$22)/Settings!$E$22</f>
        <v>0.44829830227910256</v>
      </c>
      <c r="S54" s="19">
        <f>(K54-Settings!$D$23)/Settings!$E$23</f>
        <v>0.34430953827602828</v>
      </c>
      <c r="T54" s="19">
        <f>(L54-Settings!$D$24)/Settings!$E$24</f>
        <v>0.18754892657981539</v>
      </c>
      <c r="U54" s="19">
        <f>(M54-Settings!$D$25)/Settings!$E$25</f>
        <v>-0.87247022073797131</v>
      </c>
      <c r="V54" s="31">
        <f>Settings!$B$18*(N54-F$6)^2</f>
        <v>5.9519813382662851E-2</v>
      </c>
      <c r="W54" s="31">
        <f>Settings!$B$19*(O54-G$6)^2</f>
        <v>0.13900735243676265</v>
      </c>
      <c r="X54" s="31">
        <f>Settings!$B$20*(P54-H$6)^2</f>
        <v>4.555663817181403E-3</v>
      </c>
      <c r="Y54" s="31">
        <f>Settings!$B$21*(Q54-I$6)^2</f>
        <v>0.22360173729553617</v>
      </c>
      <c r="Z54" s="31">
        <f>Settings!$B$22*(R54-J$6)^2</f>
        <v>7.2452183011612135E-3</v>
      </c>
      <c r="AA54" s="31">
        <f>Settings!$B$23*(S54-K$6)^2</f>
        <v>0.64379687028619159</v>
      </c>
      <c r="AB54" s="31">
        <f>Settings!$B$24*(T54-L$6)^2</f>
        <v>4.257105025793826E-2</v>
      </c>
      <c r="AC54" s="31">
        <f>Settings!$B$25*(U54-M$6)^2</f>
        <v>2.4878257491236169</v>
      </c>
      <c r="AD54" s="19">
        <f t="shared" si="0"/>
        <v>1.8995061081504978</v>
      </c>
      <c r="AE54" s="15">
        <f t="shared" si="1"/>
        <v>0.75185895487679399</v>
      </c>
      <c r="AF54" s="33">
        <f t="shared" si="2"/>
        <v>0.75378662328557078</v>
      </c>
      <c r="AG54" s="47">
        <f t="shared" si="3"/>
        <v>4.4439349698834627E-3</v>
      </c>
      <c r="AH54" s="48"/>
      <c r="AI54" s="48"/>
      <c r="AJ54" s="48"/>
      <c r="AK54" s="48"/>
      <c r="AL54" s="48"/>
      <c r="AM54" s="48"/>
      <c r="AN54" s="48"/>
      <c r="AO54" s="48"/>
      <c r="AP54" s="48"/>
      <c r="AQ54" s="48"/>
    </row>
    <row r="55" spans="1:43" ht="20" customHeight="1" x14ac:dyDescent="0.45">
      <c r="A55" s="26">
        <v>45</v>
      </c>
      <c r="B55" s="16" t="s">
        <v>513</v>
      </c>
      <c r="C55" s="16" t="s">
        <v>216</v>
      </c>
      <c r="D55" s="46">
        <v>29</v>
      </c>
      <c r="E55" s="46">
        <v>1</v>
      </c>
      <c r="F55" s="13">
        <v>0.30937961394945068</v>
      </c>
      <c r="G55" s="13">
        <v>0.25378679294387352</v>
      </c>
      <c r="H55" s="13">
        <v>7.8404803001651022E-2</v>
      </c>
      <c r="I55" s="13">
        <v>7.7037679003413809E-2</v>
      </c>
      <c r="J55" s="13">
        <v>0.28139111110161102</v>
      </c>
      <c r="K55" s="13">
        <v>15.01841397849465</v>
      </c>
      <c r="L55" s="13">
        <v>1.7628434770959469</v>
      </c>
      <c r="M55" s="13">
        <v>-1.7488451568730969</v>
      </c>
      <c r="N55" s="19">
        <f>(F55-Settings!$D$18)/Settings!$E$18</f>
        <v>0.41894028424192742</v>
      </c>
      <c r="O55" s="19">
        <f>(G55-Settings!$D$19)/Settings!$E$19</f>
        <v>1.0849791129291406</v>
      </c>
      <c r="P55" s="19">
        <f>(H55-Settings!$D$20)/Settings!$E$20</f>
        <v>0.22901998152016176</v>
      </c>
      <c r="Q55" s="19">
        <f>(I55-Settings!$D$21)/Settings!$E$21</f>
        <v>0.98356515568032976</v>
      </c>
      <c r="R55" s="19">
        <f>(J55-Settings!$D$22)/Settings!$E$22</f>
        <v>9.0213725584734353E-2</v>
      </c>
      <c r="S55" s="19">
        <f>(K55-Settings!$D$23)/Settings!$E$23</f>
        <v>-8.2234369003653093E-2</v>
      </c>
      <c r="T55" s="19">
        <f>(L55-Settings!$D$24)/Settings!$E$24</f>
        <v>0.31427294855974547</v>
      </c>
      <c r="U55" s="19">
        <f>(M55-Settings!$D$25)/Settings!$E$25</f>
        <v>-1.1434703935480555</v>
      </c>
      <c r="V55" s="31">
        <f>Settings!$B$18*(N55-F$6)^2</f>
        <v>1.8223714209860558E-2</v>
      </c>
      <c r="W55" s="31">
        <f>Settings!$B$19*(O55-G$6)^2</f>
        <v>0.26619927302838775</v>
      </c>
      <c r="X55" s="31">
        <f>Settings!$B$20*(P55-H$6)^2</f>
        <v>2.5600846803578857E-3</v>
      </c>
      <c r="Y55" s="31">
        <f>Settings!$B$21*(Q55-I$6)^2</f>
        <v>6.1337360342326952E-2</v>
      </c>
      <c r="Z55" s="31">
        <f>Settings!$B$22*(R55-J$6)^2</f>
        <v>6.0152045327966031E-2</v>
      </c>
      <c r="AA55" s="31">
        <f>Settings!$B$23*(S55-K$6)^2</f>
        <v>1.510228247987853</v>
      </c>
      <c r="AB55" s="31">
        <f>Settings!$B$24*(T55-L$6)^2</f>
        <v>6.3367187290904268E-3</v>
      </c>
      <c r="AC55" s="31">
        <f>Settings!$B$25*(U55-M$6)^2</f>
        <v>1.7063782094341611</v>
      </c>
      <c r="AD55" s="19">
        <f t="shared" si="0"/>
        <v>1.9056273648696389</v>
      </c>
      <c r="AE55" s="15">
        <f t="shared" si="1"/>
        <v>0.7542818592621171</v>
      </c>
      <c r="AF55" s="33">
        <f t="shared" si="2"/>
        <v>0.75241250495377154</v>
      </c>
      <c r="AG55" s="47">
        <f t="shared" si="3"/>
        <v>4.4358338809031041E-3</v>
      </c>
      <c r="AH55" s="18">
        <v>-0.33330575722055888</v>
      </c>
      <c r="AI55" s="46">
        <v>1</v>
      </c>
      <c r="AJ55" s="18">
        <v>-0.20314660479023419</v>
      </c>
      <c r="AK55" s="46">
        <v>1</v>
      </c>
      <c r="AL55" s="48"/>
      <c r="AM55" s="48"/>
      <c r="AN55" s="48"/>
      <c r="AO55" s="48"/>
      <c r="AP55" s="48"/>
      <c r="AQ55" s="48"/>
    </row>
    <row r="56" spans="1:43" ht="20" customHeight="1" x14ac:dyDescent="0.45">
      <c r="A56" s="26">
        <v>46</v>
      </c>
      <c r="B56" s="16" t="s">
        <v>450</v>
      </c>
      <c r="C56" s="16" t="s">
        <v>229</v>
      </c>
      <c r="D56" s="46">
        <v>29</v>
      </c>
      <c r="E56" s="46">
        <v>1</v>
      </c>
      <c r="F56" s="13">
        <v>0.17802006901904591</v>
      </c>
      <c r="G56" s="13">
        <v>-0.46600524586959202</v>
      </c>
      <c r="H56" s="13">
        <v>-1.162147786994126E-2</v>
      </c>
      <c r="I56" s="13">
        <v>-6.961665642809897E-3</v>
      </c>
      <c r="J56" s="13">
        <v>0.33739154159861079</v>
      </c>
      <c r="K56" s="13">
        <v>17.15149572649571</v>
      </c>
      <c r="L56" s="13">
        <v>-0.37976059016354807</v>
      </c>
      <c r="M56" s="13">
        <v>-3.8185221045413442</v>
      </c>
      <c r="N56" s="19">
        <f>(F56-Settings!$D$18)/Settings!$E$18</f>
        <v>-5.1187338326976486E-2</v>
      </c>
      <c r="O56" s="19">
        <f>(G56-Settings!$D$19)/Settings!$E$19</f>
        <v>-1.9137662627909342</v>
      </c>
      <c r="P56" s="19">
        <f>(H56-Settings!$D$20)/Settings!$E$20</f>
        <v>-0.58663543506554383</v>
      </c>
      <c r="Q56" s="19">
        <f>(I56-Settings!$D$21)/Settings!$E$21</f>
        <v>-4.9400619023317958E-2</v>
      </c>
      <c r="R56" s="19">
        <f>(J56-Settings!$D$22)/Settings!$E$22</f>
        <v>0.24088552036993313</v>
      </c>
      <c r="S56" s="19">
        <f>(K56-Settings!$D$23)/Settings!$E$23</f>
        <v>0.65853585857342489</v>
      </c>
      <c r="T56" s="19">
        <f>(L56-Settings!$D$24)/Settings!$E$24</f>
        <v>-1.1670264401136972</v>
      </c>
      <c r="U56" s="19">
        <f>(M56-Settings!$D$25)/Settings!$E$25</f>
        <v>-2.5392835780881691</v>
      </c>
      <c r="V56" s="31">
        <f>Settings!$B$18*(N56-F$6)^2</f>
        <v>0.11919252339693974</v>
      </c>
      <c r="W56" s="31">
        <f>Settings!$B$19*(O56-G$6)^2</f>
        <v>0.68084722757767457</v>
      </c>
      <c r="X56" s="31">
        <f>Settings!$B$20*(P56-H$6)^2</f>
        <v>9.8705875432800239E-2</v>
      </c>
      <c r="Y56" s="31">
        <f>Settings!$B$21*(Q56-I$6)^2</f>
        <v>4.5921289726323346E-2</v>
      </c>
      <c r="Z56" s="31">
        <f>Settings!$B$22*(R56-J$6)^2</f>
        <v>3.1640107612161877E-2</v>
      </c>
      <c r="AA56" s="31">
        <f>Settings!$B$23*(S56-K$6)^2</f>
        <v>0.23828379781080325</v>
      </c>
      <c r="AB56" s="31">
        <f>Settings!$B$24*(T56-L$6)^2</f>
        <v>2.4364178576120166</v>
      </c>
      <c r="AC56" s="31">
        <f>Settings!$B$25*(U56-M$6)^2</f>
        <v>8.0154528991632553E-3</v>
      </c>
      <c r="AD56" s="19">
        <f t="shared" si="0"/>
        <v>1.9128575827980197</v>
      </c>
      <c r="AE56" s="15">
        <f t="shared" si="1"/>
        <v>0.75714371059907171</v>
      </c>
      <c r="AF56" s="33">
        <f t="shared" si="2"/>
        <v>0.75078699251763181</v>
      </c>
      <c r="AG56" s="47">
        <f t="shared" si="3"/>
        <v>4.4262507026722993E-3</v>
      </c>
      <c r="AH56" s="18">
        <v>-1.1503032134545761</v>
      </c>
      <c r="AI56" s="46">
        <v>1</v>
      </c>
      <c r="AJ56" s="18">
        <v>0.61322816110138501</v>
      </c>
      <c r="AK56" s="46">
        <v>1</v>
      </c>
      <c r="AL56" s="18">
        <v>0.72484627084997733</v>
      </c>
      <c r="AM56" s="46">
        <v>1</v>
      </c>
      <c r="AN56" s="48"/>
      <c r="AO56" s="48"/>
      <c r="AP56" s="48"/>
      <c r="AQ56" s="48"/>
    </row>
    <row r="57" spans="1:43" ht="20" customHeight="1" x14ac:dyDescent="0.45">
      <c r="A57" s="26">
        <v>47</v>
      </c>
      <c r="B57" s="16" t="s">
        <v>775</v>
      </c>
      <c r="C57" s="16" t="s">
        <v>234</v>
      </c>
      <c r="D57" s="46">
        <v>29</v>
      </c>
      <c r="E57" s="46">
        <v>1</v>
      </c>
      <c r="F57" s="13">
        <v>7.3176389334304079E-2</v>
      </c>
      <c r="G57" s="13">
        <v>-8.2066288033360246E-2</v>
      </c>
      <c r="H57" s="13">
        <v>8.7927564252978346E-2</v>
      </c>
      <c r="I57" s="13">
        <v>-5.3539232188526756E-3</v>
      </c>
      <c r="J57" s="13">
        <v>0.75147583516050465</v>
      </c>
      <c r="K57" s="13">
        <v>17.6658273381295</v>
      </c>
      <c r="L57" s="13">
        <v>3.9635897544991772</v>
      </c>
      <c r="M57" s="13">
        <v>-2.1237203617609062</v>
      </c>
      <c r="N57" s="19">
        <f>(F57-Settings!$D$18)/Settings!$E$18</f>
        <v>-0.42641633213688585</v>
      </c>
      <c r="O57" s="19">
        <f>(G57-Settings!$D$19)/Settings!$E$19</f>
        <v>-0.31422762900985951</v>
      </c>
      <c r="P57" s="19">
        <f>(H57-Settings!$D$20)/Settings!$E$20</f>
        <v>0.31529802966675097</v>
      </c>
      <c r="Q57" s="19">
        <f>(I57-Settings!$D$21)/Settings!$E$21</f>
        <v>-2.962971598256962E-2</v>
      </c>
      <c r="R57" s="19">
        <f>(J57-Settings!$D$22)/Settings!$E$22</f>
        <v>1.3549988075289361</v>
      </c>
      <c r="S57" s="19">
        <f>(K57-Settings!$D$23)/Settings!$E$23</f>
        <v>0.83715139703419361</v>
      </c>
      <c r="T57" s="19">
        <f>(L57-Settings!$D$24)/Settings!$E$24</f>
        <v>1.8357692273904056</v>
      </c>
      <c r="U57" s="19">
        <f>(M57-Settings!$D$25)/Settings!$E$25</f>
        <v>-1.3962904068980106</v>
      </c>
      <c r="V57" s="31">
        <f>Settings!$B$18*(N57-F$6)^2</f>
        <v>0.26322051759189452</v>
      </c>
      <c r="W57" s="31">
        <f>Settings!$B$19*(O57-G$6)^2</f>
        <v>1.2055875044548758E-2</v>
      </c>
      <c r="X57" s="31">
        <f>Settings!$B$20*(P57-H$6)^2</f>
        <v>7.9534283216101554E-3</v>
      </c>
      <c r="Y57" s="31">
        <f>Settings!$B$21*(Q57-I$6)^2</f>
        <v>4.2209996880499402E-2</v>
      </c>
      <c r="Z57" s="31">
        <f>Settings!$B$22*(R57-J$6)^2</f>
        <v>0.10263690159431611</v>
      </c>
      <c r="AA57" s="31">
        <f>Settings!$B$23*(S57-K$6)^2</f>
        <v>9.5807382201534647E-2</v>
      </c>
      <c r="AB57" s="31">
        <f>Settings!$B$24*(T57-L$6)^2</f>
        <v>2.079054758168815</v>
      </c>
      <c r="AC57" s="31">
        <f>Settings!$B$25*(U57-M$6)^2</f>
        <v>1.1097866298629206</v>
      </c>
      <c r="AD57" s="19">
        <f t="shared" si="0"/>
        <v>1.9268434004002866</v>
      </c>
      <c r="AE57" s="15">
        <f t="shared" si="1"/>
        <v>0.76267955076321647</v>
      </c>
      <c r="AF57" s="33">
        <f t="shared" si="2"/>
        <v>0.74763525377801132</v>
      </c>
      <c r="AG57" s="47">
        <f t="shared" si="3"/>
        <v>4.4076696857528342E-3</v>
      </c>
      <c r="AH57" s="18">
        <v>-0.58053195987511153</v>
      </c>
      <c r="AI57" s="46">
        <v>1</v>
      </c>
      <c r="AJ57" s="18">
        <v>0.72227747953277532</v>
      </c>
      <c r="AK57" s="46">
        <v>1</v>
      </c>
      <c r="AL57" s="18">
        <v>-1.1446053754106491</v>
      </c>
      <c r="AM57" s="46">
        <v>1</v>
      </c>
      <c r="AN57" s="18">
        <v>-1.366099195496131</v>
      </c>
      <c r="AO57" s="46">
        <v>1</v>
      </c>
      <c r="AP57" s="18">
        <v>-4.2940831726054673E-2</v>
      </c>
      <c r="AQ57" s="46">
        <v>1</v>
      </c>
    </row>
    <row r="58" spans="1:43" ht="20" customHeight="1" x14ac:dyDescent="0.45">
      <c r="A58" s="26">
        <v>48</v>
      </c>
      <c r="B58" s="16" t="s">
        <v>480</v>
      </c>
      <c r="C58" s="16" t="s">
        <v>271</v>
      </c>
      <c r="D58" s="46">
        <v>29</v>
      </c>
      <c r="E58" s="46">
        <v>1</v>
      </c>
      <c r="F58" s="13">
        <v>0.26417456529391647</v>
      </c>
      <c r="G58" s="13">
        <v>-7.4098356602052023E-2</v>
      </c>
      <c r="H58" s="13">
        <v>0.27246337552750088</v>
      </c>
      <c r="I58" s="13">
        <v>-1.275117035592913E-4</v>
      </c>
      <c r="J58" s="13">
        <v>0.3891361908729713</v>
      </c>
      <c r="K58" s="13">
        <v>15.07868480725619</v>
      </c>
      <c r="L58" s="13">
        <v>1.929319958166301</v>
      </c>
      <c r="M58" s="13">
        <v>-1.8787327966038569</v>
      </c>
      <c r="N58" s="19">
        <f>(F58-Settings!$D$18)/Settings!$E$18</f>
        <v>0.2571542331118214</v>
      </c>
      <c r="O58" s="19">
        <f>(G58-Settings!$D$19)/Settings!$E$19</f>
        <v>-0.28103221110404653</v>
      </c>
      <c r="P58" s="19">
        <f>(H58-Settings!$D$20)/Settings!$E$20</f>
        <v>1.9872279657127652</v>
      </c>
      <c r="Q58" s="19">
        <f>(I58-Settings!$D$21)/Settings!$E$21</f>
        <v>3.4641073778381229E-2</v>
      </c>
      <c r="R58" s="19">
        <f>(J58-Settings!$D$22)/Settings!$E$22</f>
        <v>0.38010693541095197</v>
      </c>
      <c r="S58" s="19">
        <f>(K58-Settings!$D$23)/Settings!$E$23</f>
        <v>-6.1303696477959004E-2</v>
      </c>
      <c r="T58" s="19">
        <f>(L58-Settings!$D$24)/Settings!$E$24</f>
        <v>0.42936724591793068</v>
      </c>
      <c r="U58" s="19">
        <f>(M58-Settings!$D$25)/Settings!$E$25</f>
        <v>-1.2310680644064218</v>
      </c>
      <c r="V58" s="31">
        <f>Settings!$B$18*(N58-F$6)^2</f>
        <v>4.2993259189124035E-2</v>
      </c>
      <c r="W58" s="31">
        <f>Settings!$B$19*(O58-G$6)^2</f>
        <v>9.016225395120989E-3</v>
      </c>
      <c r="X58" s="31">
        <f>Settings!$B$20*(P58-H$6)^2</f>
        <v>0.70038787423610627</v>
      </c>
      <c r="Y58" s="31">
        <f>Settings!$B$21*(Q58-I$6)^2</f>
        <v>3.1225697986115859E-2</v>
      </c>
      <c r="Z58" s="31">
        <f>Settings!$B$22*(R58-J$6)^2</f>
        <v>1.3366817693630266E-2</v>
      </c>
      <c r="AA58" s="31">
        <f>Settings!$B$23*(S58-K$6)^2</f>
        <v>1.4592223714053651</v>
      </c>
      <c r="AB58" s="31">
        <f>Settings!$B$24*(T58-L$6)^2</f>
        <v>1.2595960208446561E-3</v>
      </c>
      <c r="AC58" s="31">
        <f>Settings!$B$25*(U58-M$6)^2</f>
        <v>1.4851966681039148</v>
      </c>
      <c r="AD58" s="19">
        <f t="shared" si="0"/>
        <v>1.9345977644022601</v>
      </c>
      <c r="AE58" s="15">
        <f t="shared" si="1"/>
        <v>0.76574886861865354</v>
      </c>
      <c r="AF58" s="33">
        <f t="shared" si="2"/>
        <v>0.74588364343196023</v>
      </c>
      <c r="AG58" s="47">
        <f t="shared" si="3"/>
        <v>4.3973430996474749E-3</v>
      </c>
      <c r="AH58" s="18">
        <v>-0.40989195608075191</v>
      </c>
      <c r="AI58" s="46">
        <v>1</v>
      </c>
      <c r="AJ58" s="18">
        <v>0.78255321002628109</v>
      </c>
      <c r="AK58" s="46">
        <v>1</v>
      </c>
      <c r="AL58" s="18">
        <v>-0.44594878394806292</v>
      </c>
      <c r="AM58" s="46">
        <v>1</v>
      </c>
      <c r="AN58" s="18">
        <v>-1.117487883895443</v>
      </c>
      <c r="AO58" s="46">
        <v>1</v>
      </c>
      <c r="AP58" s="18">
        <v>-0.42726839600480149</v>
      </c>
      <c r="AQ58" s="46">
        <v>1</v>
      </c>
    </row>
    <row r="59" spans="1:43" ht="20" customHeight="1" x14ac:dyDescent="0.45">
      <c r="A59" s="26">
        <v>49</v>
      </c>
      <c r="B59" s="16" t="s">
        <v>262</v>
      </c>
      <c r="C59" s="16" t="s">
        <v>224</v>
      </c>
      <c r="D59" s="46">
        <v>29</v>
      </c>
      <c r="E59" s="46">
        <v>0</v>
      </c>
      <c r="F59" s="13">
        <v>0.14682546127165261</v>
      </c>
      <c r="G59" s="13">
        <v>9.8845572550357697E-2</v>
      </c>
      <c r="H59" s="13">
        <v>7.1493269918533442E-2</v>
      </c>
      <c r="I59" s="13">
        <v>1.9730934207658381E-4</v>
      </c>
      <c r="J59" s="13">
        <v>0.68263838691737955</v>
      </c>
      <c r="K59" s="13">
        <v>17.87467105263158</v>
      </c>
      <c r="L59" s="13">
        <v>2.4037436770566218</v>
      </c>
      <c r="M59" s="13">
        <v>-0.99096374312291546</v>
      </c>
      <c r="N59" s="19">
        <f>(F59-Settings!$D$18)/Settings!$E$18</f>
        <v>-0.16283089483458604</v>
      </c>
      <c r="O59" s="19">
        <f>(G59-Settings!$D$19)/Settings!$E$19</f>
        <v>0.43947424053656153</v>
      </c>
      <c r="P59" s="19">
        <f>(H59-Settings!$D$20)/Settings!$E$20</f>
        <v>0.16640016271195146</v>
      </c>
      <c r="Q59" s="19">
        <f>(I59-Settings!$D$21)/Settings!$E$21</f>
        <v>3.8635498073694999E-2</v>
      </c>
      <c r="R59" s="19">
        <f>(J59-Settings!$D$22)/Settings!$E$22</f>
        <v>1.1697884121234836</v>
      </c>
      <c r="S59" s="19">
        <f>(K59-Settings!$D$23)/Settings!$E$23</f>
        <v>0.90967801541847482</v>
      </c>
      <c r="T59" s="19">
        <f>(L59-Settings!$D$24)/Settings!$E$24</f>
        <v>0.75736231299688273</v>
      </c>
      <c r="U59" s="19">
        <f>(M59-Settings!$D$25)/Settings!$E$25</f>
        <v>-0.63234672720862128</v>
      </c>
      <c r="V59" s="31">
        <f>Settings!$B$18*(N59-F$6)^2</f>
        <v>0.15616029191762248</v>
      </c>
      <c r="W59" s="31">
        <f>Settings!$B$19*(O59-G$6)^2</f>
        <v>5.1650050286536631E-2</v>
      </c>
      <c r="X59" s="31">
        <f>Settings!$B$20*(P59-H$6)^2</f>
        <v>5.1043664782658433E-4</v>
      </c>
      <c r="Y59" s="31">
        <f>Settings!$B$21*(Q59-I$6)^2</f>
        <v>3.0597560759550266E-2</v>
      </c>
      <c r="Z59" s="31">
        <f>Settings!$B$22*(R59-J$6)^2</f>
        <v>5.6425887280367598E-2</v>
      </c>
      <c r="AA59" s="31">
        <f>Settings!$B$23*(S59-K$6)^2</f>
        <v>5.6169501304517339E-2</v>
      </c>
      <c r="AB59" s="31">
        <f>Settings!$B$24*(T59-L$6)^2</f>
        <v>0.13212196671940976</v>
      </c>
      <c r="AC59" s="31">
        <f>Settings!$B$25*(U59-M$6)^2</f>
        <v>3.3029710719617937</v>
      </c>
      <c r="AD59" s="19">
        <f t="shared" si="0"/>
        <v>1.9459205448521335</v>
      </c>
      <c r="AE59" s="15">
        <f t="shared" si="1"/>
        <v>0.7702306303981038</v>
      </c>
      <c r="AF59" s="33">
        <f t="shared" si="2"/>
        <v>0.74332076456073015</v>
      </c>
      <c r="AG59" s="47">
        <f t="shared" si="3"/>
        <v>4.3822336950923874E-3</v>
      </c>
      <c r="AH59" s="18">
        <v>-0.1364523942390079</v>
      </c>
      <c r="AI59" s="46">
        <v>0</v>
      </c>
      <c r="AJ59" s="18">
        <v>-1.6321074739042261</v>
      </c>
      <c r="AK59" s="46">
        <v>1</v>
      </c>
      <c r="AL59" s="18">
        <v>-0.74533760061388687</v>
      </c>
      <c r="AM59" s="46">
        <v>1</v>
      </c>
      <c r="AN59" s="18">
        <v>0.91424988892872372</v>
      </c>
      <c r="AO59" s="46">
        <v>1</v>
      </c>
      <c r="AP59" s="48"/>
      <c r="AQ59" s="48"/>
    </row>
    <row r="60" spans="1:43" ht="20" customHeight="1" x14ac:dyDescent="0.45">
      <c r="A60" s="26">
        <v>50</v>
      </c>
      <c r="B60" s="16" t="s">
        <v>252</v>
      </c>
      <c r="C60" s="16" t="s">
        <v>236</v>
      </c>
      <c r="D60" s="46">
        <v>29</v>
      </c>
      <c r="E60" s="46">
        <v>0</v>
      </c>
      <c r="F60" s="13">
        <v>0.14691119809599629</v>
      </c>
      <c r="G60" s="13">
        <v>-0.2175175402025476</v>
      </c>
      <c r="H60" s="13">
        <v>0.15344479225109031</v>
      </c>
      <c r="I60" s="13">
        <v>2.4828047972033851E-4</v>
      </c>
      <c r="J60" s="13">
        <v>0.48187818897064538</v>
      </c>
      <c r="K60" s="13">
        <v>20.09532520325207</v>
      </c>
      <c r="L60" s="13">
        <v>2.2915280355888998</v>
      </c>
      <c r="M60" s="13">
        <v>-1.06357547381864</v>
      </c>
      <c r="N60" s="19">
        <f>(F60-Settings!$D$18)/Settings!$E$18</f>
        <v>-0.16252404808495199</v>
      </c>
      <c r="O60" s="19">
        <f>(G60-Settings!$D$19)/Settings!$E$19</f>
        <v>-0.87853480966083508</v>
      </c>
      <c r="P60" s="19">
        <f>(H60-Settings!$D$20)/Settings!$E$20</f>
        <v>0.90889671417270446</v>
      </c>
      <c r="Q60" s="19">
        <f>(I60-Settings!$D$21)/Settings!$E$21</f>
        <v>3.92623058292252E-2</v>
      </c>
      <c r="R60" s="19">
        <f>(J60-Settings!$D$22)/Settings!$E$22</f>
        <v>0.62963364764025676</v>
      </c>
      <c r="S60" s="19">
        <f>(K60-Settings!$D$23)/Settings!$E$23</f>
        <v>1.6808601241523147</v>
      </c>
      <c r="T60" s="19">
        <f>(L60-Settings!$D$24)/Settings!$E$24</f>
        <v>0.67978150203615983</v>
      </c>
      <c r="U60" s="19">
        <f>(M60-Settings!$D$25)/Settings!$E$25</f>
        <v>-0.68131688710316651</v>
      </c>
      <c r="V60" s="31">
        <f>Settings!$B$18*(N60-F$6)^2</f>
        <v>0.15605185518718445</v>
      </c>
      <c r="W60" s="31">
        <f>Settings!$B$19*(O60-G$6)^2</f>
        <v>0.13116355390649551</v>
      </c>
      <c r="X60" s="31">
        <f>Settings!$B$20*(P60-H$6)^2</f>
        <v>0.12577477654170885</v>
      </c>
      <c r="Y60" s="31">
        <f>Settings!$B$21*(Q60-I$6)^2</f>
        <v>3.0499572366960076E-2</v>
      </c>
      <c r="Z60" s="31">
        <f>Settings!$B$22*(R60-J$6)^2</f>
        <v>1.6186269441991471E-5</v>
      </c>
      <c r="AA60" s="31">
        <f>Settings!$B$23*(S60-K$6)^2</f>
        <v>0.28534939538820275</v>
      </c>
      <c r="AB60" s="31">
        <f>Settings!$B$24*(T60-L$6)^2</f>
        <v>8.1741694155446298E-2</v>
      </c>
      <c r="AC60" s="31">
        <f>Settings!$B$25*(U60-M$6)^2</f>
        <v>3.127371648468086</v>
      </c>
      <c r="AD60" s="19">
        <f t="shared" si="0"/>
        <v>1.9844315766192409</v>
      </c>
      <c r="AE60" s="15">
        <f t="shared" si="1"/>
        <v>0.78547399496082004</v>
      </c>
      <c r="AF60" s="33">
        <f t="shared" si="2"/>
        <v>0.73455919205890663</v>
      </c>
      <c r="AG60" s="47">
        <f t="shared" si="3"/>
        <v>4.3305800079225217E-3</v>
      </c>
      <c r="AH60" s="18">
        <v>4.1911658736447421E-2</v>
      </c>
      <c r="AI60" s="46">
        <v>1</v>
      </c>
      <c r="AJ60" s="18">
        <v>0.12947769014150709</v>
      </c>
      <c r="AK60" s="46">
        <v>1</v>
      </c>
      <c r="AL60" s="18">
        <v>-1.649525366479671</v>
      </c>
      <c r="AM60" s="46">
        <v>1</v>
      </c>
      <c r="AN60" s="18">
        <v>-1.232885079126113</v>
      </c>
      <c r="AO60" s="46">
        <v>1</v>
      </c>
      <c r="AP60" s="18">
        <v>-0.14588404194288471</v>
      </c>
      <c r="AQ60" s="46">
        <v>1</v>
      </c>
    </row>
    <row r="61" spans="1:43" ht="20" customHeight="1" x14ac:dyDescent="0.45">
      <c r="A61" s="26">
        <v>51</v>
      </c>
      <c r="B61" s="16" t="s">
        <v>394</v>
      </c>
      <c r="C61" s="16" t="s">
        <v>220</v>
      </c>
      <c r="D61" s="46">
        <v>29</v>
      </c>
      <c r="E61" s="46">
        <v>1</v>
      </c>
      <c r="F61" s="13">
        <v>0.75111810150470726</v>
      </c>
      <c r="G61" s="13">
        <v>-0.1190347173757451</v>
      </c>
      <c r="H61" s="13">
        <v>6.0159831764773951E-3</v>
      </c>
      <c r="I61" s="13">
        <v>-4.9419374549285203E-2</v>
      </c>
      <c r="J61" s="13">
        <v>7.4411823393785048E-2</v>
      </c>
      <c r="K61" s="13">
        <v>18.628431372548992</v>
      </c>
      <c r="L61" s="13">
        <v>1.341905993403175</v>
      </c>
      <c r="M61" s="13">
        <v>-1.123079870150218</v>
      </c>
      <c r="N61" s="19">
        <f>(F61-Settings!$D$18)/Settings!$E$18</f>
        <v>1.9998947939546627</v>
      </c>
      <c r="O61" s="19">
        <f>(G61-Settings!$D$19)/Settings!$E$19</f>
        <v>-0.46824281750910335</v>
      </c>
      <c r="P61" s="19">
        <f>(H61-Settings!$D$20)/Settings!$E$20</f>
        <v>-0.42683664633350493</v>
      </c>
      <c r="Q61" s="19">
        <f>(I61-Settings!$D$21)/Settings!$E$21</f>
        <v>-0.57151612310768096</v>
      </c>
      <c r="R61" s="19">
        <f>(J61-Settings!$D$22)/Settings!$E$22</f>
        <v>-0.46667379269909326</v>
      </c>
      <c r="S61" s="19">
        <f>(K61-Settings!$D$23)/Settings!$E$23</f>
        <v>1.1714416371113807</v>
      </c>
      <c r="T61" s="19">
        <f>(L61-Settings!$D$24)/Settings!$E$24</f>
        <v>2.3255841483413774E-2</v>
      </c>
      <c r="U61" s="19">
        <f>(M61-Settings!$D$25)/Settings!$E$25</f>
        <v>-0.72144731471955903</v>
      </c>
      <c r="V61" s="31">
        <f>Settings!$B$18*(N61-F$6)^2</f>
        <v>0.32721730598251347</v>
      </c>
      <c r="W61" s="31">
        <f>Settings!$B$19*(O61-G$6)^2</f>
        <v>3.1925447116905099E-2</v>
      </c>
      <c r="X61" s="31">
        <f>Settings!$B$20*(P61-H$6)^2</f>
        <v>5.8908494232936995E-2</v>
      </c>
      <c r="Y61" s="31">
        <f>Settings!$B$21*(Q61-I$6)^2</f>
        <v>0.20051560191206211</v>
      </c>
      <c r="Z61" s="31">
        <f>Settings!$B$22*(R61-J$6)^2</f>
        <v>0.24433922090292062</v>
      </c>
      <c r="AA61" s="31">
        <f>Settings!$B$23*(S61-K$6)^2</f>
        <v>6.1318458035091274E-4</v>
      </c>
      <c r="AB61" s="31">
        <f>Settings!$B$24*(T61-L$6)^2</f>
        <v>0.13735964145178414</v>
      </c>
      <c r="AC61" s="31">
        <f>Settings!$B$25*(U61-M$6)^2</f>
        <v>2.9870457831411157</v>
      </c>
      <c r="AD61" s="19">
        <f t="shared" si="0"/>
        <v>1.9969788880507948</v>
      </c>
      <c r="AE61" s="15">
        <f t="shared" si="1"/>
        <v>0.79044044830306659</v>
      </c>
      <c r="AF61" s="33">
        <f t="shared" si="2"/>
        <v>0.73169022011587426</v>
      </c>
      <c r="AG61" s="47">
        <f t="shared" si="3"/>
        <v>4.313666037375148E-3</v>
      </c>
      <c r="AH61" s="18">
        <v>-0.18916907716361961</v>
      </c>
      <c r="AI61" s="46">
        <v>1</v>
      </c>
      <c r="AJ61" s="18">
        <v>3.081186189574284</v>
      </c>
      <c r="AK61" s="46">
        <v>1</v>
      </c>
      <c r="AL61" s="18">
        <v>0.21294737828287949</v>
      </c>
      <c r="AM61" s="46">
        <v>1</v>
      </c>
      <c r="AN61" s="18">
        <v>-2.392221411952498</v>
      </c>
      <c r="AO61" s="46">
        <v>1</v>
      </c>
      <c r="AP61" s="48"/>
      <c r="AQ61" s="48"/>
    </row>
    <row r="62" spans="1:43" ht="20" customHeight="1" x14ac:dyDescent="0.45">
      <c r="A62" s="26">
        <v>52</v>
      </c>
      <c r="B62" s="16" t="s">
        <v>315</v>
      </c>
      <c r="C62" s="16" t="s">
        <v>271</v>
      </c>
      <c r="D62" s="46">
        <v>29</v>
      </c>
      <c r="E62" s="46">
        <v>1</v>
      </c>
      <c r="F62" s="13">
        <v>0.33206987722850262</v>
      </c>
      <c r="G62" s="13">
        <v>-0.20994293184402479</v>
      </c>
      <c r="H62" s="13">
        <v>-5.8280054963963893E-2</v>
      </c>
      <c r="I62" s="13">
        <v>-2.6908610697388681E-4</v>
      </c>
      <c r="J62" s="13">
        <v>0.39943804985653469</v>
      </c>
      <c r="K62" s="13">
        <v>15.95572519083969</v>
      </c>
      <c r="L62" s="13">
        <v>0.44253337256564479</v>
      </c>
      <c r="M62" s="13">
        <v>-1.714380467334929</v>
      </c>
      <c r="N62" s="19">
        <f>(F62-Settings!$D$18)/Settings!$E$18</f>
        <v>0.50014732204412748</v>
      </c>
      <c r="O62" s="19">
        <f>(G62-Settings!$D$19)/Settings!$E$19</f>
        <v>-0.84697802580774595</v>
      </c>
      <c r="P62" s="19">
        <f>(H62-Settings!$D$20)/Settings!$E$20</f>
        <v>-1.009371115896387</v>
      </c>
      <c r="Q62" s="19">
        <f>(I62-Settings!$D$21)/Settings!$E$21</f>
        <v>3.290008979907421E-2</v>
      </c>
      <c r="R62" s="19">
        <f>(J62-Settings!$D$22)/Settings!$E$22</f>
        <v>0.40782457202377548</v>
      </c>
      <c r="S62" s="19">
        <f>(K62-Settings!$D$23)/Settings!$E$23</f>
        <v>0.24327225573309241</v>
      </c>
      <c r="T62" s="19">
        <f>(L62-Settings!$D$24)/Settings!$E$24</f>
        <v>-0.5985296455292527</v>
      </c>
      <c r="U62" s="19">
        <f>(M62-Settings!$D$25)/Settings!$E$25</f>
        <v>-1.1202270230729414</v>
      </c>
      <c r="V62" s="31">
        <f>Settings!$B$18*(N62-F$6)^2</f>
        <v>9.7374160432804752E-3</v>
      </c>
      <c r="W62" s="31">
        <f>Settings!$B$19*(O62-G$6)^2</f>
        <v>0.12114052137899559</v>
      </c>
      <c r="X62" s="31">
        <f>Settings!$B$20*(P62-H$6)^2</f>
        <v>0.25323847627886836</v>
      </c>
      <c r="Y62" s="31">
        <f>Settings!$B$21*(Q62-I$6)^2</f>
        <v>3.1501470872266353E-2</v>
      </c>
      <c r="Z62" s="31">
        <f>Settings!$B$22*(R62-J$6)^2</f>
        <v>1.0654213679275413E-2</v>
      </c>
      <c r="AA62" s="31">
        <f>Settings!$B$23*(S62-K$6)^2</f>
        <v>0.81614387752151163</v>
      </c>
      <c r="AB62" s="31">
        <f>Settings!$B$24*(T62-L$6)^2</f>
        <v>0.98486987449522545</v>
      </c>
      <c r="AC62" s="31">
        <f>Settings!$B$25*(U62-M$6)^2</f>
        <v>1.7676433553283997</v>
      </c>
      <c r="AD62" s="19">
        <f t="shared" si="0"/>
        <v>1.9987318993796599</v>
      </c>
      <c r="AE62" s="15">
        <f t="shared" si="1"/>
        <v>0.7911343219684116</v>
      </c>
      <c r="AF62" s="33">
        <f t="shared" si="2"/>
        <v>0.73128884703388253</v>
      </c>
      <c r="AG62" s="47">
        <f t="shared" si="3"/>
        <v>4.311299749860973E-3</v>
      </c>
      <c r="AH62" s="18">
        <v>-0.79546139290051343</v>
      </c>
      <c r="AI62" s="46">
        <v>1</v>
      </c>
      <c r="AJ62" s="18">
        <v>-0.33140338514900758</v>
      </c>
      <c r="AK62" s="46">
        <v>1</v>
      </c>
      <c r="AL62" s="18">
        <v>-0.23586566911828541</v>
      </c>
      <c r="AM62" s="46">
        <v>1</v>
      </c>
      <c r="AN62" s="48"/>
      <c r="AO62" s="48"/>
      <c r="AP62" s="48"/>
      <c r="AQ62" s="48"/>
    </row>
    <row r="63" spans="1:43" ht="20" customHeight="1" x14ac:dyDescent="0.45">
      <c r="A63" s="26">
        <v>53</v>
      </c>
      <c r="B63" s="16" t="s">
        <v>254</v>
      </c>
      <c r="C63" s="16" t="s">
        <v>229</v>
      </c>
      <c r="D63" s="46">
        <v>29</v>
      </c>
      <c r="E63" s="46">
        <v>1</v>
      </c>
      <c r="F63" s="13">
        <v>0.28987926200035652</v>
      </c>
      <c r="G63" s="13">
        <v>-0.21325616516243809</v>
      </c>
      <c r="H63" s="13">
        <v>0.26748501916590389</v>
      </c>
      <c r="I63" s="13">
        <v>-1.1349171231543361E-6</v>
      </c>
      <c r="J63" s="13">
        <v>0.2293784187541783</v>
      </c>
      <c r="K63" s="13">
        <v>19.430232558139561</v>
      </c>
      <c r="L63" s="13">
        <v>3.783338240041763</v>
      </c>
      <c r="M63" s="13">
        <v>-2.032517546902207</v>
      </c>
      <c r="N63" s="19">
        <f>(F63-Settings!$D$18)/Settings!$E$18</f>
        <v>0.34914974023584378</v>
      </c>
      <c r="O63" s="19">
        <f>(G63-Settings!$D$19)/Settings!$E$19</f>
        <v>-0.86078137810468403</v>
      </c>
      <c r="P63" s="19">
        <f>(H63-Settings!$D$20)/Settings!$E$20</f>
        <v>1.9421230997478776</v>
      </c>
      <c r="Q63" s="19">
        <f>(I63-Settings!$D$21)/Settings!$E$21</f>
        <v>3.6195167987751117E-2</v>
      </c>
      <c r="R63" s="19">
        <f>(J63-Settings!$D$22)/Settings!$E$22</f>
        <v>-4.9728871964009914E-2</v>
      </c>
      <c r="S63" s="19">
        <f>(K63-Settings!$D$23)/Settings!$E$23</f>
        <v>1.4498887464535781</v>
      </c>
      <c r="T63" s="19">
        <f>(L63-Settings!$D$24)/Settings!$E$24</f>
        <v>1.7111514959797001</v>
      </c>
      <c r="U63" s="19">
        <f>(M63-Settings!$D$25)/Settings!$E$25</f>
        <v>-1.3347822127857047</v>
      </c>
      <c r="V63" s="31">
        <f>Settings!$B$18*(N63-F$6)^2</f>
        <v>2.7624606574878308E-2</v>
      </c>
      <c r="W63" s="31">
        <f>Settings!$B$19*(O63-G$6)^2</f>
        <v>0.12547571625691487</v>
      </c>
      <c r="X63" s="31">
        <f>Settings!$B$20*(P63-H$6)^2</f>
        <v>0.66703202285542063</v>
      </c>
      <c r="Y63" s="31">
        <f>Settings!$B$21*(Q63-I$6)^2</f>
        <v>3.0980552721814991E-2</v>
      </c>
      <c r="Z63" s="31">
        <f>Settings!$B$22*(R63-J$6)^2</f>
        <v>9.4767541281534404E-2</v>
      </c>
      <c r="AA63" s="31">
        <f>Settings!$B$23*(S63-K$6)^2</f>
        <v>9.1936106063344139E-2</v>
      </c>
      <c r="AB63" s="31">
        <f>Settings!$B$24*(T63-L$6)^2</f>
        <v>1.7352135254546399</v>
      </c>
      <c r="AC63" s="31">
        <f>Settings!$B$25*(U63-M$6)^2</f>
        <v>1.2431632376725508</v>
      </c>
      <c r="AD63" s="19">
        <f t="shared" si="0"/>
        <v>2.0040442382545098</v>
      </c>
      <c r="AE63" s="15">
        <f t="shared" si="1"/>
        <v>0.79323704200561385</v>
      </c>
      <c r="AF63" s="33">
        <f t="shared" si="2"/>
        <v>0.73007172050033897</v>
      </c>
      <c r="AG63" s="47">
        <f t="shared" si="3"/>
        <v>4.3041242030973387E-3</v>
      </c>
      <c r="AH63" s="18">
        <v>0.21845156139832561</v>
      </c>
      <c r="AI63" s="46">
        <v>1</v>
      </c>
      <c r="AJ63" s="18">
        <v>1.237864561640639</v>
      </c>
      <c r="AK63" s="46">
        <v>1</v>
      </c>
      <c r="AL63" s="18">
        <v>0.13706189205920261</v>
      </c>
      <c r="AM63" s="46">
        <v>1</v>
      </c>
      <c r="AN63" s="48"/>
      <c r="AO63" s="48"/>
      <c r="AP63" s="48"/>
      <c r="AQ63" s="48"/>
    </row>
    <row r="64" spans="1:43" ht="20" customHeight="1" x14ac:dyDescent="0.45">
      <c r="A64" s="26">
        <v>54</v>
      </c>
      <c r="B64" s="16" t="s">
        <v>361</v>
      </c>
      <c r="C64" s="16" t="s">
        <v>227</v>
      </c>
      <c r="D64" s="46">
        <v>29</v>
      </c>
      <c r="E64" s="46">
        <v>0</v>
      </c>
      <c r="F64" s="13">
        <v>0.39106208636125511</v>
      </c>
      <c r="G64" s="13">
        <v>-7.9463756168324517E-2</v>
      </c>
      <c r="H64" s="13">
        <v>8.520941220778519E-2</v>
      </c>
      <c r="I64" s="13">
        <v>1.4824128199051351E-2</v>
      </c>
      <c r="J64" s="13">
        <v>0.42944061706358377</v>
      </c>
      <c r="K64" s="13">
        <v>17.056382978723398</v>
      </c>
      <c r="L64" s="13">
        <v>1.63258943876327</v>
      </c>
      <c r="M64" s="13">
        <v>-0.83347648270426178</v>
      </c>
      <c r="N64" s="19">
        <f>(F64-Settings!$D$18)/Settings!$E$18</f>
        <v>0.7112767610533911</v>
      </c>
      <c r="O64" s="19">
        <f>(G64-Settings!$D$19)/Settings!$E$19</f>
        <v>-0.30338514955106333</v>
      </c>
      <c r="P64" s="19">
        <f>(H64-Settings!$D$20)/Settings!$E$20</f>
        <v>0.29067104944163641</v>
      </c>
      <c r="Q64" s="19">
        <f>(I64-Settings!$D$21)/Settings!$E$21</f>
        <v>0.21850598796476234</v>
      </c>
      <c r="R64" s="19">
        <f>(J64-Settings!$D$22)/Settings!$E$22</f>
        <v>0.48854789163275286</v>
      </c>
      <c r="S64" s="19">
        <f>(K64-Settings!$D$23)/Settings!$E$23</f>
        <v>0.62550538898227925</v>
      </c>
      <c r="T64" s="19">
        <f>(L64-Settings!$D$24)/Settings!$E$24</f>
        <v>0.22422120717514674</v>
      </c>
      <c r="U64" s="19">
        <f>(M64-Settings!$D$25)/Settings!$E$25</f>
        <v>-0.52613556476748891</v>
      </c>
      <c r="V64" s="31">
        <f>Settings!$B$18*(N64-F$6)^2</f>
        <v>1.8133892543270568E-5</v>
      </c>
      <c r="W64" s="31">
        <f>Settings!$B$19*(O64-G$6)^2</f>
        <v>1.1014574834024508E-2</v>
      </c>
      <c r="X64" s="31">
        <f>Settings!$B$20*(P64-H$6)^2</f>
        <v>6.110310503932328E-3</v>
      </c>
      <c r="Y64" s="31">
        <f>Settings!$B$21*(Q64-I$6)^2</f>
        <v>8.9266699604715529E-3</v>
      </c>
      <c r="Z64" s="31">
        <f>Settings!$B$22*(R64-J$6)^2</f>
        <v>4.5049178121770094E-3</v>
      </c>
      <c r="AA64" s="31">
        <f>Settings!$B$23*(S64-K$6)^2</f>
        <v>0.27162200893405664</v>
      </c>
      <c r="AB64" s="31">
        <f>Settings!$B$24*(T64-L$6)^2</f>
        <v>2.8782904162037895E-2</v>
      </c>
      <c r="AC64" s="31">
        <f>Settings!$B$25*(U64-M$6)^2</f>
        <v>3.7003098708133511</v>
      </c>
      <c r="AD64" s="19">
        <f t="shared" si="0"/>
        <v>2.0078071099865631</v>
      </c>
      <c r="AE64" s="15">
        <f t="shared" si="1"/>
        <v>0.79472645485648996</v>
      </c>
      <c r="AF64" s="33">
        <f t="shared" si="2"/>
        <v>0.72920887234212306</v>
      </c>
      <c r="AG64" s="47">
        <f t="shared" si="3"/>
        <v>4.2990372978836565E-3</v>
      </c>
      <c r="AH64" s="48"/>
      <c r="AI64" s="48"/>
      <c r="AJ64" s="48"/>
      <c r="AK64" s="48"/>
      <c r="AL64" s="48"/>
      <c r="AM64" s="48"/>
      <c r="AN64" s="48"/>
      <c r="AO64" s="48"/>
      <c r="AP64" s="48"/>
      <c r="AQ64" s="48"/>
    </row>
    <row r="65" spans="1:43" ht="20" customHeight="1" x14ac:dyDescent="0.45">
      <c r="A65" s="26">
        <v>55</v>
      </c>
      <c r="B65" s="16" t="s">
        <v>528</v>
      </c>
      <c r="C65" s="16" t="s">
        <v>234</v>
      </c>
      <c r="D65" s="46">
        <v>29</v>
      </c>
      <c r="E65" s="46">
        <v>1</v>
      </c>
      <c r="F65" s="13">
        <v>0.64318677318495221</v>
      </c>
      <c r="G65" s="13">
        <v>-1.1897054215504681E-2</v>
      </c>
      <c r="H65" s="13">
        <v>0.1446384035495672</v>
      </c>
      <c r="I65" s="13">
        <v>-1.7397857248002879E-5</v>
      </c>
      <c r="J65" s="13">
        <v>0.20026037119272799</v>
      </c>
      <c r="K65" s="13">
        <v>16.97255555555553</v>
      </c>
      <c r="L65" s="13">
        <v>1.507066658654959</v>
      </c>
      <c r="M65" s="13">
        <v>-1.000391109205883</v>
      </c>
      <c r="N65" s="19">
        <f>(F65-Settings!$D$18)/Settings!$E$18</f>
        <v>1.613615298158956</v>
      </c>
      <c r="O65" s="19">
        <f>(G65-Settings!$D$19)/Settings!$E$19</f>
        <v>-2.1893657414425657E-2</v>
      </c>
      <c r="P65" s="19">
        <f>(H65-Settings!$D$20)/Settings!$E$20</f>
        <v>0.82910913908447181</v>
      </c>
      <c r="Q65" s="19">
        <f>(I65-Settings!$D$21)/Settings!$E$21</f>
        <v>3.5995177611447882E-2</v>
      </c>
      <c r="R65" s="19">
        <f>(J65-Settings!$D$22)/Settings!$E$22</f>
        <v>-0.12807234982280152</v>
      </c>
      <c r="S65" s="19">
        <f>(K65-Settings!$D$23)/Settings!$E$23</f>
        <v>0.59639405304991122</v>
      </c>
      <c r="T65" s="19">
        <f>(L65-Settings!$D$24)/Settings!$E$24</f>
        <v>0.13744044339322453</v>
      </c>
      <c r="U65" s="19">
        <f>(M65-Settings!$D$25)/Settings!$E$25</f>
        <v>-0.63870464789228998</v>
      </c>
      <c r="V65" s="31">
        <f>Settings!$B$18*(N65-F$6)^2</f>
        <v>0.15942425543230035</v>
      </c>
      <c r="W65" s="31">
        <f>Settings!$B$19*(O65-G$6)^2</f>
        <v>4.3833609805561999E-4</v>
      </c>
      <c r="X65" s="31">
        <f>Settings!$B$20*(P65-H$6)^2</f>
        <v>0.10173886844237506</v>
      </c>
      <c r="Y65" s="31">
        <f>Settings!$B$21*(Q65-I$6)^2</f>
        <v>3.101204535669826E-2</v>
      </c>
      <c r="Z65" s="31">
        <f>Settings!$B$22*(R65-J$6)^2</f>
        <v>0.11756644736399043</v>
      </c>
      <c r="AA65" s="31">
        <f>Settings!$B$23*(S65-K$6)^2</f>
        <v>0.3028136032041216</v>
      </c>
      <c r="AB65" s="31">
        <f>Settings!$B$24*(T65-L$6)^2</f>
        <v>6.5759429632138086E-2</v>
      </c>
      <c r="AC65" s="31">
        <f>Settings!$B$25*(U65-M$6)^2</f>
        <v>3.2799016259709735</v>
      </c>
      <c r="AD65" s="19">
        <f t="shared" si="0"/>
        <v>2.0146102877481424</v>
      </c>
      <c r="AE65" s="15">
        <f t="shared" si="1"/>
        <v>0.79741927595336048</v>
      </c>
      <c r="AF65" s="33">
        <f t="shared" si="2"/>
        <v>0.72764735484556908</v>
      </c>
      <c r="AG65" s="47">
        <f t="shared" si="3"/>
        <v>4.2898314006248614E-3</v>
      </c>
      <c r="AH65" s="18">
        <v>0.73354142478462236</v>
      </c>
      <c r="AI65" s="46">
        <v>1</v>
      </c>
      <c r="AJ65" s="18">
        <v>0.45007291744236078</v>
      </c>
      <c r="AK65" s="46">
        <v>1</v>
      </c>
      <c r="AL65" s="18">
        <v>-0.72662068289584214</v>
      </c>
      <c r="AM65" s="46">
        <v>1</v>
      </c>
      <c r="AN65" s="18">
        <v>-0.51610572007150468</v>
      </c>
      <c r="AO65" s="46">
        <v>1</v>
      </c>
      <c r="AP65" s="18">
        <v>-9.0316615105949793E-3</v>
      </c>
      <c r="AQ65" s="46">
        <v>1</v>
      </c>
    </row>
    <row r="66" spans="1:43" ht="20" customHeight="1" x14ac:dyDescent="0.45">
      <c r="A66" s="26">
        <v>56</v>
      </c>
      <c r="B66" s="16" t="s">
        <v>378</v>
      </c>
      <c r="C66" s="16" t="s">
        <v>246</v>
      </c>
      <c r="D66" s="46">
        <v>29</v>
      </c>
      <c r="E66" s="46">
        <v>1</v>
      </c>
      <c r="F66" s="13">
        <v>0.18943369993305439</v>
      </c>
      <c r="G66" s="13">
        <v>-8.6690558724583575E-3</v>
      </c>
      <c r="H66" s="13">
        <v>0.1191218671480726</v>
      </c>
      <c r="I66" s="13">
        <v>4.189604327670688E-2</v>
      </c>
      <c r="J66" s="13">
        <v>0.64087933376970785</v>
      </c>
      <c r="K66" s="13">
        <v>19.934192439862549</v>
      </c>
      <c r="L66" s="13">
        <v>2.6355671490925561</v>
      </c>
      <c r="M66" s="13">
        <v>-0.9604474400536418</v>
      </c>
      <c r="N66" s="19">
        <f>(F66-Settings!$D$18)/Settings!$E$18</f>
        <v>-1.0338664792635082E-2</v>
      </c>
      <c r="O66" s="19">
        <f>(G66-Settings!$D$19)/Settings!$E$19</f>
        <v>-8.445404888600223E-3</v>
      </c>
      <c r="P66" s="19">
        <f>(H66-Settings!$D$20)/Settings!$E$20</f>
        <v>0.59792441250367157</v>
      </c>
      <c r="Q66" s="19">
        <f>(I66-Settings!$D$21)/Settings!$E$21</f>
        <v>0.55141765351022654</v>
      </c>
      <c r="R66" s="19">
        <f>(J66-Settings!$D$22)/Settings!$E$22</f>
        <v>1.0574337135890268</v>
      </c>
      <c r="S66" s="19">
        <f>(K66-Settings!$D$23)/Settings!$E$23</f>
        <v>1.6249024216788699</v>
      </c>
      <c r="T66" s="19">
        <f>(L66-Settings!$D$24)/Settings!$E$24</f>
        <v>0.91763455958428475</v>
      </c>
      <c r="U66" s="19">
        <f>(M66-Settings!$D$25)/Settings!$E$25</f>
        <v>-0.61176619254329445</v>
      </c>
      <c r="V66" s="31">
        <f>Settings!$B$18*(N66-F$6)^2</f>
        <v>0.10691240212446562</v>
      </c>
      <c r="W66" s="31">
        <f>Settings!$B$19*(O66-G$6)^2</f>
        <v>7.2634125758524917E-4</v>
      </c>
      <c r="X66" s="31">
        <f>Settings!$B$20*(P66-H$6)^2</f>
        <v>4.6473165418452048E-2</v>
      </c>
      <c r="Y66" s="31">
        <f>Settings!$B$21*(Q66-I$6)^2</f>
        <v>2.959530474575733E-3</v>
      </c>
      <c r="Z66" s="31">
        <f>Settings!$B$22*(R66-J$6)^2</f>
        <v>3.507933811482359E-2</v>
      </c>
      <c r="AA66" s="31">
        <f>Settings!$B$23*(S66-K$6)^2</f>
        <v>0.22869757120194636</v>
      </c>
      <c r="AB66" s="31">
        <f>Settings!$B$24*(T66-L$6)^2</f>
        <v>0.27432254888381163</v>
      </c>
      <c r="AC66" s="31">
        <f>Settings!$B$25*(U66-M$6)^2</f>
        <v>3.3782010783790311</v>
      </c>
      <c r="AD66" s="19">
        <f t="shared" si="0"/>
        <v>2.0182596403472699</v>
      </c>
      <c r="AE66" s="15">
        <f t="shared" si="1"/>
        <v>0.798863755873369</v>
      </c>
      <c r="AF66" s="33">
        <f t="shared" si="2"/>
        <v>0.72680893405208391</v>
      </c>
      <c r="AG66" s="47">
        <f t="shared" si="3"/>
        <v>4.2848885064840688E-3</v>
      </c>
      <c r="AH66" s="18">
        <v>-0.72143364439938562</v>
      </c>
      <c r="AI66" s="46">
        <v>1</v>
      </c>
      <c r="AJ66" s="48"/>
      <c r="AK66" s="48"/>
      <c r="AL66" s="48"/>
      <c r="AM66" s="48"/>
      <c r="AN66" s="48"/>
      <c r="AO66" s="48"/>
      <c r="AP66" s="48"/>
      <c r="AQ66" s="48"/>
    </row>
    <row r="67" spans="1:43" ht="20" customHeight="1" x14ac:dyDescent="0.45">
      <c r="A67" s="26">
        <v>57</v>
      </c>
      <c r="B67" s="16" t="s">
        <v>467</v>
      </c>
      <c r="C67" s="16" t="s">
        <v>232</v>
      </c>
      <c r="D67" s="46">
        <v>29</v>
      </c>
      <c r="E67" s="46">
        <v>0</v>
      </c>
      <c r="F67" s="13">
        <v>0.1030663269288804</v>
      </c>
      <c r="G67" s="13">
        <v>-0.1996249253705826</v>
      </c>
      <c r="H67" s="13">
        <v>0.10683846308085811</v>
      </c>
      <c r="I67" s="13">
        <v>1.6651839995395899E-2</v>
      </c>
      <c r="J67" s="13">
        <v>0.573818444624283</v>
      </c>
      <c r="K67" s="13">
        <v>16.047345132743359</v>
      </c>
      <c r="L67" s="13">
        <v>1.667920529835933</v>
      </c>
      <c r="M67" s="13">
        <v>-1.138190811417497</v>
      </c>
      <c r="N67" s="19">
        <f>(F67-Settings!$D$18)/Settings!$E$18</f>
        <v>-0.31944210877522633</v>
      </c>
      <c r="O67" s="19">
        <f>(G67-Settings!$D$19)/Settings!$E$19</f>
        <v>-0.80399189574455565</v>
      </c>
      <c r="P67" s="19">
        <f>(H67-Settings!$D$20)/Settings!$E$20</f>
        <v>0.48663440957858262</v>
      </c>
      <c r="Q67" s="19">
        <f>(I67-Settings!$D$21)/Settings!$E$21</f>
        <v>0.24098192202826599</v>
      </c>
      <c r="R67" s="19">
        <f>(J67-Settings!$D$22)/Settings!$E$22</f>
        <v>0.87700323407737835</v>
      </c>
      <c r="S67" s="19">
        <f>(K67-Settings!$D$23)/Settings!$E$23</f>
        <v>0.27508975418488923</v>
      </c>
      <c r="T67" s="19">
        <f>(L67-Settings!$D$24)/Settings!$E$24</f>
        <v>0.24864752298721454</v>
      </c>
      <c r="U67" s="19">
        <f>(M67-Settings!$D$25)/Settings!$E$25</f>
        <v>-0.73163830180836154</v>
      </c>
      <c r="V67" s="31">
        <f>Settings!$B$18*(N67-F$6)^2</f>
        <v>0.21642023483648132</v>
      </c>
      <c r="W67" s="31">
        <f>Settings!$B$19*(O67-G$6)^2</f>
        <v>0.10812817419679721</v>
      </c>
      <c r="X67" s="31">
        <f>Settings!$B$20*(P67-H$6)^2</f>
        <v>2.7491614382416568E-2</v>
      </c>
      <c r="Y67" s="31">
        <f>Settings!$B$21*(Q67-I$6)^2</f>
        <v>7.1283426330573559E-3</v>
      </c>
      <c r="Z67" s="31">
        <f>Settings!$B$22*(R67-J$6)^2</f>
        <v>1.136437568846675E-2</v>
      </c>
      <c r="AA67" s="31">
        <f>Settings!$B$23*(S67-K$6)^2</f>
        <v>0.75966794070846699</v>
      </c>
      <c r="AB67" s="31">
        <f>Settings!$B$24*(T67-L$6)^2</f>
        <v>2.1091443590281048E-2</v>
      </c>
      <c r="AC67" s="31">
        <f>Settings!$B$25*(U67-M$6)^2</f>
        <v>2.9519233266047511</v>
      </c>
      <c r="AD67" s="19">
        <f t="shared" si="0"/>
        <v>2.0256395169527863</v>
      </c>
      <c r="AE67" s="15">
        <f t="shared" si="1"/>
        <v>0.80178484482798451</v>
      </c>
      <c r="AF67" s="33">
        <f t="shared" si="2"/>
        <v>0.72511177130127502</v>
      </c>
      <c r="AG67" s="47">
        <f t="shared" si="3"/>
        <v>4.2748829151603215E-3</v>
      </c>
      <c r="AH67" s="18">
        <v>-1.1174548776816291</v>
      </c>
      <c r="AI67" s="46">
        <v>0</v>
      </c>
      <c r="AJ67" s="18">
        <v>-0.26968646331459661</v>
      </c>
      <c r="AK67" s="46">
        <v>0</v>
      </c>
      <c r="AL67" s="48"/>
      <c r="AM67" s="48"/>
      <c r="AN67" s="48"/>
      <c r="AO67" s="48"/>
      <c r="AP67" s="48"/>
      <c r="AQ67" s="48"/>
    </row>
    <row r="68" spans="1:43" ht="20" customHeight="1" x14ac:dyDescent="0.45">
      <c r="A68" s="26">
        <v>58</v>
      </c>
      <c r="B68" s="16" t="s">
        <v>434</v>
      </c>
      <c r="C68" s="16" t="s">
        <v>232</v>
      </c>
      <c r="D68" s="46">
        <v>29</v>
      </c>
      <c r="E68" s="46">
        <v>0</v>
      </c>
      <c r="F68" s="13">
        <v>0.53879476546355898</v>
      </c>
      <c r="G68" s="13">
        <v>-1.9535722203366159E-2</v>
      </c>
      <c r="H68" s="13">
        <v>-6.4765759562594671E-2</v>
      </c>
      <c r="I68" s="13">
        <v>-0.13149310176803991</v>
      </c>
      <c r="J68" s="13">
        <v>0.24541065100244019</v>
      </c>
      <c r="K68" s="13">
        <v>17.916256830601089</v>
      </c>
      <c r="L68" s="13">
        <v>1.502934666107514</v>
      </c>
      <c r="M68" s="13">
        <v>-1.2008396523465079</v>
      </c>
      <c r="N68" s="19">
        <f>(F68-Settings!$D$18)/Settings!$E$18</f>
        <v>1.2400028101493872</v>
      </c>
      <c r="O68" s="19">
        <f>(G68-Settings!$D$19)/Settings!$E$19</f>
        <v>-5.3717321848142444E-2</v>
      </c>
      <c r="P68" s="19">
        <f>(H68-Settings!$D$20)/Settings!$E$20</f>
        <v>-1.0681328467491085</v>
      </c>
      <c r="Q68" s="19">
        <f>(I68-Settings!$D$21)/Settings!$E$21</f>
        <v>-1.5808019880914881</v>
      </c>
      <c r="R68" s="19">
        <f>(J68-Settings!$D$22)/Settings!$E$22</f>
        <v>-6.5933962931902313E-3</v>
      </c>
      <c r="S68" s="19">
        <f>(K68-Settings!$D$23)/Settings!$E$23</f>
        <v>0.92411979958324542</v>
      </c>
      <c r="T68" s="19">
        <f>(L68-Settings!$D$24)/Settings!$E$24</f>
        <v>0.13458377093186669</v>
      </c>
      <c r="U68" s="19">
        <f>(M68-Settings!$D$25)/Settings!$E$25</f>
        <v>-0.77388937788252321</v>
      </c>
      <c r="V68" s="31">
        <f>Settings!$B$18*(N68-F$6)^2</f>
        <v>5.3914558246313561E-2</v>
      </c>
      <c r="W68" s="31">
        <f>Settings!$B$19*(O68-G$6)^2</f>
        <v>4.4950351042652942E-5</v>
      </c>
      <c r="X68" s="31">
        <f>Settings!$B$20*(P68-H$6)^2</f>
        <v>0.28037776986773161</v>
      </c>
      <c r="Y68" s="31">
        <f>Settings!$B$21*(Q68-I$6)^2</f>
        <v>0.80848159411781784</v>
      </c>
      <c r="Z68" s="31">
        <f>Settings!$B$22*(R68-J$6)^2</f>
        <v>8.3262603069155491E-2</v>
      </c>
      <c r="AA68" s="31">
        <f>Settings!$B$23*(S68-K$6)^2</f>
        <v>4.9532630192955167E-2</v>
      </c>
      <c r="AB68" s="31">
        <f>Settings!$B$24*(T68-L$6)^2</f>
        <v>6.7232697612242945E-2</v>
      </c>
      <c r="AC68" s="31">
        <f>Settings!$B$25*(U68-M$6)^2</f>
        <v>2.8085239622661042</v>
      </c>
      <c r="AD68" s="19">
        <f t="shared" si="0"/>
        <v>2.0374912921834447</v>
      </c>
      <c r="AE68" s="15">
        <f t="shared" si="1"/>
        <v>0.80647599233212908</v>
      </c>
      <c r="AF68" s="33">
        <f t="shared" si="2"/>
        <v>0.72238158898590232</v>
      </c>
      <c r="AG68" s="47">
        <f t="shared" si="3"/>
        <v>4.2587871762726258E-3</v>
      </c>
      <c r="AH68" s="18">
        <v>-0.62008284391914703</v>
      </c>
      <c r="AI68" s="46">
        <v>0</v>
      </c>
      <c r="AJ68" s="18">
        <v>-0.53100377843789526</v>
      </c>
      <c r="AK68" s="46">
        <v>0</v>
      </c>
      <c r="AL68" s="18">
        <v>-0.32557811884816712</v>
      </c>
      <c r="AM68" s="46">
        <v>1</v>
      </c>
      <c r="AN68" s="48"/>
      <c r="AO68" s="48"/>
      <c r="AP68" s="48"/>
      <c r="AQ68" s="48"/>
    </row>
    <row r="69" spans="1:43" ht="20" customHeight="1" x14ac:dyDescent="0.45">
      <c r="A69" s="26">
        <v>59</v>
      </c>
      <c r="B69" s="16" t="s">
        <v>763</v>
      </c>
      <c r="C69" s="16" t="s">
        <v>246</v>
      </c>
      <c r="D69" s="46">
        <v>29</v>
      </c>
      <c r="E69" s="46">
        <v>1</v>
      </c>
      <c r="F69" s="13">
        <v>0.30694282001780759</v>
      </c>
      <c r="G69" s="13">
        <v>-0.18870716068562801</v>
      </c>
      <c r="H69" s="13">
        <v>1.9764866735260799E-2</v>
      </c>
      <c r="I69" s="13">
        <v>-1.1300350942300611E-5</v>
      </c>
      <c r="J69" s="13">
        <v>0.48457385221036131</v>
      </c>
      <c r="K69" s="13">
        <v>15.52962962962963</v>
      </c>
      <c r="L69" s="13">
        <v>1.399507873933165</v>
      </c>
      <c r="M69" s="13">
        <v>-1.203016071713503</v>
      </c>
      <c r="N69" s="19">
        <f>(F69-Settings!$D$18)/Settings!$E$18</f>
        <v>0.41021915066628473</v>
      </c>
      <c r="O69" s="19">
        <f>(G69-Settings!$D$19)/Settings!$E$19</f>
        <v>-0.75850709652924786</v>
      </c>
      <c r="P69" s="19">
        <f>(H69-Settings!$D$20)/Settings!$E$20</f>
        <v>-0.30226911740577694</v>
      </c>
      <c r="Q69" s="19">
        <f>(I69-Settings!$D$21)/Settings!$E$21</f>
        <v>3.6070160521747448E-2</v>
      </c>
      <c r="R69" s="19">
        <f>(J69-Settings!$D$22)/Settings!$E$22</f>
        <v>0.63688645650011444</v>
      </c>
      <c r="S69" s="19">
        <f>(K69-Settings!$D$23)/Settings!$E$23</f>
        <v>9.5299068046803215E-2</v>
      </c>
      <c r="T69" s="19">
        <f>(L69-Settings!$D$24)/Settings!$E$24</f>
        <v>6.3079172223493518E-2</v>
      </c>
      <c r="U69" s="19">
        <f>(M69-Settings!$D$25)/Settings!$E$25</f>
        <v>-0.77535717934350135</v>
      </c>
      <c r="V69" s="31">
        <f>Settings!$B$18*(N69-F$6)^2</f>
        <v>1.9291945262193941E-2</v>
      </c>
      <c r="W69" s="31">
        <f>Settings!$B$19*(O69-G$6)^2</f>
        <v>9.5164270450935923E-2</v>
      </c>
      <c r="X69" s="31">
        <f>Settings!$B$20*(P69-H$6)^2</f>
        <v>3.4969908378432529E-2</v>
      </c>
      <c r="Y69" s="31">
        <f>Settings!$B$21*(Q69-I$6)^2</f>
        <v>3.1000235866766254E-2</v>
      </c>
      <c r="Z69" s="31">
        <f>Settings!$B$22*(R69-J$6)^2</f>
        <v>6.0787217613470376E-7</v>
      </c>
      <c r="AA69" s="31">
        <f>Settings!$B$23*(S69-K$6)^2</f>
        <v>1.1053999148586628</v>
      </c>
      <c r="AB69" s="31">
        <f>Settings!$B$24*(T69-L$6)^2</f>
        <v>0.10942684433480672</v>
      </c>
      <c r="AC69" s="31">
        <f>Settings!$B$25*(U69-M$6)^2</f>
        <v>2.8036064421099991</v>
      </c>
      <c r="AD69" s="19">
        <f t="shared" si="0"/>
        <v>2.0491120440654225</v>
      </c>
      <c r="AE69" s="15">
        <f t="shared" si="1"/>
        <v>0.8110756966065068</v>
      </c>
      <c r="AF69" s="33">
        <f t="shared" si="2"/>
        <v>0.71969922823408672</v>
      </c>
      <c r="AG69" s="47">
        <f t="shared" si="3"/>
        <v>4.2429733685204014E-3</v>
      </c>
      <c r="AH69" s="18">
        <v>0.60252684511788801</v>
      </c>
      <c r="AI69" s="46">
        <v>1</v>
      </c>
      <c r="AJ69" s="48"/>
      <c r="AK69" s="48"/>
      <c r="AL69" s="48"/>
      <c r="AM69" s="48"/>
      <c r="AN69" s="48"/>
      <c r="AO69" s="48"/>
      <c r="AP69" s="48"/>
      <c r="AQ69" s="48"/>
    </row>
    <row r="70" spans="1:43" ht="20" customHeight="1" x14ac:dyDescent="0.45">
      <c r="A70" s="26">
        <v>60</v>
      </c>
      <c r="B70" s="16" t="s">
        <v>463</v>
      </c>
      <c r="C70" s="16" t="s">
        <v>220</v>
      </c>
      <c r="D70" s="46">
        <v>29</v>
      </c>
      <c r="E70" s="46">
        <v>1</v>
      </c>
      <c r="F70" s="13">
        <v>0.6364481757748921</v>
      </c>
      <c r="G70" s="13">
        <v>-8.1071515159554811E-2</v>
      </c>
      <c r="H70" s="13">
        <v>-0.18466444115477651</v>
      </c>
      <c r="I70" s="13">
        <v>1.278231557415958E-2</v>
      </c>
      <c r="J70" s="13">
        <v>8.5033552336616899E-2</v>
      </c>
      <c r="K70" s="13">
        <v>17.371861471861472</v>
      </c>
      <c r="L70" s="13">
        <v>0.58542736536231255</v>
      </c>
      <c r="M70" s="13">
        <v>-1.693436384007537</v>
      </c>
      <c r="N70" s="19">
        <f>(F70-Settings!$D$18)/Settings!$E$18</f>
        <v>1.5894982781013807</v>
      </c>
      <c r="O70" s="19">
        <f>(G70-Settings!$D$19)/Settings!$E$19</f>
        <v>-0.3100832784275257</v>
      </c>
      <c r="P70" s="19">
        <f>(H70-Settings!$D$20)/Settings!$E$20</f>
        <v>-2.1544379582713526</v>
      </c>
      <c r="Q70" s="19">
        <f>(I70-Settings!$D$21)/Settings!$E$21</f>
        <v>0.1933971901669472</v>
      </c>
      <c r="R70" s="19">
        <f>(J70-Settings!$D$22)/Settings!$E$22</f>
        <v>-0.43809553090119313</v>
      </c>
      <c r="S70" s="19">
        <f>(K70-Settings!$D$23)/Settings!$E$23</f>
        <v>0.73506381325578152</v>
      </c>
      <c r="T70" s="19">
        <f>(L70-Settings!$D$24)/Settings!$E$24</f>
        <v>-0.49973921223863227</v>
      </c>
      <c r="U70" s="19">
        <f>(M70-Settings!$D$25)/Settings!$E$25</f>
        <v>-1.1061021000121631</v>
      </c>
      <c r="V70" s="31">
        <f>Settings!$B$18*(N70-F$6)^2</f>
        <v>0.15092775232611891</v>
      </c>
      <c r="W70" s="31">
        <f>Settings!$B$19*(O70-G$6)^2</f>
        <v>1.165230413781866E-2</v>
      </c>
      <c r="X70" s="31">
        <f>Settings!$B$20*(P70-H$6)^2</f>
        <v>1.0308696574842555</v>
      </c>
      <c r="Y70" s="31">
        <f>Settings!$B$21*(Q70-I$6)^2</f>
        <v>1.117461505895072E-2</v>
      </c>
      <c r="Z70" s="31">
        <f>Settings!$B$22*(R70-J$6)^2</f>
        <v>0.23186750176226481</v>
      </c>
      <c r="AA70" s="31">
        <f>Settings!$B$23*(S70-K$6)^2</f>
        <v>0.16942712207124419</v>
      </c>
      <c r="AB70" s="31">
        <f>Settings!$B$24*(T70-L$6)^2</f>
        <v>0.79854896625191896</v>
      </c>
      <c r="AC70" s="31">
        <f>Settings!$B$25*(U70-M$6)^2</f>
        <v>1.8054018158787846</v>
      </c>
      <c r="AD70" s="19">
        <f t="shared" si="0"/>
        <v>2.0517967089776112</v>
      </c>
      <c r="AE70" s="15">
        <f t="shared" si="1"/>
        <v>0.81213833565063065</v>
      </c>
      <c r="AF70" s="33">
        <f t="shared" si="2"/>
        <v>0.71907879459802615</v>
      </c>
      <c r="AG70" s="47">
        <f t="shared" si="3"/>
        <v>4.2393156135979758E-3</v>
      </c>
      <c r="AH70" s="18">
        <v>-0.64904116377627852</v>
      </c>
      <c r="AI70" s="46">
        <v>1</v>
      </c>
      <c r="AJ70" s="18">
        <v>0.36590442178933158</v>
      </c>
      <c r="AK70" s="46">
        <v>1</v>
      </c>
      <c r="AL70" s="18">
        <v>0.3765610097018216</v>
      </c>
      <c r="AM70" s="46">
        <v>1</v>
      </c>
      <c r="AN70" s="18">
        <v>-5.6529616133710443E-2</v>
      </c>
      <c r="AO70" s="46">
        <v>1</v>
      </c>
      <c r="AP70" s="48"/>
      <c r="AQ70" s="48"/>
    </row>
    <row r="71" spans="1:43" ht="20" customHeight="1" x14ac:dyDescent="0.45">
      <c r="A71" s="26">
        <v>61</v>
      </c>
      <c r="B71" s="16" t="s">
        <v>223</v>
      </c>
      <c r="C71" s="16" t="s">
        <v>234</v>
      </c>
      <c r="D71" s="46">
        <v>29</v>
      </c>
      <c r="E71" s="46">
        <v>1</v>
      </c>
      <c r="F71" s="13">
        <v>0.3765886267299417</v>
      </c>
      <c r="G71" s="13">
        <v>-9.1268989015137372E-2</v>
      </c>
      <c r="H71" s="13">
        <v>0.16404863205938261</v>
      </c>
      <c r="I71" s="13">
        <v>-1.401500724411774E-3</v>
      </c>
      <c r="J71" s="13">
        <v>0.36669225147112672</v>
      </c>
      <c r="K71" s="13">
        <v>18.559425287356341</v>
      </c>
      <c r="L71" s="13">
        <v>3.985814187664849</v>
      </c>
      <c r="M71" s="13">
        <v>-1.643466151777121</v>
      </c>
      <c r="N71" s="19">
        <f>(F71-Settings!$D$18)/Settings!$E$18</f>
        <v>0.65947715128448248</v>
      </c>
      <c r="O71" s="19">
        <f>(G71-Settings!$D$19)/Settings!$E$19</f>
        <v>-0.35256725424207247</v>
      </c>
      <c r="P71" s="19">
        <f>(H71-Settings!$D$20)/Settings!$E$20</f>
        <v>1.0049695419348246</v>
      </c>
      <c r="Q71" s="19">
        <f>(I71-Settings!$D$21)/Settings!$E$21</f>
        <v>1.8974438979844282E-2</v>
      </c>
      <c r="R71" s="19">
        <f>(J71-Settings!$D$22)/Settings!$E$22</f>
        <v>0.31972045977649521</v>
      </c>
      <c r="S71" s="19">
        <f>(K71-Settings!$D$23)/Settings!$E$23</f>
        <v>1.1474774109488033</v>
      </c>
      <c r="T71" s="19">
        <f>(L71-Settings!$D$24)/Settings!$E$24</f>
        <v>1.8511341936783821</v>
      </c>
      <c r="U71" s="19">
        <f>(M71-Settings!$D$25)/Settings!$E$25</f>
        <v>-1.0724016188523728</v>
      </c>
      <c r="V71" s="31">
        <f>Settings!$B$18*(N71-F$6)^2</f>
        <v>7.5206922551240721E-4</v>
      </c>
      <c r="W71" s="31">
        <f>Settings!$B$19*(O71-G$6)^2</f>
        <v>1.6115096620545128E-2</v>
      </c>
      <c r="X71" s="31">
        <f>Settings!$B$20*(P71-H$6)^2</f>
        <v>0.15809567806226787</v>
      </c>
      <c r="Y71" s="31">
        <f>Settings!$B$21*(Q71-I$6)^2</f>
        <v>3.3750935768495742E-2</v>
      </c>
      <c r="Z71" s="31">
        <f>Settings!$B$22*(R71-J$6)^2</f>
        <v>2.0340637638900361E-2</v>
      </c>
      <c r="AA71" s="31">
        <f>Settings!$B$23*(S71-K$6)^2</f>
        <v>6.3734344763661352E-7</v>
      </c>
      <c r="AB71" s="31">
        <f>Settings!$B$24*(T71-L$6)^2</f>
        <v>2.1236001079402871</v>
      </c>
      <c r="AC71" s="31">
        <f>Settings!$B$25*(U71-M$6)^2</f>
        <v>1.8971010041920886</v>
      </c>
      <c r="AD71" s="19">
        <f t="shared" si="0"/>
        <v>2.0614936737209613</v>
      </c>
      <c r="AE71" s="15">
        <f t="shared" si="1"/>
        <v>0.81597657009806346</v>
      </c>
      <c r="AF71" s="33">
        <f t="shared" si="2"/>
        <v>0.71683550817452613</v>
      </c>
      <c r="AG71" s="47">
        <f t="shared" si="3"/>
        <v>4.2260903603540219E-3</v>
      </c>
      <c r="AH71" s="18">
        <v>-1.4225728073298209</v>
      </c>
      <c r="AI71" s="46">
        <v>1</v>
      </c>
      <c r="AJ71" s="18">
        <v>-0.61502027384214331</v>
      </c>
      <c r="AK71" s="46">
        <v>1</v>
      </c>
      <c r="AL71" s="18">
        <v>-0.51611539831175612</v>
      </c>
      <c r="AM71" s="46">
        <v>1</v>
      </c>
      <c r="AN71" s="18">
        <v>0.1111036396406864</v>
      </c>
      <c r="AO71" s="46">
        <v>1</v>
      </c>
      <c r="AP71" s="18">
        <v>1.366982335311683</v>
      </c>
      <c r="AQ71" s="46">
        <v>1</v>
      </c>
    </row>
    <row r="72" spans="1:43" ht="20" customHeight="1" x14ac:dyDescent="0.45">
      <c r="A72" s="26">
        <v>62</v>
      </c>
      <c r="B72" s="16" t="s">
        <v>301</v>
      </c>
      <c r="C72" s="16" t="s">
        <v>218</v>
      </c>
      <c r="D72" s="46">
        <v>29</v>
      </c>
      <c r="E72" s="46">
        <v>0</v>
      </c>
      <c r="F72" s="13">
        <v>0.47804487754243102</v>
      </c>
      <c r="G72" s="13">
        <v>-0.34489206764211722</v>
      </c>
      <c r="H72" s="13">
        <v>0.13960590862302591</v>
      </c>
      <c r="I72" s="13">
        <v>4.516828870185413E-3</v>
      </c>
      <c r="J72" s="13">
        <v>3.2940317322240453E-2</v>
      </c>
      <c r="K72" s="13">
        <v>20.020341207349059</v>
      </c>
      <c r="L72" s="13">
        <v>0.76171811965934055</v>
      </c>
      <c r="M72" s="13">
        <v>-1.268116596334564</v>
      </c>
      <c r="N72" s="19">
        <f>(F72-Settings!$D$18)/Settings!$E$18</f>
        <v>1.0225827483273198</v>
      </c>
      <c r="O72" s="19">
        <f>(G72-Settings!$D$19)/Settings!$E$19</f>
        <v>-1.4091933256588502</v>
      </c>
      <c r="P72" s="19">
        <f>(H72-Settings!$D$20)/Settings!$E$20</f>
        <v>0.78351376731044198</v>
      </c>
      <c r="Q72" s="19">
        <f>(I72-Settings!$D$21)/Settings!$E$21</f>
        <v>9.175395815802688E-2</v>
      </c>
      <c r="R72" s="19">
        <f>(J72-Settings!$D$22)/Settings!$E$22</f>
        <v>-0.57825483228734542</v>
      </c>
      <c r="S72" s="19">
        <f>(K72-Settings!$D$23)/Settings!$E$23</f>
        <v>1.6548199070993277</v>
      </c>
      <c r="T72" s="19">
        <f>(L72-Settings!$D$24)/Settings!$E$24</f>
        <v>-0.37785977097397583</v>
      </c>
      <c r="U72" s="19">
        <f>(M72-Settings!$D$25)/Settings!$E$25</f>
        <v>-0.81926169820521522</v>
      </c>
      <c r="V72" s="31">
        <f>Settings!$B$18*(N72-F$6)^2</f>
        <v>1.8214708791249312E-2</v>
      </c>
      <c r="W72" s="31">
        <f>Settings!$B$19*(O72-G$6)^2</f>
        <v>0.35937962147905284</v>
      </c>
      <c r="X72" s="31">
        <f>Settings!$B$20*(P72-H$6)^2</f>
        <v>8.9146695625771794E-2</v>
      </c>
      <c r="Y72" s="31">
        <f>Settings!$B$21*(Q72-I$6)^2</f>
        <v>2.2851246349525584E-2</v>
      </c>
      <c r="Z72" s="31">
        <f>Settings!$B$22*(R72-J$6)^2</f>
        <v>0.29616165761903901</v>
      </c>
      <c r="AA72" s="31">
        <f>Settings!$B$23*(S72-K$6)^2</f>
        <v>0.25820710725824331</v>
      </c>
      <c r="AB72" s="31">
        <f>Settings!$B$24*(T72-L$6)^2</f>
        <v>0.5955768072455917</v>
      </c>
      <c r="AC72" s="31">
        <f>Settings!$B$25*(U72-M$6)^2</f>
        <v>2.6585068299589576</v>
      </c>
      <c r="AD72" s="19">
        <f t="shared" si="0"/>
        <v>2.0731726108376578</v>
      </c>
      <c r="AE72" s="15">
        <f t="shared" si="1"/>
        <v>0.82059930514321744</v>
      </c>
      <c r="AF72" s="33">
        <f t="shared" si="2"/>
        <v>0.71412903634355984</v>
      </c>
      <c r="AG72" s="47">
        <f t="shared" si="3"/>
        <v>4.2101344061846431E-3</v>
      </c>
      <c r="AH72" s="18">
        <v>0.24634697794787749</v>
      </c>
      <c r="AI72" s="46">
        <v>0</v>
      </c>
      <c r="AJ72" s="18">
        <v>0.34559441454827883</v>
      </c>
      <c r="AK72" s="46">
        <v>0</v>
      </c>
      <c r="AL72" s="18">
        <v>0.37641412997571622</v>
      </c>
      <c r="AM72" s="46">
        <v>0</v>
      </c>
      <c r="AN72" s="18">
        <v>1.357537140567227</v>
      </c>
      <c r="AO72" s="46">
        <v>0</v>
      </c>
      <c r="AP72" s="18">
        <v>-0.49207771911914522</v>
      </c>
      <c r="AQ72" s="46">
        <v>1</v>
      </c>
    </row>
    <row r="73" spans="1:43" ht="20" customHeight="1" x14ac:dyDescent="0.45">
      <c r="A73" s="26">
        <v>63</v>
      </c>
      <c r="B73" s="16" t="s">
        <v>328</v>
      </c>
      <c r="C73" s="16" t="s">
        <v>236</v>
      </c>
      <c r="D73" s="46">
        <v>29</v>
      </c>
      <c r="E73" s="46">
        <v>0</v>
      </c>
      <c r="F73" s="13">
        <v>-6.0976785687336152E-2</v>
      </c>
      <c r="G73" s="13">
        <v>0.12543931326501359</v>
      </c>
      <c r="H73" s="13">
        <v>-9.3043633891159841E-2</v>
      </c>
      <c r="I73" s="13">
        <v>4.048293161551042E-2</v>
      </c>
      <c r="J73" s="13">
        <v>0.68005733554098002</v>
      </c>
      <c r="K73" s="13">
        <v>17.18552631578947</v>
      </c>
      <c r="L73" s="13">
        <v>0.80124225950127637</v>
      </c>
      <c r="M73" s="13">
        <v>-1.367772370111747</v>
      </c>
      <c r="N73" s="19">
        <f>(F73-Settings!$D$18)/Settings!$E$18</f>
        <v>-0.9065421826520369</v>
      </c>
      <c r="O73" s="19">
        <f>(G73-Settings!$D$19)/Settings!$E$19</f>
        <v>0.55026715389335923</v>
      </c>
      <c r="P73" s="19">
        <f>(H73-Settings!$D$20)/Settings!$E$20</f>
        <v>-1.3243358259493989</v>
      </c>
      <c r="Q73" s="19">
        <f>(I73-Settings!$D$21)/Settings!$E$21</f>
        <v>0.53404018481688975</v>
      </c>
      <c r="R73" s="19">
        <f>(J73-Settings!$D$22)/Settings!$E$22</f>
        <v>1.1628439718778723</v>
      </c>
      <c r="S73" s="19">
        <f>(K73-Settings!$D$23)/Settings!$E$23</f>
        <v>0.67035389948973956</v>
      </c>
      <c r="T73" s="19">
        <f>(L73-Settings!$D$24)/Settings!$E$24</f>
        <v>-0.35053457119472403</v>
      </c>
      <c r="U73" s="19">
        <f>(M73-Settings!$D$25)/Settings!$E$25</f>
        <v>-0.88647066195699964</v>
      </c>
      <c r="V73" s="31">
        <f>Settings!$B$18*(N73-F$6)^2</f>
        <v>0.52964774286508998</v>
      </c>
      <c r="W73" s="31">
        <f>Settings!$B$19*(O73-G$6)^2</f>
        <v>7.662630689448327E-2</v>
      </c>
      <c r="X73" s="31">
        <f>Settings!$B$20*(P73-H$6)^2</f>
        <v>0.41484491575713006</v>
      </c>
      <c r="Y73" s="31">
        <f>Settings!$B$21*(Q73-I$6)^2</f>
        <v>2.1743687052687747E-3</v>
      </c>
      <c r="Z73" s="31">
        <f>Settings!$B$22*(R73-J$6)^2</f>
        <v>5.4960092724376547E-2</v>
      </c>
      <c r="AA73" s="31">
        <f>Settings!$B$23*(S73-K$6)^2</f>
        <v>0.22688567093918718</v>
      </c>
      <c r="AB73" s="31">
        <f>Settings!$B$24*(T73-L$6)^2</f>
        <v>0.55414778051660052</v>
      </c>
      <c r="AC73" s="31">
        <f>Settings!$B$25*(U73-M$6)^2</f>
        <v>2.4438564093456581</v>
      </c>
      <c r="AD73" s="19">
        <f t="shared" si="0"/>
        <v>2.0744019108523291</v>
      </c>
      <c r="AE73" s="15">
        <f t="shared" si="1"/>
        <v>0.82108588437573204</v>
      </c>
      <c r="AF73" s="33">
        <f t="shared" si="2"/>
        <v>0.7138438666174185</v>
      </c>
      <c r="AG73" s="47">
        <f t="shared" si="3"/>
        <v>4.208453193386215E-3</v>
      </c>
      <c r="AH73" s="18">
        <v>0.54368930642048052</v>
      </c>
      <c r="AI73" s="46">
        <v>1</v>
      </c>
      <c r="AJ73" s="18">
        <v>0.56611319935357352</v>
      </c>
      <c r="AK73" s="46">
        <v>1</v>
      </c>
      <c r="AL73" s="18">
        <v>4.3113940638719317E-3</v>
      </c>
      <c r="AM73" s="46">
        <v>1</v>
      </c>
      <c r="AN73" s="18">
        <v>1.08004663690911</v>
      </c>
      <c r="AO73" s="46">
        <v>1</v>
      </c>
      <c r="AP73" s="18">
        <v>-0.26266686864838729</v>
      </c>
      <c r="AQ73" s="46">
        <v>1</v>
      </c>
    </row>
    <row r="74" spans="1:43" ht="20" customHeight="1" x14ac:dyDescent="0.45">
      <c r="A74" s="26">
        <v>64</v>
      </c>
      <c r="B74" s="16" t="s">
        <v>289</v>
      </c>
      <c r="C74" s="16" t="s">
        <v>214</v>
      </c>
      <c r="D74" s="46">
        <v>29</v>
      </c>
      <c r="E74" s="46">
        <v>1</v>
      </c>
      <c r="F74" s="13">
        <v>0.1630044757330881</v>
      </c>
      <c r="G74" s="13">
        <v>0.29430083484082292</v>
      </c>
      <c r="H74" s="13">
        <v>0.30049050827647078</v>
      </c>
      <c r="I74" s="13">
        <v>-0.10106079820267271</v>
      </c>
      <c r="J74" s="13">
        <v>0.14114338294694551</v>
      </c>
      <c r="K74" s="13">
        <v>18.56221264367819</v>
      </c>
      <c r="L74" s="13">
        <v>1.784331382141445</v>
      </c>
      <c r="M74" s="13">
        <v>-1.4257641994740411</v>
      </c>
      <c r="N74" s="19">
        <f>(F74-Settings!$D$18)/Settings!$E$18</f>
        <v>-0.10492721065014095</v>
      </c>
      <c r="O74" s="19">
        <f>(G74-Settings!$D$19)/Settings!$E$19</f>
        <v>1.253765775241324</v>
      </c>
      <c r="P74" s="19">
        <f>(H74-Settings!$D$20)/Settings!$E$20</f>
        <v>2.2411591779847755</v>
      </c>
      <c r="Q74" s="19">
        <f>(I74-Settings!$D$21)/Settings!$E$21</f>
        <v>-1.2065665918415325</v>
      </c>
      <c r="R74" s="19">
        <f>(J74-Settings!$D$22)/Settings!$E$22</f>
        <v>-0.28712938996046183</v>
      </c>
      <c r="S74" s="19">
        <f>(K74-Settings!$D$23)/Settings!$E$23</f>
        <v>1.1484453956867582</v>
      </c>
      <c r="T74" s="19">
        <f>(L74-Settings!$D$24)/Settings!$E$24</f>
        <v>0.32912871267134902</v>
      </c>
      <c r="U74" s="19">
        <f>(M74-Settings!$D$25)/Settings!$E$25</f>
        <v>-0.92558099756308843</v>
      </c>
      <c r="V74" s="31">
        <f>Settings!$B$18*(N74-F$6)^2</f>
        <v>0.13636469304351007</v>
      </c>
      <c r="W74" s="31">
        <f>Settings!$B$19*(O74-G$6)^2</f>
        <v>0.34978792989599239</v>
      </c>
      <c r="X74" s="31">
        <f>Settings!$B$20*(P74-H$6)^2</f>
        <v>0.90336144520776029</v>
      </c>
      <c r="Y74" s="31">
        <f>Settings!$B$21*(Q74-I$6)^2</f>
        <v>0.53552083144943452</v>
      </c>
      <c r="Z74" s="31">
        <f>Settings!$B$22*(R74-J$6)^2</f>
        <v>0.17140602770071539</v>
      </c>
      <c r="AA74" s="31">
        <f>Settings!$B$23*(S74-K$6)^2</f>
        <v>3.1198957610476466E-6</v>
      </c>
      <c r="AB74" s="31">
        <f>Settings!$B$24*(T74-L$6)^2</f>
        <v>4.1922705364381965E-3</v>
      </c>
      <c r="AC74" s="31">
        <f>Settings!$B$25*(U74-M$6)^2</f>
        <v>2.3231049153126038</v>
      </c>
      <c r="AD74" s="19">
        <f t="shared" si="0"/>
        <v>2.1032691775049184</v>
      </c>
      <c r="AE74" s="15">
        <f t="shared" si="1"/>
        <v>0.83251207186859477</v>
      </c>
      <c r="AF74" s="33">
        <f t="shared" si="2"/>
        <v>0.70713182408287989</v>
      </c>
      <c r="AG74" s="47">
        <f t="shared" si="3"/>
        <v>4.1688824718887057E-3</v>
      </c>
      <c r="AH74" s="48"/>
      <c r="AI74" s="48"/>
      <c r="AJ74" s="48"/>
      <c r="AK74" s="48"/>
      <c r="AL74" s="48"/>
      <c r="AM74" s="48"/>
      <c r="AN74" s="48"/>
      <c r="AO74" s="48"/>
      <c r="AP74" s="48"/>
      <c r="AQ74" s="48"/>
    </row>
    <row r="75" spans="1:43" ht="20" customHeight="1" x14ac:dyDescent="0.45">
      <c r="A75" s="26">
        <v>65</v>
      </c>
      <c r="B75" s="16" t="s">
        <v>497</v>
      </c>
      <c r="C75" s="16" t="s">
        <v>260</v>
      </c>
      <c r="D75" s="46">
        <v>29</v>
      </c>
      <c r="E75" s="46">
        <v>1</v>
      </c>
      <c r="F75" s="13">
        <v>0.24124472284613499</v>
      </c>
      <c r="G75" s="13">
        <v>4.9737000057669192E-2</v>
      </c>
      <c r="H75" s="13">
        <v>0.13180932908237461</v>
      </c>
      <c r="I75" s="13">
        <v>2.1290500284570711E-2</v>
      </c>
      <c r="J75" s="13">
        <v>0.55591844772925048</v>
      </c>
      <c r="K75" s="13">
        <v>17.695967741935458</v>
      </c>
      <c r="L75" s="13">
        <v>1.953627612223382</v>
      </c>
      <c r="M75" s="13">
        <v>-0.6354571550797159</v>
      </c>
      <c r="N75" s="19">
        <f>(F75-Settings!$D$18)/Settings!$E$18</f>
        <v>0.17508975639970778</v>
      </c>
      <c r="O75" s="19">
        <f>(G75-Settings!$D$19)/Settings!$E$19</f>
        <v>0.23488166833554103</v>
      </c>
      <c r="P75" s="19">
        <f>(H75-Settings!$D$20)/Settings!$E$20</f>
        <v>0.71287525740416191</v>
      </c>
      <c r="Q75" s="19">
        <f>(I75-Settings!$D$21)/Settings!$E$21</f>
        <v>0.29802495420161185</v>
      </c>
      <c r="R75" s="19">
        <f>(J75-Settings!$D$22)/Settings!$E$22</f>
        <v>0.82884244968897025</v>
      </c>
      <c r="S75" s="19">
        <f>(K75-Settings!$D$23)/Settings!$E$23</f>
        <v>0.84761846600964574</v>
      </c>
      <c r="T75" s="19">
        <f>(L75-Settings!$D$24)/Settings!$E$24</f>
        <v>0.44617245675695166</v>
      </c>
      <c r="U75" s="19">
        <f>(M75-Settings!$D$25)/Settings!$E$25</f>
        <v>-0.39258912477669389</v>
      </c>
      <c r="V75" s="31">
        <f>Settings!$B$18*(N75-F$6)^2</f>
        <v>5.9559674770105313E-2</v>
      </c>
      <c r="W75" s="31">
        <f>Settings!$B$19*(O75-G$6)^2</f>
        <v>1.8433464212928515E-2</v>
      </c>
      <c r="X75" s="31">
        <f>Settings!$B$20*(P75-H$6)^2</f>
        <v>7.1280422619621225E-2</v>
      </c>
      <c r="Y75" s="31">
        <f>Settings!$B$21*(Q75-I$6)^2</f>
        <v>3.4714595543396363E-3</v>
      </c>
      <c r="Z75" s="31">
        <f>Settings!$B$22*(R75-J$6)^2</f>
        <v>7.236167925673706E-3</v>
      </c>
      <c r="AA75" s="31">
        <f>Settings!$B$23*(S75-K$6)^2</f>
        <v>8.9437246665749676E-2</v>
      </c>
      <c r="AB75" s="31">
        <f>Settings!$B$24*(T75-L$6)^2</f>
        <v>2.7348714768647741E-3</v>
      </c>
      <c r="AC75" s="31">
        <f>Settings!$B$25*(U75-M$6)^2</f>
        <v>4.2319294482077643</v>
      </c>
      <c r="AD75" s="19">
        <f t="shared" ref="AD75:AD138" si="4">SQRT(SUM(V75:AC75))</f>
        <v>2.1175652895325441</v>
      </c>
      <c r="AE75" s="15">
        <f t="shared" ref="AE75:AE138" si="5">AD75/Yardstick</f>
        <v>0.83817073219180793</v>
      </c>
      <c r="AF75" s="33">
        <f t="shared" ref="AF75:AF138" si="6">EXP(-(AD75^2)/(2*Yardstick^2))</f>
        <v>0.70379716083653432</v>
      </c>
      <c r="AG75" s="47">
        <f t="shared" ref="AG75:AG138" si="7">AF75/$E$7</f>
        <v>4.149223026953708E-3</v>
      </c>
      <c r="AH75" s="18">
        <v>1.335791102574859</v>
      </c>
      <c r="AI75" s="46">
        <v>1</v>
      </c>
      <c r="AJ75" s="18">
        <v>0.93374775088266304</v>
      </c>
      <c r="AK75" s="46">
        <v>1</v>
      </c>
      <c r="AL75" s="18">
        <v>-1.4892596998022991</v>
      </c>
      <c r="AM75" s="46">
        <v>1</v>
      </c>
      <c r="AN75" s="18">
        <v>-1.0157411026077461</v>
      </c>
      <c r="AO75" s="46">
        <v>1</v>
      </c>
      <c r="AP75" s="18">
        <v>0.89350150695407704</v>
      </c>
      <c r="AQ75" s="46">
        <v>1</v>
      </c>
    </row>
    <row r="76" spans="1:43" ht="20" customHeight="1" x14ac:dyDescent="0.45">
      <c r="A76" s="26">
        <v>66</v>
      </c>
      <c r="B76" s="16" t="s">
        <v>426</v>
      </c>
      <c r="C76" s="16" t="s">
        <v>236</v>
      </c>
      <c r="D76" s="46">
        <v>29</v>
      </c>
      <c r="E76" s="46">
        <v>0</v>
      </c>
      <c r="F76" s="13">
        <v>0.4512558361647539</v>
      </c>
      <c r="G76" s="13">
        <v>-0.31053782298319549</v>
      </c>
      <c r="H76" s="13">
        <v>0.20970059260002169</v>
      </c>
      <c r="I76" s="13">
        <v>7.9507408932774466E-5</v>
      </c>
      <c r="J76" s="13">
        <v>2.8426240843096171E-2</v>
      </c>
      <c r="K76" s="13">
        <v>16.149390243902442</v>
      </c>
      <c r="L76" s="13">
        <v>3.7276909333205037E-2</v>
      </c>
      <c r="M76" s="13">
        <v>-2.06165456625317</v>
      </c>
      <c r="N76" s="19">
        <f>(F76-Settings!$D$18)/Settings!$E$18</f>
        <v>0.92670643922119522</v>
      </c>
      <c r="O76" s="19">
        <f>(G76-Settings!$D$19)/Settings!$E$19</f>
        <v>-1.2660691637451962</v>
      </c>
      <c r="P76" s="19">
        <f>(H76-Settings!$D$20)/Settings!$E$20</f>
        <v>1.4185850832214919</v>
      </c>
      <c r="Q76" s="19">
        <f>(I76-Settings!$D$21)/Settings!$E$21</f>
        <v>3.7186851472415197E-2</v>
      </c>
      <c r="R76" s="19">
        <f>(J76-Settings!$D$22)/Settings!$E$22</f>
        <v>-0.59040016757984393</v>
      </c>
      <c r="S76" s="19">
        <f>(K76-Settings!$D$23)/Settings!$E$23</f>
        <v>0.31052767412737614</v>
      </c>
      <c r="T76" s="19">
        <f>(L76-Settings!$D$24)/Settings!$E$24</f>
        <v>-0.87870560543490073</v>
      </c>
      <c r="U76" s="19">
        <f>(M76-Settings!$D$25)/Settings!$E$25</f>
        <v>-1.3544325431496267</v>
      </c>
      <c r="V76" s="31">
        <f>Settings!$B$18*(N76-F$6)^2</f>
        <v>8.479590152869464E-3</v>
      </c>
      <c r="W76" s="31">
        <f>Settings!$B$19*(O76-G$6)^2</f>
        <v>0.28673425091767379</v>
      </c>
      <c r="X76" s="31">
        <f>Settings!$B$20*(P76-H$6)^2</f>
        <v>0.33940757247555209</v>
      </c>
      <c r="Y76" s="31">
        <f>Settings!$B$21*(Q76-I$6)^2</f>
        <v>3.0824627930723488E-2</v>
      </c>
      <c r="Z76" s="31">
        <f>Settings!$B$22*(R76-J$6)^2</f>
        <v>0.30210294836076768</v>
      </c>
      <c r="AA76" s="31">
        <f>Settings!$B$23*(S76-K$6)^2</f>
        <v>0.69914916187106513</v>
      </c>
      <c r="AB76" s="31">
        <f>Settings!$B$24*(T76-L$6)^2</f>
        <v>1.6194651083982139</v>
      </c>
      <c r="AC76" s="31">
        <f>Settings!$B$25*(U76-M$6)^2</f>
        <v>1.1997302249333957</v>
      </c>
      <c r="AD76" s="19">
        <f t="shared" si="4"/>
        <v>2.1179927962673202</v>
      </c>
      <c r="AE76" s="15">
        <f t="shared" si="5"/>
        <v>0.83833994710795501</v>
      </c>
      <c r="AF76" s="33">
        <f t="shared" si="6"/>
        <v>0.70369733759208042</v>
      </c>
      <c r="AG76" s="47">
        <f t="shared" si="7"/>
        <v>4.1486345208790014E-3</v>
      </c>
      <c r="AH76" s="18">
        <v>-0.64671980455401212</v>
      </c>
      <c r="AI76" s="46">
        <v>1</v>
      </c>
      <c r="AJ76" s="18">
        <v>0.72493330262476807</v>
      </c>
      <c r="AK76" s="46">
        <v>1</v>
      </c>
      <c r="AL76" s="18">
        <v>0.40816335470887588</v>
      </c>
      <c r="AM76" s="46">
        <v>1</v>
      </c>
      <c r="AN76" s="18">
        <v>-0.36186451192346808</v>
      </c>
      <c r="AO76" s="46">
        <v>1</v>
      </c>
      <c r="AP76" s="18">
        <v>-1.0569699924864231</v>
      </c>
      <c r="AQ76" s="46">
        <v>1</v>
      </c>
    </row>
    <row r="77" spans="1:43" ht="20" customHeight="1" x14ac:dyDescent="0.45">
      <c r="A77" s="26">
        <v>67</v>
      </c>
      <c r="B77" s="16" t="s">
        <v>312</v>
      </c>
      <c r="C77" s="16" t="s">
        <v>234</v>
      </c>
      <c r="D77" s="46">
        <v>29</v>
      </c>
      <c r="E77" s="46">
        <v>1</v>
      </c>
      <c r="F77" s="13">
        <v>0.2298342249335576</v>
      </c>
      <c r="G77" s="13">
        <v>-0.2007394313987704</v>
      </c>
      <c r="H77" s="13">
        <v>8.5046696751915375E-3</v>
      </c>
      <c r="I77" s="13">
        <v>-1.7144593952167671E-2</v>
      </c>
      <c r="J77" s="13">
        <v>0.54377708004031278</v>
      </c>
      <c r="K77" s="13">
        <v>14.88000000000002</v>
      </c>
      <c r="L77" s="13">
        <v>1.6519627523919329</v>
      </c>
      <c r="M77" s="13">
        <v>-1.321914512878072</v>
      </c>
      <c r="N77" s="19">
        <f>(F77-Settings!$D$18)/Settings!$E$18</f>
        <v>0.13425229568218214</v>
      </c>
      <c r="O77" s="19">
        <f>(G77-Settings!$D$19)/Settings!$E$19</f>
        <v>-0.80863506990879008</v>
      </c>
      <c r="P77" s="19">
        <f>(H77-Settings!$D$20)/Settings!$E$20</f>
        <v>-0.40428866808529501</v>
      </c>
      <c r="Q77" s="19">
        <f>(I77-Settings!$D$21)/Settings!$E$21</f>
        <v>-0.17462322015346066</v>
      </c>
      <c r="R77" s="19">
        <f>(J77-Settings!$D$22)/Settings!$E$22</f>
        <v>0.79617552829919147</v>
      </c>
      <c r="S77" s="19">
        <f>(K77-Settings!$D$23)/Settings!$E$23</f>
        <v>-0.13030236004309648</v>
      </c>
      <c r="T77" s="19">
        <f>(L77-Settings!$D$24)/Settings!$E$24</f>
        <v>0.23761503857556179</v>
      </c>
      <c r="U77" s="19">
        <f>(M77-Settings!$D$25)/Settings!$E$25</f>
        <v>-0.85554361229659925</v>
      </c>
      <c r="V77" s="31">
        <f>Settings!$B$18*(N77-F$6)^2</f>
        <v>6.8807363265465674E-2</v>
      </c>
      <c r="W77" s="31">
        <f>Settings!$B$19*(O77-G$6)^2</f>
        <v>0.10949810454493997</v>
      </c>
      <c r="X77" s="31">
        <f>Settings!$B$20*(P77-H$6)^2</f>
        <v>5.411530199507867E-2</v>
      </c>
      <c r="Y77" s="31">
        <f>Settings!$B$21*(Q77-I$6)^2</f>
        <v>7.3058728994235725E-2</v>
      </c>
      <c r="Z77" s="31">
        <f>Settings!$B$22*(R77-J$6)^2</f>
        <v>4.9641292348298338E-3</v>
      </c>
      <c r="AA77" s="31">
        <f>Settings!$B$23*(S77-K$6)^2</f>
        <v>1.6306815803893657</v>
      </c>
      <c r="AB77" s="31">
        <f>Settings!$B$24*(T77-L$6)^2</f>
        <v>2.4417631227797845E-2</v>
      </c>
      <c r="AC77" s="31">
        <f>Settings!$B$25*(U77-M$6)^2</f>
        <v>2.5415084065413933</v>
      </c>
      <c r="AD77" s="19">
        <f t="shared" si="4"/>
        <v>2.1229816876725778</v>
      </c>
      <c r="AE77" s="15">
        <f t="shared" si="5"/>
        <v>0.84031464077272189</v>
      </c>
      <c r="AF77" s="33">
        <f t="shared" si="6"/>
        <v>0.70253198557123009</v>
      </c>
      <c r="AG77" s="47">
        <f t="shared" si="7"/>
        <v>4.1417642097886986E-3</v>
      </c>
      <c r="AH77" s="18">
        <v>-1.0543443786057849</v>
      </c>
      <c r="AI77" s="46">
        <v>1</v>
      </c>
      <c r="AJ77" s="18">
        <v>-0.53977197991623238</v>
      </c>
      <c r="AK77" s="46">
        <v>1</v>
      </c>
      <c r="AL77" s="18">
        <v>-0.86000163488971415</v>
      </c>
      <c r="AM77" s="46">
        <v>1</v>
      </c>
      <c r="AN77" s="18">
        <v>-5.3335065219288991E-2</v>
      </c>
      <c r="AO77" s="46">
        <v>1</v>
      </c>
      <c r="AP77" s="48"/>
      <c r="AQ77" s="48"/>
    </row>
    <row r="78" spans="1:43" ht="20" customHeight="1" x14ac:dyDescent="0.45">
      <c r="A78" s="26">
        <v>68</v>
      </c>
      <c r="B78" s="16" t="s">
        <v>445</v>
      </c>
      <c r="C78" s="16" t="s">
        <v>220</v>
      </c>
      <c r="D78" s="46">
        <v>29</v>
      </c>
      <c r="E78" s="46">
        <v>1</v>
      </c>
      <c r="F78" s="13">
        <v>0.20054504639351611</v>
      </c>
      <c r="G78" s="13">
        <v>-0.14434145028352419</v>
      </c>
      <c r="H78" s="13">
        <v>3.8229155729596037E-2</v>
      </c>
      <c r="I78" s="13">
        <v>3.140396671644196E-2</v>
      </c>
      <c r="J78" s="13">
        <v>0.58548038087692178</v>
      </c>
      <c r="K78" s="13">
        <v>15.08360655737707</v>
      </c>
      <c r="L78" s="13">
        <v>2.6473692703788569</v>
      </c>
      <c r="M78" s="13">
        <v>-1.2933675730474721</v>
      </c>
      <c r="N78" s="19">
        <f>(F78-Settings!$D$18)/Settings!$E$18</f>
        <v>2.942815152637587E-2</v>
      </c>
      <c r="O78" s="19">
        <f>(G78-Settings!$D$19)/Settings!$E$19</f>
        <v>-0.57367389230521137</v>
      </c>
      <c r="P78" s="19">
        <f>(H78-Settings!$D$20)/Settings!$E$20</f>
        <v>-0.13497910846811251</v>
      </c>
      <c r="Q78" s="19">
        <f>(I78-Settings!$D$21)/Settings!$E$21</f>
        <v>0.42239336126164084</v>
      </c>
      <c r="R78" s="19">
        <f>(J78-Settings!$D$22)/Settings!$E$22</f>
        <v>0.90838022261588247</v>
      </c>
      <c r="S78" s="19">
        <f>(K78-Settings!$D$23)/Settings!$E$23</f>
        <v>-5.9594485867283276E-2</v>
      </c>
      <c r="T78" s="19">
        <f>(L78-Settings!$D$24)/Settings!$E$24</f>
        <v>0.92579401158644969</v>
      </c>
      <c r="U78" s="19">
        <f>(M78-Settings!$D$25)/Settings!$E$25</f>
        <v>-0.83629123813322248</v>
      </c>
      <c r="V78" s="31">
        <f>Settings!$B$18*(N78-F$6)^2</f>
        <v>9.5598678155983996E-2</v>
      </c>
      <c r="W78" s="31">
        <f>Settings!$B$19*(O78-G$6)^2</f>
        <v>5.0997899455668343E-2</v>
      </c>
      <c r="X78" s="31">
        <f>Settings!$B$20*(P78-H$6)^2</f>
        <v>1.2586161348506507E-2</v>
      </c>
      <c r="Y78" s="31">
        <f>Settings!$B$21*(Q78-I$6)^2</f>
        <v>1.0889015328542326E-5</v>
      </c>
      <c r="Z78" s="31">
        <f>Settings!$B$22*(R78-J$6)^2</f>
        <v>1.4553054562474016E-2</v>
      </c>
      <c r="AA78" s="31">
        <f>Settings!$B$23*(S78-K$6)^2</f>
        <v>1.4550958988719962</v>
      </c>
      <c r="AB78" s="31">
        <f>Settings!$B$24*(T78-L$6)^2</f>
        <v>0.28293628372060786</v>
      </c>
      <c r="AC78" s="31">
        <f>Settings!$B$25*(U78-M$6)^2</f>
        <v>2.6032637500919207</v>
      </c>
      <c r="AD78" s="19">
        <f t="shared" si="4"/>
        <v>2.1248629638690786</v>
      </c>
      <c r="AE78" s="15">
        <f t="shared" si="5"/>
        <v>0.84105928399806684</v>
      </c>
      <c r="AF78" s="33">
        <f t="shared" si="6"/>
        <v>0.70209232985163572</v>
      </c>
      <c r="AG78" s="47">
        <f t="shared" si="7"/>
        <v>4.1391722276989942E-3</v>
      </c>
      <c r="AH78" s="18">
        <v>-0.86658377827455579</v>
      </c>
      <c r="AI78" s="46">
        <v>1</v>
      </c>
      <c r="AJ78" s="18">
        <v>4.1055427180679338E-2</v>
      </c>
      <c r="AK78" s="46">
        <v>1</v>
      </c>
      <c r="AL78" s="18">
        <v>-0.48942825777483923</v>
      </c>
      <c r="AM78" s="46">
        <v>1</v>
      </c>
      <c r="AN78" s="18">
        <v>-1.500328224278269</v>
      </c>
      <c r="AO78" s="46">
        <v>1</v>
      </c>
      <c r="AP78" s="48"/>
      <c r="AQ78" s="48"/>
    </row>
    <row r="79" spans="1:43" ht="20" customHeight="1" x14ac:dyDescent="0.45">
      <c r="A79" s="26">
        <v>69</v>
      </c>
      <c r="B79" s="16" t="s">
        <v>240</v>
      </c>
      <c r="C79" s="16" t="s">
        <v>224</v>
      </c>
      <c r="D79" s="46">
        <v>29</v>
      </c>
      <c r="E79" s="46">
        <v>0</v>
      </c>
      <c r="F79" s="13">
        <v>0.1033898744479842</v>
      </c>
      <c r="G79" s="13">
        <v>-0.28376365920103702</v>
      </c>
      <c r="H79" s="13">
        <v>0.22613896028425051</v>
      </c>
      <c r="I79" s="13">
        <v>-6.9555791246751259E-5</v>
      </c>
      <c r="J79" s="13">
        <v>0.38663795027548159</v>
      </c>
      <c r="K79" s="13">
        <v>17.804878048780491</v>
      </c>
      <c r="L79" s="13">
        <v>1.428986602830937</v>
      </c>
      <c r="M79" s="13">
        <v>-0.92447130640498587</v>
      </c>
      <c r="N79" s="19">
        <f>(F79-Settings!$D$18)/Settings!$E$18</f>
        <v>-0.31828415237377167</v>
      </c>
      <c r="O79" s="19">
        <f>(G79-Settings!$D$19)/Settings!$E$19</f>
        <v>-1.1545245848931278</v>
      </c>
      <c r="P79" s="19">
        <f>(H79-Settings!$D$20)/Settings!$E$20</f>
        <v>1.5675198555086312</v>
      </c>
      <c r="Q79" s="19">
        <f>(I79-Settings!$D$21)/Settings!$E$21</f>
        <v>3.5353775456146888E-2</v>
      </c>
      <c r="R79" s="19">
        <f>(J79-Settings!$D$22)/Settings!$E$22</f>
        <v>0.37338530146477744</v>
      </c>
      <c r="S79" s="19">
        <f>(K79-Settings!$D$23)/Settings!$E$23</f>
        <v>0.88544051050591888</v>
      </c>
      <c r="T79" s="19">
        <f>(L79-Settings!$D$24)/Settings!$E$24</f>
        <v>8.345942994931406E-2</v>
      </c>
      <c r="U79" s="19">
        <f>(M79-Settings!$D$25)/Settings!$E$25</f>
        <v>-0.58750348732635427</v>
      </c>
      <c r="V79" s="31">
        <f>Settings!$B$18*(N79-F$6)^2</f>
        <v>0.21593868155557369</v>
      </c>
      <c r="W79" s="31">
        <f>Settings!$B$19*(O79-G$6)^2</f>
        <v>0.2357990774483732</v>
      </c>
      <c r="X79" s="31">
        <f>Settings!$B$20*(P79-H$6)^2</f>
        <v>0.42145105864105487</v>
      </c>
      <c r="Y79" s="31">
        <f>Settings!$B$21*(Q79-I$6)^2</f>
        <v>3.1113155370413006E-2</v>
      </c>
      <c r="Z79" s="31">
        <f>Settings!$B$22*(R79-J$6)^2</f>
        <v>1.4070932279360347E-2</v>
      </c>
      <c r="AA79" s="31">
        <f>Settings!$B$23*(S79-K$6)^2</f>
        <v>6.8245586544727566E-2</v>
      </c>
      <c r="AB79" s="31">
        <f>Settings!$B$24*(T79-L$6)^2</f>
        <v>9.6358731357968325E-2</v>
      </c>
      <c r="AC79" s="31">
        <f>Settings!$B$25*(U79-M$6)^2</f>
        <v>3.4679788950279411</v>
      </c>
      <c r="AD79" s="19">
        <f t="shared" si="4"/>
        <v>2.1332970065664583</v>
      </c>
      <c r="AE79" s="15">
        <f t="shared" si="5"/>
        <v>0.84439763100344312</v>
      </c>
      <c r="AF79" s="33">
        <f t="shared" si="6"/>
        <v>0.70011989528823237</v>
      </c>
      <c r="AG79" s="47">
        <f t="shared" si="7"/>
        <v>4.1275437765414128E-3</v>
      </c>
      <c r="AH79" s="18">
        <v>0.470719407376885</v>
      </c>
      <c r="AI79" s="46">
        <v>0</v>
      </c>
      <c r="AJ79" s="18">
        <v>0.28731504365966809</v>
      </c>
      <c r="AK79" s="46">
        <v>1</v>
      </c>
      <c r="AL79" s="18">
        <v>-1.308897912015401</v>
      </c>
      <c r="AM79" s="46">
        <v>1</v>
      </c>
      <c r="AN79" s="18">
        <v>-0.27420111669433278</v>
      </c>
      <c r="AO79" s="46">
        <v>1</v>
      </c>
      <c r="AP79" s="18">
        <v>-1.142629662667519</v>
      </c>
      <c r="AQ79" s="46">
        <v>1</v>
      </c>
    </row>
    <row r="80" spans="1:43" ht="20" customHeight="1" x14ac:dyDescent="0.45">
      <c r="A80" s="26">
        <v>70</v>
      </c>
      <c r="B80" s="16" t="s">
        <v>614</v>
      </c>
      <c r="C80" s="16" t="s">
        <v>246</v>
      </c>
      <c r="D80" s="46">
        <v>29</v>
      </c>
      <c r="E80" s="46">
        <v>1</v>
      </c>
      <c r="F80" s="13">
        <v>0.27480552204390679</v>
      </c>
      <c r="G80" s="13">
        <v>-4.0557330540317647E-2</v>
      </c>
      <c r="H80" s="13">
        <v>8.7355857339855417E-2</v>
      </c>
      <c r="I80" s="13">
        <v>-4.0223379780094598E-5</v>
      </c>
      <c r="J80" s="13">
        <v>0.59724106669614019</v>
      </c>
      <c r="K80" s="13">
        <v>14.94615384615383</v>
      </c>
      <c r="L80" s="13">
        <v>1.6092057341678101</v>
      </c>
      <c r="M80" s="13">
        <v>-1.1733284894058811</v>
      </c>
      <c r="N80" s="19">
        <f>(F80-Settings!$D$18)/Settings!$E$18</f>
        <v>0.29520176460375613</v>
      </c>
      <c r="O80" s="19">
        <f>(G80-Settings!$D$19)/Settings!$E$19</f>
        <v>-0.14129602151610068</v>
      </c>
      <c r="P80" s="19">
        <f>(H80-Settings!$D$20)/Settings!$E$20</f>
        <v>0.31011825509566393</v>
      </c>
      <c r="Q80" s="19">
        <f>(I80-Settings!$D$21)/Settings!$E$21</f>
        <v>3.5714485140992548E-2</v>
      </c>
      <c r="R80" s="19">
        <f>(J80-Settings!$D$22)/Settings!$E$22</f>
        <v>0.94002290151245649</v>
      </c>
      <c r="S80" s="19">
        <f>(K80-Settings!$D$23)/Settings!$E$23</f>
        <v>-0.10732865089370271</v>
      </c>
      <c r="T80" s="19">
        <f>(L80-Settings!$D$24)/Settings!$E$24</f>
        <v>0.20805477313748558</v>
      </c>
      <c r="U80" s="19">
        <f>(M80-Settings!$D$25)/Settings!$E$25</f>
        <v>-0.75533554318971219</v>
      </c>
      <c r="V80" s="31">
        <f>Settings!$B$18*(N80-F$6)^2</f>
        <v>3.6226569426342885E-2</v>
      </c>
      <c r="W80" s="31">
        <f>Settings!$B$19*(O80-G$6)^2</f>
        <v>1.053773839550141E-3</v>
      </c>
      <c r="X80" s="31">
        <f>Settings!$B$20*(P80-H$6)^2</f>
        <v>7.5456202833442988E-3</v>
      </c>
      <c r="Y80" s="31">
        <f>Settings!$B$21*(Q80-I$6)^2</f>
        <v>3.1056273195820161E-2</v>
      </c>
      <c r="Z80" s="31">
        <f>Settings!$B$22*(R80-J$6)^2</f>
        <v>1.8167556375045867E-2</v>
      </c>
      <c r="AA80" s="31">
        <f>Settings!$B$23*(S80-K$6)^2</f>
        <v>1.5725353716366852</v>
      </c>
      <c r="AB80" s="31">
        <f>Settings!$B$24*(T80-L$6)^2</f>
        <v>3.4529698597557654E-2</v>
      </c>
      <c r="AC80" s="31">
        <f>Settings!$B$25*(U80-M$6)^2</f>
        <v>2.8710556565403387</v>
      </c>
      <c r="AD80" s="19">
        <f t="shared" si="4"/>
        <v>2.1382634355697814</v>
      </c>
      <c r="AE80" s="15">
        <f t="shared" si="5"/>
        <v>0.84636343364229016</v>
      </c>
      <c r="AF80" s="33">
        <f t="shared" si="6"/>
        <v>0.69895736638582906</v>
      </c>
      <c r="AG80" s="47">
        <f t="shared" si="7"/>
        <v>4.1206901090932264E-3</v>
      </c>
      <c r="AH80" s="18">
        <v>5.2521035308167541E-2</v>
      </c>
      <c r="AI80" s="46">
        <v>1</v>
      </c>
      <c r="AJ80" s="48"/>
      <c r="AK80" s="48"/>
      <c r="AL80" s="48"/>
      <c r="AM80" s="48"/>
      <c r="AN80" s="48"/>
      <c r="AO80" s="48"/>
      <c r="AP80" s="48"/>
      <c r="AQ80" s="48"/>
    </row>
    <row r="81" spans="1:43" ht="20" customHeight="1" x14ac:dyDescent="0.45">
      <c r="A81" s="26">
        <v>71</v>
      </c>
      <c r="B81" s="16" t="s">
        <v>405</v>
      </c>
      <c r="C81" s="16" t="s">
        <v>216</v>
      </c>
      <c r="D81" s="46">
        <v>29</v>
      </c>
      <c r="E81" s="46">
        <v>1</v>
      </c>
      <c r="F81" s="13">
        <v>0.25076179003353988</v>
      </c>
      <c r="G81" s="13">
        <v>-0.27255129809618989</v>
      </c>
      <c r="H81" s="13">
        <v>-3.8131403614014257E-2</v>
      </c>
      <c r="I81" s="13">
        <v>-0.16829373517218529</v>
      </c>
      <c r="J81" s="13">
        <v>0.27026177308407062</v>
      </c>
      <c r="K81" s="13">
        <v>16.35697916666669</v>
      </c>
      <c r="L81" s="13">
        <v>-2.599178747001318E-2</v>
      </c>
      <c r="M81" s="13">
        <v>-2.4664337044229341</v>
      </c>
      <c r="N81" s="19">
        <f>(F81-Settings!$D$18)/Settings!$E$18</f>
        <v>0.20915074658518434</v>
      </c>
      <c r="O81" s="19">
        <f>(G81-Settings!$D$19)/Settings!$E$19</f>
        <v>-1.1078124594443808</v>
      </c>
      <c r="P81" s="19">
        <f>(H81-Settings!$D$20)/Settings!$E$20</f>
        <v>-0.82682046011705712</v>
      </c>
      <c r="Q81" s="19">
        <f>(I81-Settings!$D$21)/Settings!$E$21</f>
        <v>-2.0333506949177016</v>
      </c>
      <c r="R81" s="19">
        <f>(J81-Settings!$D$22)/Settings!$E$22</f>
        <v>6.0269717672798782E-2</v>
      </c>
      <c r="S81" s="19">
        <f>(K81-Settings!$D$23)/Settings!$E$23</f>
        <v>0.38261853220286157</v>
      </c>
      <c r="T81" s="19">
        <f>(L81-Settings!$D$24)/Settings!$E$24</f>
        <v>-0.92244671623034746</v>
      </c>
      <c r="U81" s="19">
        <f>(M81-Settings!$D$25)/Settings!$E$25</f>
        <v>-1.6274201021600707</v>
      </c>
      <c r="V81" s="31">
        <f>Settings!$B$18*(N81-F$6)^2</f>
        <v>5.2356748659746079E-2</v>
      </c>
      <c r="W81" s="31">
        <f>Settings!$B$19*(O81-G$6)^2</f>
        <v>0.21594718129079529</v>
      </c>
      <c r="X81" s="31">
        <f>Settings!$B$20*(P81-H$6)^2</f>
        <v>0.17773721814283283</v>
      </c>
      <c r="Y81" s="31">
        <f>Settings!$B$21*(Q81-I$6)^2</f>
        <v>1.213394733252003</v>
      </c>
      <c r="Z81" s="31">
        <f>Settings!$B$22*(R81-J$6)^2</f>
        <v>6.6900084551181391E-2</v>
      </c>
      <c r="AA81" s="31">
        <f>Settings!$B$23*(S81-K$6)^2</f>
        <v>0.58378851003466747</v>
      </c>
      <c r="AB81" s="31">
        <f>Settings!$B$24*(T81-L$6)^2</f>
        <v>1.7327066992454723</v>
      </c>
      <c r="AC81" s="31">
        <f>Settings!$B$25*(U81-M$6)^2</f>
        <v>0.6762338887294389</v>
      </c>
      <c r="AD81" s="19">
        <f t="shared" si="4"/>
        <v>2.1723409179744642</v>
      </c>
      <c r="AE81" s="15">
        <f t="shared" si="5"/>
        <v>0.85985191898891755</v>
      </c>
      <c r="AF81" s="33">
        <f t="shared" si="6"/>
        <v>0.69096047172936303</v>
      </c>
      <c r="AG81" s="47">
        <f t="shared" si="7"/>
        <v>4.0735445658897085E-3</v>
      </c>
      <c r="AH81" s="18">
        <v>-0.49907094865242052</v>
      </c>
      <c r="AI81" s="46">
        <v>1</v>
      </c>
      <c r="AJ81" s="18">
        <v>1.2698009209987</v>
      </c>
      <c r="AK81" s="46">
        <v>1</v>
      </c>
      <c r="AL81" s="48"/>
      <c r="AM81" s="48"/>
      <c r="AN81" s="48"/>
      <c r="AO81" s="48"/>
      <c r="AP81" s="48"/>
      <c r="AQ81" s="48"/>
    </row>
    <row r="82" spans="1:43" ht="20" customHeight="1" x14ac:dyDescent="0.45">
      <c r="A82" s="26">
        <v>72</v>
      </c>
      <c r="B82" s="16" t="s">
        <v>299</v>
      </c>
      <c r="C82" s="16" t="s">
        <v>227</v>
      </c>
      <c r="D82" s="46">
        <v>29</v>
      </c>
      <c r="E82" s="46">
        <v>0</v>
      </c>
      <c r="F82" s="13">
        <v>0.27447395120087281</v>
      </c>
      <c r="G82" s="13">
        <v>3.9401053402338907E-3</v>
      </c>
      <c r="H82" s="13">
        <v>7.1531251194157874E-2</v>
      </c>
      <c r="I82" s="13">
        <v>1.1432436411474199E-2</v>
      </c>
      <c r="J82" s="13">
        <v>0.63862225585326127</v>
      </c>
      <c r="K82" s="13">
        <v>20.010930735930781</v>
      </c>
      <c r="L82" s="13">
        <v>4.1188164160100733</v>
      </c>
      <c r="M82" s="13">
        <v>-1.5446689613124329</v>
      </c>
      <c r="N82" s="19">
        <f>(F82-Settings!$D$18)/Settings!$E$18</f>
        <v>0.29401509322611608</v>
      </c>
      <c r="O82" s="19">
        <f>(G82-Settings!$D$19)/Settings!$E$19</f>
        <v>4.4085967840389796E-2</v>
      </c>
      <c r="P82" s="19">
        <f>(H82-Settings!$D$20)/Settings!$E$20</f>
        <v>0.16674428037283864</v>
      </c>
      <c r="Q82" s="19">
        <f>(I82-Settings!$D$21)/Settings!$E$21</f>
        <v>0.17679731095464787</v>
      </c>
      <c r="R82" s="19">
        <f>(J82-Settings!$D$22)/Settings!$E$22</f>
        <v>1.051360939190279</v>
      </c>
      <c r="S82" s="19">
        <f>(K82-Settings!$D$23)/Settings!$E$23</f>
        <v>1.6515518668281766</v>
      </c>
      <c r="T82" s="19">
        <f>(L82-Settings!$D$24)/Settings!$E$24</f>
        <v>1.9430859091402037</v>
      </c>
      <c r="U82" s="19">
        <f>(M82-Settings!$D$25)/Settings!$E$25</f>
        <v>-1.0057716932490091</v>
      </c>
      <c r="V82" s="31">
        <f>Settings!$B$18*(N82-F$6)^2</f>
        <v>3.6428868598167408E-2</v>
      </c>
      <c r="W82" s="31">
        <f>Settings!$B$19*(O82-G$6)^2</f>
        <v>2.5445429725223347E-3</v>
      </c>
      <c r="X82" s="31">
        <f>Settings!$B$20*(P82-H$6)^2</f>
        <v>5.174141421702014E-4</v>
      </c>
      <c r="Y82" s="31">
        <f>Settings!$B$21*(Q82-I$6)^2</f>
        <v>1.2799243918858037E-2</v>
      </c>
      <c r="Z82" s="31">
        <f>Settings!$B$22*(R82-J$6)^2</f>
        <v>3.4069393238432971E-2</v>
      </c>
      <c r="AA82" s="31">
        <f>Settings!$B$23*(S82-K$6)^2</f>
        <v>0.25489653792708589</v>
      </c>
      <c r="AB82" s="31">
        <f>Settings!$B$24*(T82-L$6)^2</f>
        <v>2.4000499232318933</v>
      </c>
      <c r="AC82" s="31">
        <f>Settings!$B$25*(U82-M$6)^2</f>
        <v>2.0850863933551222</v>
      </c>
      <c r="AD82" s="19">
        <f t="shared" si="4"/>
        <v>2.196905168045324</v>
      </c>
      <c r="AE82" s="15">
        <f t="shared" si="5"/>
        <v>0.86957489450679648</v>
      </c>
      <c r="AF82" s="33">
        <f t="shared" si="6"/>
        <v>0.68517551409874256</v>
      </c>
      <c r="AG82" s="47">
        <f t="shared" si="7"/>
        <v>4.0394394561413379E-3</v>
      </c>
      <c r="AH82" s="18">
        <v>-1.356779033340447</v>
      </c>
      <c r="AI82" s="46">
        <v>0</v>
      </c>
      <c r="AJ82" s="18">
        <v>-0.5341061355147172</v>
      </c>
      <c r="AK82" s="46">
        <v>0</v>
      </c>
      <c r="AL82" s="18">
        <v>-0.2188869450772839</v>
      </c>
      <c r="AM82" s="46">
        <v>0</v>
      </c>
      <c r="AN82" s="18">
        <v>-0.62743607262488554</v>
      </c>
      <c r="AO82" s="46">
        <v>1</v>
      </c>
      <c r="AP82" s="18">
        <v>-0.3251394193430226</v>
      </c>
      <c r="AQ82" s="46">
        <v>1</v>
      </c>
    </row>
    <row r="83" spans="1:43" ht="20" customHeight="1" x14ac:dyDescent="0.45">
      <c r="A83" s="26">
        <v>73</v>
      </c>
      <c r="B83" s="16" t="s">
        <v>288</v>
      </c>
      <c r="C83" s="16" t="s">
        <v>220</v>
      </c>
      <c r="D83" s="46">
        <v>29</v>
      </c>
      <c r="E83" s="46">
        <v>1</v>
      </c>
      <c r="F83" s="13">
        <v>-2.9206055634522641E-2</v>
      </c>
      <c r="G83" s="13">
        <v>-0.2075000483826967</v>
      </c>
      <c r="H83" s="13">
        <v>-8.3618754805230788E-2</v>
      </c>
      <c r="I83" s="13">
        <v>-0.2020800681667877</v>
      </c>
      <c r="J83" s="13">
        <v>0.47759507301076221</v>
      </c>
      <c r="K83" s="13">
        <v>19.22722646310433</v>
      </c>
      <c r="L83" s="13">
        <v>0.58384395275870549</v>
      </c>
      <c r="M83" s="13">
        <v>-1.916167291699727</v>
      </c>
      <c r="N83" s="19">
        <f>(F83-Settings!$D$18)/Settings!$E$18</f>
        <v>-0.79283672032784103</v>
      </c>
      <c r="O83" s="19">
        <f>(G83-Settings!$D$19)/Settings!$E$19</f>
        <v>-0.8368006619469891</v>
      </c>
      <c r="P83" s="19">
        <f>(H83-Settings!$D$20)/Settings!$E$20</f>
        <v>-1.2389446090438794</v>
      </c>
      <c r="Q83" s="19">
        <f>(I83-Settings!$D$21)/Settings!$E$21</f>
        <v>-2.448831622574366</v>
      </c>
      <c r="R83" s="19">
        <f>(J83-Settings!$D$22)/Settings!$E$22</f>
        <v>0.61810972249858664</v>
      </c>
      <c r="S83" s="19">
        <f>(K83-Settings!$D$23)/Settings!$E$23</f>
        <v>1.3793893990377062</v>
      </c>
      <c r="T83" s="19">
        <f>(L83-Settings!$D$24)/Settings!$E$24</f>
        <v>-0.5008339119816142</v>
      </c>
      <c r="U83" s="19">
        <f>(M83-Settings!$D$25)/Settings!$E$25</f>
        <v>-1.2563143048258676</v>
      </c>
      <c r="V83" s="31">
        <f>Settings!$B$18*(N83-F$6)^2</f>
        <v>0.45821850521488322</v>
      </c>
      <c r="W83" s="31">
        <f>Settings!$B$19*(O83-G$6)^2</f>
        <v>0.11799294648527246</v>
      </c>
      <c r="X83" s="31">
        <f>Settings!$B$20*(P83-H$6)^2</f>
        <v>0.36711049992571054</v>
      </c>
      <c r="Y83" s="31">
        <f>Settings!$B$21*(Q83-I$6)^2</f>
        <v>1.6572718230257679</v>
      </c>
      <c r="Z83" s="31">
        <f>Settings!$B$22*(R83-J$6)^2</f>
        <v>8.4214985256788526E-5</v>
      </c>
      <c r="AA83" s="31">
        <f>Settings!$B$23*(S83-K$6)^2</f>
        <v>5.415409583499621E-2</v>
      </c>
      <c r="AB83" s="31">
        <f>Settings!$B$24*(T83-L$6)^2</f>
        <v>0.80050664630870694</v>
      </c>
      <c r="AC83" s="31">
        <f>Settings!$B$25*(U83-M$6)^2</f>
        <v>1.4242995384368251</v>
      </c>
      <c r="AD83" s="19">
        <f t="shared" si="4"/>
        <v>2.2089903282308456</v>
      </c>
      <c r="AE83" s="15">
        <f t="shared" si="5"/>
        <v>0.87435842000724995</v>
      </c>
      <c r="AF83" s="33">
        <f t="shared" si="6"/>
        <v>0.68232354783611471</v>
      </c>
      <c r="AG83" s="47">
        <f t="shared" si="7"/>
        <v>4.0226257422654168E-3</v>
      </c>
      <c r="AH83" s="18">
        <v>-1.8975338673841791</v>
      </c>
      <c r="AI83" s="46">
        <v>1</v>
      </c>
      <c r="AJ83" s="18">
        <v>0.53691938112593696</v>
      </c>
      <c r="AK83" s="46">
        <v>1</v>
      </c>
      <c r="AL83" s="18">
        <v>0.95415311047058537</v>
      </c>
      <c r="AM83" s="46">
        <v>1</v>
      </c>
      <c r="AN83" s="18">
        <v>0.64396256435483679</v>
      </c>
      <c r="AO83" s="46">
        <v>1</v>
      </c>
      <c r="AP83" s="48"/>
      <c r="AQ83" s="48"/>
    </row>
    <row r="84" spans="1:43" ht="20" customHeight="1" x14ac:dyDescent="0.45">
      <c r="A84" s="26">
        <v>74</v>
      </c>
      <c r="B84" s="16" t="s">
        <v>273</v>
      </c>
      <c r="C84" s="16" t="s">
        <v>214</v>
      </c>
      <c r="D84" s="46">
        <v>29</v>
      </c>
      <c r="E84" s="46">
        <v>1</v>
      </c>
      <c r="F84" s="13">
        <v>0.62803446893353843</v>
      </c>
      <c r="G84" s="13">
        <v>-0.1115028106260824</v>
      </c>
      <c r="H84" s="13">
        <v>0.14251573223929689</v>
      </c>
      <c r="I84" s="13">
        <v>4.6824357145690022E-4</v>
      </c>
      <c r="J84" s="13">
        <v>-0.1174787446296254</v>
      </c>
      <c r="K84" s="13">
        <v>17.42770700636942</v>
      </c>
      <c r="L84" s="13">
        <v>0.92739521798914559</v>
      </c>
      <c r="M84" s="13">
        <v>-0.92154731922109212</v>
      </c>
      <c r="N84" s="19">
        <f>(F84-Settings!$D$18)/Settings!$E$18</f>
        <v>1.5593861458127602</v>
      </c>
      <c r="O84" s="19">
        <f>(G84-Settings!$D$19)/Settings!$E$19</f>
        <v>-0.43686393400111406</v>
      </c>
      <c r="P84" s="19">
        <f>(H84-Settings!$D$20)/Settings!$E$20</f>
        <v>0.8098773288276141</v>
      </c>
      <c r="Q84" s="19">
        <f>(I84-Settings!$D$21)/Settings!$E$21</f>
        <v>4.1967259616886465E-2</v>
      </c>
      <c r="R84" s="19">
        <f>(J84-Settings!$D$22)/Settings!$E$22</f>
        <v>-0.98296440028625309</v>
      </c>
      <c r="S84" s="19">
        <f>(K84-Settings!$D$23)/Settings!$E$23</f>
        <v>0.75445768287441384</v>
      </c>
      <c r="T84" s="19">
        <f>(L84-Settings!$D$24)/Settings!$E$24</f>
        <v>-0.26331813062927512</v>
      </c>
      <c r="U84" s="19">
        <f>(M84-Settings!$D$25)/Settings!$E$25</f>
        <v>-0.58553151780362112</v>
      </c>
      <c r="V84" s="31">
        <f>Settings!$B$18*(N84-F$6)^2</f>
        <v>0.1406457431367604</v>
      </c>
      <c r="W84" s="31">
        <f>Settings!$B$19*(O84-G$6)^2</f>
        <v>2.7107604497632849E-2</v>
      </c>
      <c r="X84" s="31">
        <f>Settings!$B$20*(P84-H$6)^2</f>
        <v>9.6326173846297533E-2</v>
      </c>
      <c r="Y84" s="31">
        <f>Settings!$B$21*(Q84-I$6)^2</f>
        <v>3.0078511395176546E-2</v>
      </c>
      <c r="Z84" s="31">
        <f>Settings!$B$22*(R84-J$6)^2</f>
        <v>0.52591357134784422</v>
      </c>
      <c r="AA84" s="31">
        <f>Settings!$B$23*(S84-K$6)^2</f>
        <v>0.1538376188881927</v>
      </c>
      <c r="AB84" s="31">
        <f>Settings!$B$24*(T84-L$6)^2</f>
        <v>0.4319047274382406</v>
      </c>
      <c r="AC84" s="31">
        <f>Settings!$B$25*(U84-M$6)^2</f>
        <v>3.4753273882374902</v>
      </c>
      <c r="AD84" s="19">
        <f t="shared" si="4"/>
        <v>2.2093305182311758</v>
      </c>
      <c r="AE84" s="15">
        <f t="shared" si="5"/>
        <v>0.87449307337688653</v>
      </c>
      <c r="AF84" s="33">
        <f t="shared" si="6"/>
        <v>0.68224321280718592</v>
      </c>
      <c r="AG84" s="47">
        <f t="shared" si="7"/>
        <v>4.0221521286016365E-3</v>
      </c>
      <c r="AH84" s="48"/>
      <c r="AI84" s="48"/>
      <c r="AJ84" s="48"/>
      <c r="AK84" s="48"/>
      <c r="AL84" s="48"/>
      <c r="AM84" s="48"/>
      <c r="AN84" s="48"/>
      <c r="AO84" s="48"/>
      <c r="AP84" s="48"/>
      <c r="AQ84" s="48"/>
    </row>
    <row r="85" spans="1:43" ht="20" customHeight="1" x14ac:dyDescent="0.45">
      <c r="A85" s="26">
        <v>75</v>
      </c>
      <c r="B85" s="16" t="s">
        <v>352</v>
      </c>
      <c r="C85" s="16" t="s">
        <v>229</v>
      </c>
      <c r="D85" s="46">
        <v>29</v>
      </c>
      <c r="E85" s="46">
        <v>1</v>
      </c>
      <c r="F85" s="13">
        <v>0.1540063749701811</v>
      </c>
      <c r="G85" s="13">
        <v>-4.1517924775953161E-2</v>
      </c>
      <c r="H85" s="13">
        <v>0.19772628907863621</v>
      </c>
      <c r="I85" s="13">
        <v>-9.4507347904644143E-2</v>
      </c>
      <c r="J85" s="13">
        <v>0.51224206327058541</v>
      </c>
      <c r="K85" s="13">
        <v>19.995031055900618</v>
      </c>
      <c r="L85" s="13">
        <v>2.3204391630844041</v>
      </c>
      <c r="M85" s="13">
        <v>-0.85886122876758253</v>
      </c>
      <c r="N85" s="19">
        <f>(F85-Settings!$D$18)/Settings!$E$18</f>
        <v>-0.13713085235384909</v>
      </c>
      <c r="O85" s="19">
        <f>(G85-Settings!$D$19)/Settings!$E$19</f>
        <v>-0.14529797953553616</v>
      </c>
      <c r="P85" s="19">
        <f>(H85-Settings!$D$20)/Settings!$E$20</f>
        <v>1.3100955906810827</v>
      </c>
      <c r="Q85" s="19">
        <f>(I85-Settings!$D$21)/Settings!$E$21</f>
        <v>-1.1259767980449773</v>
      </c>
      <c r="R85" s="19">
        <f>(J85-Settings!$D$22)/Settings!$E$22</f>
        <v>0.71132908099320646</v>
      </c>
      <c r="S85" s="19">
        <f>(K85-Settings!$D$23)/Settings!$E$23</f>
        <v>1.6460302736658967</v>
      </c>
      <c r="T85" s="19">
        <f>(L85-Settings!$D$24)/Settings!$E$24</f>
        <v>0.69976934586571404</v>
      </c>
      <c r="U85" s="19">
        <f>(M85-Settings!$D$25)/Settings!$E$25</f>
        <v>-0.5432553202352709</v>
      </c>
      <c r="V85" s="31">
        <f>Settings!$B$18*(N85-F$6)^2</f>
        <v>0.14720866194858775</v>
      </c>
      <c r="W85" s="31">
        <f>Settings!$B$19*(O85-G$6)^2</f>
        <v>1.1731729866771116E-3</v>
      </c>
      <c r="X85" s="31">
        <f>Settings!$B$20*(P85-H$6)^2</f>
        <v>0.2852296856066478</v>
      </c>
      <c r="Y85" s="31">
        <f>Settings!$B$21*(Q85-I$6)^2</f>
        <v>0.48407089686766691</v>
      </c>
      <c r="Z85" s="31">
        <f>Settings!$B$22*(R85-J$6)^2</f>
        <v>1.057036137924514E-3</v>
      </c>
      <c r="AA85" s="31">
        <f>Settings!$B$23*(S85-K$6)^2</f>
        <v>0.24935162158591734</v>
      </c>
      <c r="AB85" s="31">
        <f>Settings!$B$24*(T85-L$6)^2</f>
        <v>9.3570458793467509E-2</v>
      </c>
      <c r="AC85" s="31">
        <f>Settings!$B$25*(U85-M$6)^2</f>
        <v>3.6347391847127182</v>
      </c>
      <c r="AD85" s="19">
        <f t="shared" si="4"/>
        <v>2.2127812179787698</v>
      </c>
      <c r="AE85" s="15">
        <f t="shared" si="5"/>
        <v>0.87585892289676293</v>
      </c>
      <c r="AF85" s="33">
        <f t="shared" si="6"/>
        <v>0.68142817466426042</v>
      </c>
      <c r="AG85" s="47">
        <f t="shared" si="7"/>
        <v>4.0173470864408346E-3</v>
      </c>
      <c r="AH85" s="18">
        <v>0.6900950090012139</v>
      </c>
      <c r="AI85" s="46">
        <v>1</v>
      </c>
      <c r="AJ85" s="18">
        <v>-0.28994968953503258</v>
      </c>
      <c r="AK85" s="46">
        <v>1</v>
      </c>
      <c r="AL85" s="18">
        <v>-1.7151760347193861</v>
      </c>
      <c r="AM85" s="46">
        <v>1</v>
      </c>
      <c r="AN85" s="48"/>
      <c r="AO85" s="48"/>
      <c r="AP85" s="48"/>
      <c r="AQ85" s="48"/>
    </row>
    <row r="86" spans="1:43" ht="20" customHeight="1" x14ac:dyDescent="0.45">
      <c r="A86" s="26">
        <v>76</v>
      </c>
      <c r="B86" s="16" t="s">
        <v>326</v>
      </c>
      <c r="C86" s="16" t="s">
        <v>271</v>
      </c>
      <c r="D86" s="46">
        <v>29</v>
      </c>
      <c r="E86" s="46">
        <v>1</v>
      </c>
      <c r="F86" s="13">
        <v>-0.27653019995006128</v>
      </c>
      <c r="G86" s="13">
        <v>0.22419296959746271</v>
      </c>
      <c r="H86" s="13">
        <v>9.725972913880554E-3</v>
      </c>
      <c r="I86" s="13">
        <v>0.1194496338103001</v>
      </c>
      <c r="J86" s="13">
        <v>0.37010122372829518</v>
      </c>
      <c r="K86" s="13">
        <v>16.955172413793139</v>
      </c>
      <c r="L86" s="13">
        <v>1.1455462497349</v>
      </c>
      <c r="M86" s="13">
        <v>-1.264931189793608</v>
      </c>
      <c r="N86" s="19">
        <f>(F86-Settings!$D$18)/Settings!$E$18</f>
        <v>-1.6779944150545958</v>
      </c>
      <c r="O86" s="19">
        <f>(G86-Settings!$D$19)/Settings!$E$19</f>
        <v>0.96168747294904877</v>
      </c>
      <c r="P86" s="19">
        <f>(H86-Settings!$D$20)/Settings!$E$20</f>
        <v>-0.39322342588839443</v>
      </c>
      <c r="Q86" s="19">
        <f>(I86-Settings!$D$21)/Settings!$E$21</f>
        <v>1.5051180075305963</v>
      </c>
      <c r="R86" s="19">
        <f>(J86-Settings!$D$22)/Settings!$E$22</f>
        <v>0.32889246013081463</v>
      </c>
      <c r="S86" s="19">
        <f>(K86-Settings!$D$23)/Settings!$E$23</f>
        <v>0.59035728774947305</v>
      </c>
      <c r="T86" s="19">
        <f>(L86-Settings!$D$24)/Settings!$E$24</f>
        <v>-0.11249838987484397</v>
      </c>
      <c r="U86" s="19">
        <f>(M86-Settings!$D$25)/Settings!$E$25</f>
        <v>-0.81711342455652047</v>
      </c>
      <c r="V86" s="31">
        <f>Settings!$B$18*(N86-F$6)^2</f>
        <v>1.1508417896601857</v>
      </c>
      <c r="W86" s="31">
        <f>Settings!$B$19*(O86-G$6)^2</f>
        <v>0.21234339673241537</v>
      </c>
      <c r="X86" s="31">
        <f>Settings!$B$20*(P86-H$6)^2</f>
        <v>5.1837468455485217E-2</v>
      </c>
      <c r="Y86" s="31">
        <f>Settings!$B$21*(Q86-I$6)^2</f>
        <v>0.23127378482597619</v>
      </c>
      <c r="Z86" s="31">
        <f>Settings!$B$22*(R86-J$6)^2</f>
        <v>1.9187448004097881E-2</v>
      </c>
      <c r="AA86" s="31">
        <f>Settings!$B$23*(S86-K$6)^2</f>
        <v>0.30949392876723392</v>
      </c>
      <c r="AB86" s="31">
        <f>Settings!$B$24*(T86-L$6)^2</f>
        <v>0.25641548664860153</v>
      </c>
      <c r="AC86" s="31">
        <f>Settings!$B$25*(U86-M$6)^2</f>
        <v>2.6655169345497569</v>
      </c>
      <c r="AD86" s="19">
        <f t="shared" si="4"/>
        <v>2.2128963458878395</v>
      </c>
      <c r="AE86" s="15">
        <f t="shared" si="5"/>
        <v>0.87590449261039471</v>
      </c>
      <c r="AF86" s="33">
        <f t="shared" si="6"/>
        <v>0.68140097690189438</v>
      </c>
      <c r="AG86" s="47">
        <f t="shared" si="7"/>
        <v>4.0171867425403893E-3</v>
      </c>
      <c r="AH86" s="18">
        <v>-0.39070394733546809</v>
      </c>
      <c r="AI86" s="46">
        <v>1</v>
      </c>
      <c r="AJ86" s="18">
        <v>0.47079934192450451</v>
      </c>
      <c r="AK86" s="46">
        <v>1</v>
      </c>
      <c r="AL86" s="48"/>
      <c r="AM86" s="48"/>
      <c r="AN86" s="48"/>
      <c r="AO86" s="48"/>
      <c r="AP86" s="48"/>
      <c r="AQ86" s="48"/>
    </row>
    <row r="87" spans="1:43" ht="20" customHeight="1" x14ac:dyDescent="0.45">
      <c r="A87" s="26">
        <v>77</v>
      </c>
      <c r="B87" s="16" t="s">
        <v>347</v>
      </c>
      <c r="C87" s="16" t="s">
        <v>214</v>
      </c>
      <c r="D87" s="46">
        <v>29</v>
      </c>
      <c r="E87" s="46">
        <v>1</v>
      </c>
      <c r="F87" s="13">
        <v>0.26178961617926871</v>
      </c>
      <c r="G87" s="13">
        <v>-0.17387596483739909</v>
      </c>
      <c r="H87" s="13">
        <v>0.1916370893655088</v>
      </c>
      <c r="I87" s="13">
        <v>-1.0515812503483841E-2</v>
      </c>
      <c r="J87" s="13">
        <v>0.3621815171143396</v>
      </c>
      <c r="K87" s="13">
        <v>16.13854805725969</v>
      </c>
      <c r="L87" s="13">
        <v>1.55308227188936</v>
      </c>
      <c r="M87" s="13">
        <v>-0.7999169461689204</v>
      </c>
      <c r="N87" s="19">
        <f>(F87-Settings!$D$18)/Settings!$E$18</f>
        <v>0.24861864890428476</v>
      </c>
      <c r="O87" s="19">
        <f>(G87-Settings!$D$19)/Settings!$E$19</f>
        <v>-0.69671844429632013</v>
      </c>
      <c r="P87" s="19">
        <f>(H87-Settings!$D$20)/Settings!$E$20</f>
        <v>1.254926270338186</v>
      </c>
      <c r="Q87" s="19">
        <f>(I87-Settings!$D$21)/Settings!$E$21</f>
        <v>-9.310705602956959E-2</v>
      </c>
      <c r="R87" s="19">
        <f>(J87-Settings!$D$22)/Settings!$E$22</f>
        <v>0.30758411662154778</v>
      </c>
      <c r="S87" s="19">
        <f>(K87-Settings!$D$23)/Settings!$E$23</f>
        <v>0.30676243208997628</v>
      </c>
      <c r="T87" s="19">
        <f>(L87-Settings!$D$24)/Settings!$E$24</f>
        <v>0.1692535538017825</v>
      </c>
      <c r="U87" s="19">
        <f>(M87-Settings!$D$25)/Settings!$E$25</f>
        <v>-0.50350263955862506</v>
      </c>
      <c r="V87" s="31">
        <f>Settings!$B$18*(N87-F$6)^2</f>
        <v>4.4590821368385464E-2</v>
      </c>
      <c r="W87" s="31">
        <f>Settings!$B$19*(O87-G$6)^2</f>
        <v>7.8879161186661828E-2</v>
      </c>
      <c r="X87" s="31">
        <f>Settings!$B$20*(P87-H$6)^2</f>
        <v>0.25948481402305057</v>
      </c>
      <c r="Y87" s="31">
        <f>Settings!$B$21*(Q87-I$6)^2</f>
        <v>5.4680512317520941E-2</v>
      </c>
      <c r="Z87" s="31">
        <f>Settings!$B$22*(R87-J$6)^2</f>
        <v>2.1918253238413316E-2</v>
      </c>
      <c r="AA87" s="31">
        <f>Settings!$B$23*(S87-K$6)^2</f>
        <v>0.70545996371215225</v>
      </c>
      <c r="AB87" s="31">
        <f>Settings!$B$24*(T87-L$6)^2</f>
        <v>5.0455449129623964E-2</v>
      </c>
      <c r="AC87" s="31">
        <f>Settings!$B$25*(U87-M$6)^2</f>
        <v>3.7878963678390294</v>
      </c>
      <c r="AD87" s="19">
        <f t="shared" si="4"/>
        <v>2.2368203644492417</v>
      </c>
      <c r="AE87" s="15">
        <f t="shared" si="5"/>
        <v>0.88537405288969429</v>
      </c>
      <c r="AF87" s="33">
        <f t="shared" si="6"/>
        <v>0.67574222017586216</v>
      </c>
      <c r="AG87" s="47">
        <f t="shared" si="7"/>
        <v>3.9838256478697681E-3</v>
      </c>
      <c r="AH87" s="48"/>
      <c r="AI87" s="48"/>
      <c r="AJ87" s="48"/>
      <c r="AK87" s="48"/>
      <c r="AL87" s="48"/>
      <c r="AM87" s="48"/>
      <c r="AN87" s="48"/>
      <c r="AO87" s="48"/>
      <c r="AP87" s="48"/>
      <c r="AQ87" s="48"/>
    </row>
    <row r="88" spans="1:43" ht="20" customHeight="1" x14ac:dyDescent="0.45">
      <c r="A88" s="26">
        <v>78</v>
      </c>
      <c r="B88" s="16" t="s">
        <v>321</v>
      </c>
      <c r="C88" s="16" t="s">
        <v>214</v>
      </c>
      <c r="D88" s="46">
        <v>29</v>
      </c>
      <c r="E88" s="46">
        <v>1</v>
      </c>
      <c r="F88" s="13">
        <v>0.1645944814132036</v>
      </c>
      <c r="G88" s="13">
        <v>8.7440263381432279E-2</v>
      </c>
      <c r="H88" s="13">
        <v>1.5400981492097539E-2</v>
      </c>
      <c r="I88" s="13">
        <v>-4.5218450670251549E-2</v>
      </c>
      <c r="J88" s="13">
        <v>0.68734582304301517</v>
      </c>
      <c r="K88" s="13">
        <v>18.304244306418202</v>
      </c>
      <c r="L88" s="13">
        <v>3.0183562164457092</v>
      </c>
      <c r="M88" s="13">
        <v>-0.7219247553891619</v>
      </c>
      <c r="N88" s="19">
        <f>(F88-Settings!$D$18)/Settings!$E$18</f>
        <v>-9.9236679439334868E-2</v>
      </c>
      <c r="O88" s="19">
        <f>(G88-Settings!$D$19)/Settings!$E$19</f>
        <v>0.3919582688604199</v>
      </c>
      <c r="P88" s="19">
        <f>(H88-Settings!$D$20)/Settings!$E$20</f>
        <v>-0.34180675687598328</v>
      </c>
      <c r="Q88" s="19">
        <f>(I88-Settings!$D$21)/Settings!$E$21</f>
        <v>-0.5198560701935403</v>
      </c>
      <c r="R88" s="19">
        <f>(J88-Settings!$D$22)/Settings!$E$22</f>
        <v>1.1824539906483522</v>
      </c>
      <c r="S88" s="19">
        <f>(K88-Settings!$D$23)/Settings!$E$23</f>
        <v>1.0588589257453973</v>
      </c>
      <c r="T88" s="19">
        <f>(L88-Settings!$D$24)/Settings!$E$24</f>
        <v>1.1822775797883667</v>
      </c>
      <c r="U88" s="19">
        <f>(M88-Settings!$D$25)/Settings!$E$25</f>
        <v>-0.45090383745851847</v>
      </c>
      <c r="V88" s="31">
        <f>Settings!$B$18*(N88-F$6)^2</f>
        <v>0.1344916415902018</v>
      </c>
      <c r="W88" s="31">
        <f>Settings!$B$19*(O88-G$6)^2</f>
        <v>4.2442874763639921E-2</v>
      </c>
      <c r="X88" s="31">
        <f>Settings!$B$20*(P88-H$6)^2</f>
        <v>4.1895621200988768E-2</v>
      </c>
      <c r="Y88" s="31">
        <f>Settings!$B$21*(Q88-I$6)^2</f>
        <v>0.18035871408265158</v>
      </c>
      <c r="Z88" s="31">
        <f>Settings!$B$22*(R88-J$6)^2</f>
        <v>5.914894293453471E-2</v>
      </c>
      <c r="AA88" s="31">
        <f>Settings!$B$23*(S88-K$6)^2</f>
        <v>7.7123782674351346E-3</v>
      </c>
      <c r="AB88" s="31">
        <f>Settings!$B$24*(T88-L$6)^2</f>
        <v>0.62157632869962931</v>
      </c>
      <c r="AC88" s="31">
        <f>Settings!$B$25*(U88-M$6)^2</f>
        <v>3.9954040364279924</v>
      </c>
      <c r="AD88" s="19">
        <f t="shared" si="4"/>
        <v>2.2545577255788047</v>
      </c>
      <c r="AE88" s="15">
        <f t="shared" si="5"/>
        <v>0.89239482199589659</v>
      </c>
      <c r="AF88" s="33">
        <f t="shared" si="6"/>
        <v>0.67153827918052611</v>
      </c>
      <c r="AG88" s="47">
        <f t="shared" si="7"/>
        <v>3.9590413921886712E-3</v>
      </c>
      <c r="AH88" s="48"/>
      <c r="AI88" s="48"/>
      <c r="AJ88" s="48"/>
      <c r="AK88" s="48"/>
      <c r="AL88" s="48"/>
      <c r="AM88" s="48"/>
      <c r="AN88" s="48"/>
      <c r="AO88" s="48"/>
      <c r="AP88" s="48"/>
      <c r="AQ88" s="48"/>
    </row>
    <row r="89" spans="1:43" ht="20" customHeight="1" x14ac:dyDescent="0.45">
      <c r="A89" s="26">
        <v>79</v>
      </c>
      <c r="B89" s="16" t="s">
        <v>743</v>
      </c>
      <c r="C89" s="16" t="s">
        <v>232</v>
      </c>
      <c r="D89" s="46">
        <v>29</v>
      </c>
      <c r="E89" s="46">
        <v>0</v>
      </c>
      <c r="F89" s="13">
        <v>0.4798271101306707</v>
      </c>
      <c r="G89" s="13">
        <v>-0.2344916116005791</v>
      </c>
      <c r="H89" s="13">
        <v>-8.9178628549206926E-2</v>
      </c>
      <c r="I89" s="13">
        <v>0.1023454390611212</v>
      </c>
      <c r="J89" s="13">
        <v>9.41572106584221E-2</v>
      </c>
      <c r="K89" s="13">
        <v>15.147807017543879</v>
      </c>
      <c r="L89" s="13">
        <v>0.90857081962245978</v>
      </c>
      <c r="M89" s="13">
        <v>-1.374041611738658</v>
      </c>
      <c r="N89" s="19">
        <f>(F89-Settings!$D$18)/Settings!$E$18</f>
        <v>1.0289612476591943</v>
      </c>
      <c r="O89" s="19">
        <f>(G89-Settings!$D$19)/Settings!$E$19</f>
        <v>-0.94925095455720898</v>
      </c>
      <c r="P89" s="19">
        <f>(H89-Settings!$D$20)/Settings!$E$20</f>
        <v>-1.2893181343178504</v>
      </c>
      <c r="Q89" s="19">
        <f>(I89-Settings!$D$21)/Settings!$E$21</f>
        <v>1.2947824643882138</v>
      </c>
      <c r="R89" s="19">
        <f>(J89-Settings!$D$22)/Settings!$E$22</f>
        <v>-0.41354789863920638</v>
      </c>
      <c r="S89" s="19">
        <f>(K89-Settings!$D$23)/Settings!$E$23</f>
        <v>-3.7299142740894721E-2</v>
      </c>
      <c r="T89" s="19">
        <f>(L89-Settings!$D$24)/Settings!$E$24</f>
        <v>-0.2763324668843084</v>
      </c>
      <c r="U89" s="19">
        <f>(M89-Settings!$D$25)/Settings!$E$25</f>
        <v>-0.8906987083338842</v>
      </c>
      <c r="V89" s="31">
        <f>Settings!$B$18*(N89-F$6)^2</f>
        <v>1.8992817295351398E-2</v>
      </c>
      <c r="W89" s="31">
        <f>Settings!$B$19*(O89-G$6)^2</f>
        <v>0.15507081098952991</v>
      </c>
      <c r="X89" s="31">
        <f>Settings!$B$20*(P89-H$6)^2</f>
        <v>0.39491693566993374</v>
      </c>
      <c r="Y89" s="31">
        <f>Settings!$B$21*(Q89-I$6)^2</f>
        <v>0.14964860271667207</v>
      </c>
      <c r="Z89" s="31">
        <f>Settings!$B$22*(R89-J$6)^2</f>
        <v>0.2214155957022016</v>
      </c>
      <c r="AA89" s="31">
        <f>Settings!$B$23*(S89-K$6)^2</f>
        <v>1.4018044153977298</v>
      </c>
      <c r="AB89" s="31">
        <f>Settings!$B$24*(T89-L$6)^2</f>
        <v>0.44918000311148926</v>
      </c>
      <c r="AC89" s="31">
        <f>Settings!$B$25*(U89-M$6)^2</f>
        <v>2.4306550124487689</v>
      </c>
      <c r="AD89" s="19">
        <f t="shared" si="4"/>
        <v>2.2851004777321449</v>
      </c>
      <c r="AE89" s="15">
        <f t="shared" si="5"/>
        <v>0.90448419702582505</v>
      </c>
      <c r="AF89" s="33">
        <f t="shared" si="6"/>
        <v>0.66428378661196119</v>
      </c>
      <c r="AG89" s="47">
        <f t="shared" si="7"/>
        <v>3.9162726666391442E-3</v>
      </c>
      <c r="AH89" s="18">
        <v>-0.77424558143526145</v>
      </c>
      <c r="AI89" s="46">
        <v>0</v>
      </c>
      <c r="AJ89" s="18">
        <v>-0.1219656427334829</v>
      </c>
      <c r="AK89" s="46">
        <v>0</v>
      </c>
      <c r="AL89" s="18">
        <v>-0.22217650343270939</v>
      </c>
      <c r="AM89" s="46">
        <v>1</v>
      </c>
      <c r="AN89" s="18">
        <v>0.61037692585341718</v>
      </c>
      <c r="AO89" s="46">
        <v>1</v>
      </c>
      <c r="AP89" s="18">
        <v>0.2448797558134321</v>
      </c>
      <c r="AQ89" s="46">
        <v>1</v>
      </c>
    </row>
    <row r="90" spans="1:43" ht="20" customHeight="1" x14ac:dyDescent="0.45">
      <c r="A90" s="26">
        <v>80</v>
      </c>
      <c r="B90" s="16" t="s">
        <v>413</v>
      </c>
      <c r="C90" s="16" t="s">
        <v>246</v>
      </c>
      <c r="D90" s="46">
        <v>29</v>
      </c>
      <c r="E90" s="46">
        <v>1</v>
      </c>
      <c r="F90" s="13">
        <v>-6.256637812385292E-2</v>
      </c>
      <c r="G90" s="13">
        <v>0.22520515562004531</v>
      </c>
      <c r="H90" s="13">
        <v>0.1189273307397756</v>
      </c>
      <c r="I90" s="13">
        <v>-0.25494089032699241</v>
      </c>
      <c r="J90" s="13">
        <v>0.33836024518933377</v>
      </c>
      <c r="K90" s="13">
        <v>17.499128540304969</v>
      </c>
      <c r="L90" s="13">
        <v>0.73728491223753745</v>
      </c>
      <c r="M90" s="13">
        <v>-2.0915115668556479</v>
      </c>
      <c r="N90" s="19">
        <f>(F90-Settings!$D$18)/Settings!$E$18</f>
        <v>-0.91223123488976388</v>
      </c>
      <c r="O90" s="19">
        <f>(G90-Settings!$D$19)/Settings!$E$19</f>
        <v>0.96590436892860365</v>
      </c>
      <c r="P90" s="19">
        <f>(H90-Settings!$D$20)/Settings!$E$20</f>
        <v>0.59616187523550535</v>
      </c>
      <c r="Q90" s="19">
        <f>(I90-Settings!$D$21)/Settings!$E$21</f>
        <v>-3.0988774097666156</v>
      </c>
      <c r="R90" s="19">
        <f>(J90-Settings!$D$22)/Settings!$E$22</f>
        <v>0.24349186298790496</v>
      </c>
      <c r="S90" s="19">
        <f>(K90-Settings!$D$23)/Settings!$E$23</f>
        <v>0.77926073882710778</v>
      </c>
      <c r="T90" s="19">
        <f>(L90-Settings!$D$24)/Settings!$E$24</f>
        <v>-0.39475178372159514</v>
      </c>
      <c r="U90" s="19">
        <f>(M90-Settings!$D$25)/Settings!$E$25</f>
        <v>-1.3745684368883635</v>
      </c>
      <c r="V90" s="31">
        <f>Settings!$B$18*(N90-F$6)^2</f>
        <v>0.53335742710004486</v>
      </c>
      <c r="W90" s="31">
        <f>Settings!$B$19*(O90-G$6)^2</f>
        <v>0.21408498314786895</v>
      </c>
      <c r="X90" s="31">
        <f>Settings!$B$20*(P90-H$6)^2</f>
        <v>4.6133938952088435E-2</v>
      </c>
      <c r="Y90" s="31">
        <f>Settings!$B$21*(Q90-I$6)^2</f>
        <v>2.4902734047698121</v>
      </c>
      <c r="Z90" s="31">
        <f>Settings!$B$22*(R90-J$6)^2</f>
        <v>3.1226803035526041E-2</v>
      </c>
      <c r="AA90" s="31">
        <f>Settings!$B$23*(S90-K$6)^2</f>
        <v>0.13499623230150753</v>
      </c>
      <c r="AB90" s="31">
        <f>Settings!$B$24*(T90-L$6)^2</f>
        <v>0.62193450377846016</v>
      </c>
      <c r="AC90" s="31">
        <f>Settings!$B$25*(U90-M$6)^2</f>
        <v>1.1560251054266959</v>
      </c>
      <c r="AD90" s="19">
        <f t="shared" si="4"/>
        <v>2.2864890987083237</v>
      </c>
      <c r="AE90" s="15">
        <f t="shared" si="5"/>
        <v>0.90503383838332851</v>
      </c>
      <c r="AF90" s="33">
        <f t="shared" si="6"/>
        <v>0.66395352507684569</v>
      </c>
      <c r="AG90" s="47">
        <f t="shared" si="7"/>
        <v>3.9143256159224439E-3</v>
      </c>
      <c r="AH90" s="18">
        <v>-0.87557613426279568</v>
      </c>
      <c r="AI90" s="46">
        <v>1</v>
      </c>
      <c r="AJ90" s="48"/>
      <c r="AK90" s="48"/>
      <c r="AL90" s="48"/>
      <c r="AM90" s="48"/>
      <c r="AN90" s="48"/>
      <c r="AO90" s="48"/>
      <c r="AP90" s="48"/>
      <c r="AQ90" s="48"/>
    </row>
    <row r="91" spans="1:43" ht="20" customHeight="1" x14ac:dyDescent="0.45">
      <c r="A91" s="26">
        <v>81</v>
      </c>
      <c r="B91" s="16" t="s">
        <v>466</v>
      </c>
      <c r="C91" s="16" t="s">
        <v>220</v>
      </c>
      <c r="D91" s="46">
        <v>29</v>
      </c>
      <c r="E91" s="46">
        <v>1</v>
      </c>
      <c r="F91" s="13">
        <v>0.13901644777796349</v>
      </c>
      <c r="G91" s="13">
        <v>-3.9643053628365843E-2</v>
      </c>
      <c r="H91" s="13">
        <v>-2.5428527926410111E-2</v>
      </c>
      <c r="I91" s="13">
        <v>3.8513890931588441E-3</v>
      </c>
      <c r="J91" s="13">
        <v>0.79206058157410164</v>
      </c>
      <c r="K91" s="13">
        <v>14.283604336043391</v>
      </c>
      <c r="L91" s="13">
        <v>1.9289406784669241</v>
      </c>
      <c r="M91" s="13">
        <v>-1.305808865879224</v>
      </c>
      <c r="N91" s="19">
        <f>(F91-Settings!$D$18)/Settings!$E$18</f>
        <v>-0.1907788673274993</v>
      </c>
      <c r="O91" s="19">
        <f>(G91-Settings!$D$19)/Settings!$E$19</f>
        <v>-0.13748702737056581</v>
      </c>
      <c r="P91" s="19">
        <f>(H91-Settings!$D$20)/Settings!$E$20</f>
        <v>-0.71172996364761287</v>
      </c>
      <c r="Q91" s="19">
        <f>(I91-Settings!$D$21)/Settings!$E$21</f>
        <v>8.3570840567171081E-2</v>
      </c>
      <c r="R91" s="19">
        <f>(J91-Settings!$D$22)/Settings!$E$22</f>
        <v>1.4641939785083169</v>
      </c>
      <c r="S91" s="19">
        <f>(K91-Settings!$D$23)/Settings!$E$23</f>
        <v>-0.33741685630145329</v>
      </c>
      <c r="T91" s="19">
        <f>(L91-Settings!$D$24)/Settings!$E$24</f>
        <v>0.42910502911576537</v>
      </c>
      <c r="U91" s="19">
        <f>(M91-Settings!$D$25)/Settings!$E$25</f>
        <v>-0.84468178458388876</v>
      </c>
      <c r="V91" s="31">
        <f>Settings!$B$18*(N91-F$6)^2</f>
        <v>0.16619477325211074</v>
      </c>
      <c r="W91" s="31">
        <f>Settings!$B$19*(O91-G$6)^2</f>
        <v>9.4608217899469515E-4</v>
      </c>
      <c r="X91" s="31">
        <f>Settings!$B$20*(P91-H$6)^2</f>
        <v>0.13698798982409299</v>
      </c>
      <c r="Y91" s="31">
        <f>Settings!$B$21*(Q91-I$6)^2</f>
        <v>2.3971055756043077E-2</v>
      </c>
      <c r="Z91" s="31">
        <f>Settings!$B$22*(R91-J$6)^2</f>
        <v>0.13631123173982956</v>
      </c>
      <c r="AA91" s="31">
        <f>Settings!$B$23*(S91-K$6)^2</f>
        <v>2.2025407274302355</v>
      </c>
      <c r="AB91" s="31">
        <f>Settings!$B$24*(T91-L$6)^2</f>
        <v>1.2410522167133995E-3</v>
      </c>
      <c r="AC91" s="31">
        <f>Settings!$B$25*(U91-M$6)^2</f>
        <v>2.5762584741973407</v>
      </c>
      <c r="AD91" s="19">
        <f t="shared" si="4"/>
        <v>2.2900767206788859</v>
      </c>
      <c r="AE91" s="15">
        <f t="shared" si="5"/>
        <v>0.90645388420139972</v>
      </c>
      <c r="AF91" s="33">
        <f t="shared" si="6"/>
        <v>0.66310009848057749</v>
      </c>
      <c r="AG91" s="47">
        <f t="shared" si="7"/>
        <v>3.9092942553513926E-3</v>
      </c>
      <c r="AH91" s="18">
        <v>-1.158748677073727</v>
      </c>
      <c r="AI91" s="46">
        <v>1</v>
      </c>
      <c r="AJ91" s="18">
        <v>-0.64671629177243639</v>
      </c>
      <c r="AK91" s="46">
        <v>1</v>
      </c>
      <c r="AL91" s="48"/>
      <c r="AM91" s="48"/>
      <c r="AN91" s="48"/>
      <c r="AO91" s="48"/>
      <c r="AP91" s="48"/>
      <c r="AQ91" s="48"/>
    </row>
    <row r="92" spans="1:43" ht="20" customHeight="1" x14ac:dyDescent="0.45">
      <c r="A92" s="26">
        <v>82</v>
      </c>
      <c r="B92" s="16" t="s">
        <v>322</v>
      </c>
      <c r="C92" s="16" t="s">
        <v>246</v>
      </c>
      <c r="D92" s="46">
        <v>29</v>
      </c>
      <c r="E92" s="46">
        <v>1</v>
      </c>
      <c r="F92" s="13">
        <v>0.64694471179865909</v>
      </c>
      <c r="G92" s="13">
        <v>6.6170137289628075E-2</v>
      </c>
      <c r="H92" s="13">
        <v>0.1185926802611246</v>
      </c>
      <c r="I92" s="13">
        <v>8.0976262534138838E-3</v>
      </c>
      <c r="J92" s="13">
        <v>0.16019484439717421</v>
      </c>
      <c r="K92" s="13">
        <v>18.520192307692309</v>
      </c>
      <c r="L92" s="13">
        <v>2.2485535748927261</v>
      </c>
      <c r="M92" s="13">
        <v>-0.41091298921757419</v>
      </c>
      <c r="N92" s="19">
        <f>(F92-Settings!$D$18)/Settings!$E$18</f>
        <v>1.6270647261937281</v>
      </c>
      <c r="O92" s="19">
        <f>(G92-Settings!$D$19)/Settings!$E$19</f>
        <v>0.30334421255059413</v>
      </c>
      <c r="P92" s="19">
        <f>(H92-Settings!$D$20)/Settings!$E$20</f>
        <v>0.59312987754625268</v>
      </c>
      <c r="Q92" s="19">
        <f>(I92-Settings!$D$21)/Settings!$E$21</f>
        <v>0.13578812483636987</v>
      </c>
      <c r="R92" s="19">
        <f>(J92-Settings!$D$22)/Settings!$E$22</f>
        <v>-0.23587053597467372</v>
      </c>
      <c r="S92" s="19">
        <f>(K92-Settings!$D$23)/Settings!$E$23</f>
        <v>1.1338526995182701</v>
      </c>
      <c r="T92" s="19">
        <f>(L92-Settings!$D$24)/Settings!$E$24</f>
        <v>0.65007090672340329</v>
      </c>
      <c r="U92" s="19">
        <f>(M92-Settings!$D$25)/Settings!$E$25</f>
        <v>-0.24115403845800606</v>
      </c>
      <c r="V92" s="31">
        <f>Settings!$B$18*(N92-F$6)^2</f>
        <v>0.16426358128433668</v>
      </c>
      <c r="W92" s="31">
        <f>Settings!$B$19*(O92-G$6)^2</f>
        <v>2.7684725251845232E-2</v>
      </c>
      <c r="X92" s="31">
        <f>Settings!$B$20*(P92-H$6)^2</f>
        <v>4.555329338327585E-2</v>
      </c>
      <c r="Y92" s="31">
        <f>Settings!$B$21*(Q92-I$6)^2</f>
        <v>1.7285309883164689E-2</v>
      </c>
      <c r="Z92" s="31">
        <f>Settings!$B$22*(R92-J$6)^2</f>
        <v>0.15295017899316149</v>
      </c>
      <c r="AA92" s="31">
        <f>Settings!$B$23*(S92-K$6)^2</f>
        <v>1.6451585722081067E-4</v>
      </c>
      <c r="AB92" s="31">
        <f>Settings!$B$24*(T92-L$6)^2</f>
        <v>6.563559551199892E-2</v>
      </c>
      <c r="AC92" s="31">
        <f>Settings!$B$25*(U92-M$6)^2</f>
        <v>4.877916070859726</v>
      </c>
      <c r="AD92" s="19">
        <f t="shared" si="4"/>
        <v>2.3133208318399614</v>
      </c>
      <c r="AE92" s="15">
        <f t="shared" si="5"/>
        <v>0.91565432480520625</v>
      </c>
      <c r="AF92" s="33">
        <f t="shared" si="6"/>
        <v>0.65756515731169329</v>
      </c>
      <c r="AG92" s="47">
        <f t="shared" si="7"/>
        <v>3.8766631129872045E-3</v>
      </c>
      <c r="AH92" s="18">
        <v>-1.0790995491613571</v>
      </c>
      <c r="AI92" s="46">
        <v>1</v>
      </c>
      <c r="AJ92" s="48"/>
      <c r="AK92" s="48"/>
      <c r="AL92" s="48"/>
      <c r="AM92" s="48"/>
      <c r="AN92" s="48"/>
      <c r="AO92" s="48"/>
      <c r="AP92" s="48"/>
      <c r="AQ92" s="48"/>
    </row>
    <row r="93" spans="1:43" ht="20" customHeight="1" x14ac:dyDescent="0.45">
      <c r="A93" s="26">
        <v>83</v>
      </c>
      <c r="B93" s="16" t="s">
        <v>251</v>
      </c>
      <c r="C93" s="16" t="s">
        <v>214</v>
      </c>
      <c r="D93" s="46">
        <v>29</v>
      </c>
      <c r="E93" s="46">
        <v>1</v>
      </c>
      <c r="F93" s="13">
        <v>0.19871389649843271</v>
      </c>
      <c r="G93" s="13">
        <v>-9.0331439131838442E-2</v>
      </c>
      <c r="H93" s="13">
        <v>0.15440066757939691</v>
      </c>
      <c r="I93" s="13">
        <v>6.4582888671834444E-3</v>
      </c>
      <c r="J93" s="13">
        <v>0.55009570792314855</v>
      </c>
      <c r="K93" s="13">
        <v>20.223882113821158</v>
      </c>
      <c r="L93" s="13">
        <v>3.3441868810431949</v>
      </c>
      <c r="M93" s="13">
        <v>-0.79447442312879035</v>
      </c>
      <c r="N93" s="19">
        <f>(F93-Settings!$D$18)/Settings!$E$18</f>
        <v>2.2874580202731636E-2</v>
      </c>
      <c r="O93" s="19">
        <f>(G93-Settings!$D$19)/Settings!$E$19</f>
        <v>-0.34866130193161887</v>
      </c>
      <c r="P93" s="19">
        <f>(H93-Settings!$D$20)/Settings!$E$20</f>
        <v>0.91755712846023885</v>
      </c>
      <c r="Q93" s="19">
        <f>(I93-Settings!$D$21)/Settings!$E$21</f>
        <v>0.11562868882767112</v>
      </c>
      <c r="R93" s="19">
        <f>(J93-Settings!$D$22)/Settings!$E$22</f>
        <v>0.81317609410265745</v>
      </c>
      <c r="S93" s="19">
        <f>(K93-Settings!$D$23)/Settings!$E$23</f>
        <v>1.7255049822259032</v>
      </c>
      <c r="T93" s="19">
        <f>(L93-Settings!$D$24)/Settings!$E$24</f>
        <v>1.4075421406349518</v>
      </c>
      <c r="U93" s="19">
        <f>(M93-Settings!$D$25)/Settings!$E$25</f>
        <v>-0.49983214140424614</v>
      </c>
      <c r="V93" s="31">
        <f>Settings!$B$18*(N93-F$6)^2</f>
        <v>9.7419646790366576E-2</v>
      </c>
      <c r="W93" s="31">
        <f>Settings!$B$19*(O93-G$6)^2</f>
        <v>1.567465326153434E-2</v>
      </c>
      <c r="X93" s="31">
        <f>Settings!$B$20*(P93-H$6)^2</f>
        <v>0.12853691485750013</v>
      </c>
      <c r="Y93" s="31">
        <f>Settings!$B$21*(Q93-I$6)^2</f>
        <v>1.973721052189694E-2</v>
      </c>
      <c r="Z93" s="31">
        <f>Settings!$B$22*(R93-J$6)^2</f>
        <v>6.0932794677947119E-3</v>
      </c>
      <c r="AA93" s="31">
        <f>Settings!$B$23*(S93-K$6)^2</f>
        <v>0.33503943316736673</v>
      </c>
      <c r="AB93" s="31">
        <f>Settings!$B$24*(T93-L$6)^2</f>
        <v>1.0275181159749629</v>
      </c>
      <c r="AC93" s="31">
        <f>Settings!$B$25*(U93-M$6)^2</f>
        <v>3.8021972682390279</v>
      </c>
      <c r="AD93" s="19">
        <f t="shared" si="4"/>
        <v>2.3307115913987406</v>
      </c>
      <c r="AE93" s="15">
        <f t="shared" si="5"/>
        <v>0.92253790272594716</v>
      </c>
      <c r="AF93" s="33">
        <f t="shared" si="6"/>
        <v>0.65341809213341551</v>
      </c>
      <c r="AG93" s="47">
        <f t="shared" si="7"/>
        <v>3.8522141676241173E-3</v>
      </c>
      <c r="AH93" s="48"/>
      <c r="AI93" s="48"/>
      <c r="AJ93" s="48"/>
      <c r="AK93" s="48"/>
      <c r="AL93" s="48"/>
      <c r="AM93" s="48"/>
      <c r="AN93" s="48"/>
      <c r="AO93" s="48"/>
      <c r="AP93" s="48"/>
      <c r="AQ93" s="48"/>
    </row>
    <row r="94" spans="1:43" ht="20" customHeight="1" x14ac:dyDescent="0.45">
      <c r="A94" s="26">
        <v>84</v>
      </c>
      <c r="B94" s="16" t="s">
        <v>574</v>
      </c>
      <c r="C94" s="16" t="s">
        <v>236</v>
      </c>
      <c r="D94" s="46">
        <v>29</v>
      </c>
      <c r="E94" s="46">
        <v>0</v>
      </c>
      <c r="F94" s="13">
        <v>0.44004209894440732</v>
      </c>
      <c r="G94" s="13">
        <v>-0.19449928840152869</v>
      </c>
      <c r="H94" s="13">
        <v>-3.700525310311854E-3</v>
      </c>
      <c r="I94" s="13">
        <v>1.883380554461506E-2</v>
      </c>
      <c r="J94" s="13">
        <v>-0.34292428179913709</v>
      </c>
      <c r="K94" s="13">
        <v>16.255751173708941</v>
      </c>
      <c r="L94" s="13">
        <v>-9.9122527185856402E-2</v>
      </c>
      <c r="M94" s="13">
        <v>-1.720859508508072</v>
      </c>
      <c r="N94" s="19">
        <f>(F94-Settings!$D$18)/Settings!$E$18</f>
        <v>0.88657317275542713</v>
      </c>
      <c r="O94" s="19">
        <f>(G94-Settings!$D$19)/Settings!$E$19</f>
        <v>-0.78263783883680271</v>
      </c>
      <c r="P94" s="19">
        <f>(H94-Settings!$D$20)/Settings!$E$20</f>
        <v>-0.5148700816906181</v>
      </c>
      <c r="Q94" s="19">
        <f>(I94-Settings!$D$21)/Settings!$E$21</f>
        <v>0.26781422343988381</v>
      </c>
      <c r="R94" s="19">
        <f>(J94-Settings!$D$22)/Settings!$E$22</f>
        <v>-1.5895362321485711</v>
      </c>
      <c r="S94" s="19">
        <f>(K94-Settings!$D$23)/Settings!$E$23</f>
        <v>0.34746437861697388</v>
      </c>
      <c r="T94" s="19">
        <f>(L94-Settings!$D$24)/Settings!$E$24</f>
        <v>-0.97300599672908805</v>
      </c>
      <c r="U94" s="19">
        <f>(M94-Settings!$D$25)/Settings!$E$25</f>
        <v>-1.1245965606004478</v>
      </c>
      <c r="V94" s="31">
        <f>Settings!$B$18*(N94-F$6)^2</f>
        <v>5.4962277072247876E-3</v>
      </c>
      <c r="W94" s="31">
        <f>Settings!$B$19*(O94-G$6)^2</f>
        <v>0.10193886460860757</v>
      </c>
      <c r="X94" s="31">
        <f>Settings!$B$20*(P94-H$6)^2</f>
        <v>7.9569391808248124E-2</v>
      </c>
      <c r="Y94" s="31">
        <f>Settings!$B$21*(Q94-I$6)^2</f>
        <v>5.2460676447589416E-3</v>
      </c>
      <c r="Z94" s="31">
        <f>Settings!$B$22*(R94-J$6)^2</f>
        <v>0.99294480258686013</v>
      </c>
      <c r="AA94" s="31">
        <f>Settings!$B$23*(S94-K$6)^2</f>
        <v>0.63874412775065281</v>
      </c>
      <c r="AB94" s="31">
        <f>Settings!$B$24*(T94-L$6)^2</f>
        <v>1.8683676452846512</v>
      </c>
      <c r="AC94" s="31">
        <f>Settings!$B$25*(U94-M$6)^2</f>
        <v>1.7560436076353212</v>
      </c>
      <c r="AD94" s="19">
        <f t="shared" si="4"/>
        <v>2.3341702455104523</v>
      </c>
      <c r="AE94" s="15">
        <f t="shared" si="5"/>
        <v>0.92390690072735071</v>
      </c>
      <c r="AF94" s="33">
        <f t="shared" si="6"/>
        <v>0.65259276545818468</v>
      </c>
      <c r="AG94" s="47">
        <f t="shared" si="7"/>
        <v>3.8473484696131214E-3</v>
      </c>
      <c r="AH94" s="18">
        <v>-0.6277992426172827</v>
      </c>
      <c r="AI94" s="46">
        <v>1</v>
      </c>
      <c r="AJ94" s="18">
        <v>0.2405677129146637</v>
      </c>
      <c r="AK94" s="46">
        <v>1</v>
      </c>
      <c r="AL94" s="48"/>
      <c r="AM94" s="48"/>
      <c r="AN94" s="48"/>
      <c r="AO94" s="48"/>
      <c r="AP94" s="48"/>
      <c r="AQ94" s="48"/>
    </row>
    <row r="95" spans="1:43" ht="20" customHeight="1" x14ac:dyDescent="0.45">
      <c r="A95" s="26">
        <v>85</v>
      </c>
      <c r="B95" s="16" t="s">
        <v>259</v>
      </c>
      <c r="C95" s="16" t="s">
        <v>216</v>
      </c>
      <c r="D95" s="46">
        <v>29</v>
      </c>
      <c r="E95" s="46">
        <v>1</v>
      </c>
      <c r="F95" s="13">
        <v>-1.8296724357405171E-3</v>
      </c>
      <c r="G95" s="13">
        <v>-0.32031190579827667</v>
      </c>
      <c r="H95" s="13">
        <v>0.2022454285392912</v>
      </c>
      <c r="I95" s="13">
        <v>2.3766788454474629E-2</v>
      </c>
      <c r="J95" s="13">
        <v>-0.45184620477221699</v>
      </c>
      <c r="K95" s="13">
        <v>18.474623655913941</v>
      </c>
      <c r="L95" s="13">
        <v>-0.27734377738107069</v>
      </c>
      <c r="M95" s="13">
        <v>-2.2258978463597971</v>
      </c>
      <c r="N95" s="19">
        <f>(F95-Settings!$D$18)/Settings!$E$18</f>
        <v>-0.69485835145790042</v>
      </c>
      <c r="O95" s="19">
        <f>(G95-Settings!$D$19)/Settings!$E$19</f>
        <v>-1.3067892385211626</v>
      </c>
      <c r="P95" s="19">
        <f>(H95-Settings!$D$20)/Settings!$E$20</f>
        <v>1.3510398632168663</v>
      </c>
      <c r="Q95" s="19">
        <f>(I95-Settings!$D$21)/Settings!$E$21</f>
        <v>0.32847663139727756</v>
      </c>
      <c r="R95" s="19">
        <f>(J95-Settings!$D$22)/Settings!$E$22</f>
        <v>-1.8825957940154818</v>
      </c>
      <c r="S95" s="19">
        <f>(K95-Settings!$D$23)/Settings!$E$23</f>
        <v>1.118027754890679</v>
      </c>
      <c r="T95" s="19">
        <f>(L95-Settings!$D$24)/Settings!$E$24</f>
        <v>-1.096220095403164</v>
      </c>
      <c r="U95" s="19">
        <f>(M95-Settings!$D$25)/Settings!$E$25</f>
        <v>-1.4652000405135162</v>
      </c>
      <c r="V95" s="31">
        <f>Settings!$B$18*(N95-F$6)^2</f>
        <v>0.40081704114227484</v>
      </c>
      <c r="W95" s="31">
        <f>Settings!$B$19*(O95-G$6)^2</f>
        <v>0.30656851324751533</v>
      </c>
      <c r="X95" s="31">
        <f>Settings!$B$20*(P95-H$6)^2</f>
        <v>0.30512347094888459</v>
      </c>
      <c r="Y95" s="31">
        <f>Settings!$B$21*(Q95-I$6)^2</f>
        <v>2.05215244600161E-3</v>
      </c>
      <c r="Z95" s="31">
        <f>Settings!$B$22*(R95-J$6)^2</f>
        <v>1.2713157322499811</v>
      </c>
      <c r="AA95" s="31">
        <f>Settings!$B$23*(S95-K$6)^2</f>
        <v>8.2089803058091229E-4</v>
      </c>
      <c r="AB95" s="31">
        <f>Settings!$B$24*(T95-L$6)^2</f>
        <v>2.220387738723915</v>
      </c>
      <c r="AC95" s="31">
        <f>Settings!$B$25*(U95-M$6)^2</f>
        <v>0.9693475158517536</v>
      </c>
      <c r="AD95" s="19">
        <f t="shared" si="4"/>
        <v>2.3401779980678623</v>
      </c>
      <c r="AE95" s="15">
        <f t="shared" si="5"/>
        <v>0.92628487810767657</v>
      </c>
      <c r="AF95" s="33">
        <f t="shared" si="6"/>
        <v>0.65115873254196399</v>
      </c>
      <c r="AG95" s="47">
        <f t="shared" si="7"/>
        <v>3.8388941553184745E-3</v>
      </c>
      <c r="AH95" s="18">
        <v>0.25346961469697621</v>
      </c>
      <c r="AI95" s="46">
        <v>1</v>
      </c>
      <c r="AJ95" s="18">
        <v>0.21864086171705571</v>
      </c>
      <c r="AK95" s="46">
        <v>1</v>
      </c>
      <c r="AL95" s="48"/>
      <c r="AM95" s="48"/>
      <c r="AN95" s="48"/>
      <c r="AO95" s="48"/>
      <c r="AP95" s="48"/>
      <c r="AQ95" s="48"/>
    </row>
    <row r="96" spans="1:43" ht="20" customHeight="1" x14ac:dyDescent="0.45">
      <c r="A96" s="26">
        <v>86</v>
      </c>
      <c r="B96" s="16" t="s">
        <v>488</v>
      </c>
      <c r="C96" s="16" t="s">
        <v>246</v>
      </c>
      <c r="D96" s="46">
        <v>29</v>
      </c>
      <c r="E96" s="46">
        <v>1</v>
      </c>
      <c r="F96" s="13">
        <v>0.34942881691054772</v>
      </c>
      <c r="G96" s="13">
        <v>-0.25050196906603639</v>
      </c>
      <c r="H96" s="13">
        <v>-1.768377400949269E-3</v>
      </c>
      <c r="I96" s="13">
        <v>8.2812304849321464E-2</v>
      </c>
      <c r="J96" s="13">
        <v>0.31548853177314518</v>
      </c>
      <c r="K96" s="13">
        <v>15.12069716775601</v>
      </c>
      <c r="L96" s="13">
        <v>0.67177422334940684</v>
      </c>
      <c r="M96" s="13">
        <v>-1.122755653749306</v>
      </c>
      <c r="N96" s="19">
        <f>(F96-Settings!$D$18)/Settings!$E$18</f>
        <v>0.56227388503854547</v>
      </c>
      <c r="O96" s="19">
        <f>(G96-Settings!$D$19)/Settings!$E$19</f>
        <v>-1.0159521443790756</v>
      </c>
      <c r="P96" s="19">
        <f>(H96-Settings!$D$20)/Settings!$E$20</f>
        <v>-0.49736445008328556</v>
      </c>
      <c r="Q96" s="19">
        <f>(I96-Settings!$D$21)/Settings!$E$21</f>
        <v>1.0545775056654896</v>
      </c>
      <c r="R96" s="19">
        <f>(J96-Settings!$D$22)/Settings!$E$22</f>
        <v>0.18195444122800486</v>
      </c>
      <c r="S96" s="19">
        <f>(K96-Settings!$D$23)/Settings!$E$23</f>
        <v>-4.6713770012334219E-2</v>
      </c>
      <c r="T96" s="19">
        <f>(L96-Settings!$D$24)/Settings!$E$24</f>
        <v>-0.44004290627868264</v>
      </c>
      <c r="U96" s="19">
        <f>(M96-Settings!$D$25)/Settings!$E$25</f>
        <v>-0.72122865956782289</v>
      </c>
      <c r="V96" s="31">
        <f>Settings!$B$18*(N96-F$6)^2</f>
        <v>5.0260305218839986E-3</v>
      </c>
      <c r="W96" s="31">
        <f>Settings!$B$19*(O96-G$6)^2</f>
        <v>0.17945389796343825</v>
      </c>
      <c r="X96" s="31">
        <f>Settings!$B$20*(P96-H$6)^2</f>
        <v>7.5214002629488408E-2</v>
      </c>
      <c r="Y96" s="31">
        <f>Settings!$B$21*(Q96-I$6)^2</f>
        <v>7.8076370992287591E-2</v>
      </c>
      <c r="Z96" s="31">
        <f>Settings!$B$22*(R96-J$6)^2</f>
        <v>4.1710482651269407E-2</v>
      </c>
      <c r="AA96" s="31">
        <f>Settings!$B$23*(S96-K$6)^2</f>
        <v>1.4241864778021864</v>
      </c>
      <c r="AB96" s="31">
        <f>Settings!$B$24*(T96-L$6)^2</f>
        <v>0.69542150626442789</v>
      </c>
      <c r="AC96" s="31">
        <f>Settings!$B$25*(U96-M$6)^2</f>
        <v>2.9878016374980203</v>
      </c>
      <c r="AD96" s="19">
        <f t="shared" si="4"/>
        <v>2.3424112376615263</v>
      </c>
      <c r="AE96" s="15">
        <f t="shared" si="5"/>
        <v>0.92716883482657153</v>
      </c>
      <c r="AF96" s="33">
        <f t="shared" si="6"/>
        <v>0.65062553056933603</v>
      </c>
      <c r="AG96" s="47">
        <f t="shared" si="7"/>
        <v>3.8357506730398367E-3</v>
      </c>
      <c r="AH96" s="18">
        <v>-0.95203364856003225</v>
      </c>
      <c r="AI96" s="46">
        <v>1</v>
      </c>
      <c r="AJ96" s="48"/>
      <c r="AK96" s="48"/>
      <c r="AL96" s="48"/>
      <c r="AM96" s="48"/>
      <c r="AN96" s="48"/>
      <c r="AO96" s="48"/>
      <c r="AP96" s="48"/>
      <c r="AQ96" s="48"/>
    </row>
    <row r="97" spans="1:43" ht="20" customHeight="1" x14ac:dyDescent="0.45">
      <c r="A97" s="26">
        <v>87</v>
      </c>
      <c r="B97" s="16" t="s">
        <v>518</v>
      </c>
      <c r="C97" s="16" t="s">
        <v>246</v>
      </c>
      <c r="D97" s="46">
        <v>29</v>
      </c>
      <c r="E97" s="46">
        <v>1</v>
      </c>
      <c r="F97" s="13">
        <v>0.42589106737463239</v>
      </c>
      <c r="G97" s="13">
        <v>-2.2957894271180859E-2</v>
      </c>
      <c r="H97" s="13">
        <v>-6.4493333123985877E-2</v>
      </c>
      <c r="I97" s="13">
        <v>7.2269908271596878E-2</v>
      </c>
      <c r="J97" s="13">
        <v>0.41438779695860389</v>
      </c>
      <c r="K97" s="13">
        <v>13.754139433551179</v>
      </c>
      <c r="L97" s="13">
        <v>1.058407219433289</v>
      </c>
      <c r="M97" s="13">
        <v>-1.553300180420254</v>
      </c>
      <c r="N97" s="19">
        <f>(F97-Settings!$D$18)/Settings!$E$18</f>
        <v>0.83592751291913214</v>
      </c>
      <c r="O97" s="19">
        <f>(G97-Settings!$D$19)/Settings!$E$19</f>
        <v>-6.7974526860015594E-2</v>
      </c>
      <c r="P97" s="19">
        <f>(H97-Settings!$D$20)/Settings!$E$20</f>
        <v>-1.0656646108282073</v>
      </c>
      <c r="Q97" s="19">
        <f>(I97-Settings!$D$21)/Settings!$E$21</f>
        <v>0.92493441268652643</v>
      </c>
      <c r="R97" s="19">
        <f>(J97-Settings!$D$22)/Settings!$E$22</f>
        <v>0.44804757044472993</v>
      </c>
      <c r="S97" s="19">
        <f>(K97-Settings!$D$23)/Settings!$E$23</f>
        <v>-0.52128783859304983</v>
      </c>
      <c r="T97" s="19">
        <f>(L97-Settings!$D$24)/Settings!$E$24</f>
        <v>-0.17274236788636338</v>
      </c>
      <c r="U97" s="19">
        <f>(M97-Settings!$D$25)/Settings!$E$25</f>
        <v>-1.01159268354555</v>
      </c>
      <c r="V97" s="31">
        <f>Settings!$B$18*(N97-F$6)^2</f>
        <v>2.6509235345436822E-3</v>
      </c>
      <c r="W97" s="31">
        <f>Settings!$B$19*(O97-G$6)^2</f>
        <v>1.0790330268419581E-7</v>
      </c>
      <c r="X97" s="31">
        <f>Settings!$B$20*(P97-H$6)^2</f>
        <v>0.27921001807745321</v>
      </c>
      <c r="Y97" s="31">
        <f>Settings!$B$21*(Q97-I$6)^2</f>
        <v>4.9037152693091779E-2</v>
      </c>
      <c r="Z97" s="31">
        <f>Settings!$B$22*(R97-J$6)^2</f>
        <v>7.2643197439651325E-3</v>
      </c>
      <c r="AA97" s="31">
        <f>Settings!$B$23*(S97-K$6)^2</f>
        <v>2.7821136182379176</v>
      </c>
      <c r="AB97" s="31">
        <f>Settings!$B$24*(T97-L$6)^2</f>
        <v>0.32105689394767983</v>
      </c>
      <c r="AC97" s="31">
        <f>Settings!$B$25*(U97-M$6)^2</f>
        <v>2.0683094572800935</v>
      </c>
      <c r="AD97" s="19">
        <f t="shared" si="4"/>
        <v>2.3472627657375829</v>
      </c>
      <c r="AE97" s="15">
        <f t="shared" si="5"/>
        <v>0.92908915759529953</v>
      </c>
      <c r="AF97" s="33">
        <f t="shared" si="6"/>
        <v>0.64946694875431821</v>
      </c>
      <c r="AG97" s="47">
        <f t="shared" si="7"/>
        <v>3.8289202755716688E-3</v>
      </c>
      <c r="AH97" s="18">
        <v>-0.18862281950443829</v>
      </c>
      <c r="AI97" s="46">
        <v>1</v>
      </c>
      <c r="AJ97" s="48"/>
      <c r="AK97" s="48"/>
      <c r="AL97" s="48"/>
      <c r="AM97" s="48"/>
      <c r="AN97" s="48"/>
      <c r="AO97" s="48"/>
      <c r="AP97" s="48"/>
      <c r="AQ97" s="48"/>
    </row>
    <row r="98" spans="1:43" ht="20" customHeight="1" x14ac:dyDescent="0.45">
      <c r="A98" s="26">
        <v>88</v>
      </c>
      <c r="B98" s="16" t="s">
        <v>401</v>
      </c>
      <c r="C98" s="16" t="s">
        <v>236</v>
      </c>
      <c r="D98" s="46">
        <v>29</v>
      </c>
      <c r="E98" s="46">
        <v>0</v>
      </c>
      <c r="F98" s="13">
        <v>0.60173710300495209</v>
      </c>
      <c r="G98" s="13">
        <v>5.3192415451074497E-2</v>
      </c>
      <c r="H98" s="13">
        <v>0.1159249769595508</v>
      </c>
      <c r="I98" s="13">
        <v>5.3756903914538197E-2</v>
      </c>
      <c r="J98" s="13">
        <v>-0.17538860066988449</v>
      </c>
      <c r="K98" s="13">
        <v>18.3656926406926</v>
      </c>
      <c r="L98" s="13">
        <v>2.190467684694192</v>
      </c>
      <c r="M98" s="13">
        <v>-0.48857086357427892</v>
      </c>
      <c r="N98" s="19">
        <f>(F98-Settings!$D$18)/Settings!$E$18</f>
        <v>1.4652695124886965</v>
      </c>
      <c r="O98" s="19">
        <f>(G98-Settings!$D$19)/Settings!$E$19</f>
        <v>0.2492773692788956</v>
      </c>
      <c r="P98" s="19">
        <f>(H98-Settings!$D$20)/Settings!$E$20</f>
        <v>0.56895997263953058</v>
      </c>
      <c r="Q98" s="19">
        <f>(I98-Settings!$D$21)/Settings!$E$21</f>
        <v>0.6972743045235178</v>
      </c>
      <c r="R98" s="19">
        <f>(J98-Settings!$D$22)/Settings!$E$22</f>
        <v>-1.1387735943924626</v>
      </c>
      <c r="S98" s="19">
        <f>(K98-Settings!$D$23)/Settings!$E$23</f>
        <v>1.0801985188516321</v>
      </c>
      <c r="T98" s="19">
        <f>(L98-Settings!$D$24)/Settings!$E$24</f>
        <v>0.60991295362491305</v>
      </c>
      <c r="U98" s="19">
        <f>(M98-Settings!$D$25)/Settings!$E$25</f>
        <v>-0.29352737383895511</v>
      </c>
      <c r="V98" s="31">
        <f>Settings!$B$18*(N98-F$6)^2</f>
        <v>0.11084732464452406</v>
      </c>
      <c r="W98" s="31">
        <f>Settings!$B$19*(O98-G$6)^2</f>
        <v>2.0223071899894543E-2</v>
      </c>
      <c r="X98" s="31">
        <f>Settings!$B$20*(P98-H$6)^2</f>
        <v>4.1056106494208988E-2</v>
      </c>
      <c r="Y98" s="31">
        <f>Settings!$B$21*(Q98-I$6)^2</f>
        <v>1.4311491023711282E-2</v>
      </c>
      <c r="Z98" s="31">
        <f>Settings!$B$22*(R98-J$6)^2</f>
        <v>0.63183258859047142</v>
      </c>
      <c r="AA98" s="31">
        <f>Settings!$B$23*(S98-K$6)^2</f>
        <v>4.4196640826106868E-3</v>
      </c>
      <c r="AB98" s="31">
        <f>Settings!$B$24*(T98-L$6)^2</f>
        <v>4.6671767404208482E-2</v>
      </c>
      <c r="AC98" s="31">
        <f>Settings!$B$25*(U98-M$6)^2</f>
        <v>4.6493154900183438</v>
      </c>
      <c r="AD98" s="19">
        <f t="shared" si="4"/>
        <v>2.3491865622291419</v>
      </c>
      <c r="AE98" s="15">
        <f t="shared" si="5"/>
        <v>0.92985063112430422</v>
      </c>
      <c r="AF98" s="33">
        <f t="shared" si="6"/>
        <v>0.64900744029346524</v>
      </c>
      <c r="AG98" s="47">
        <f t="shared" si="7"/>
        <v>3.8262112520163804E-3</v>
      </c>
      <c r="AH98" s="18">
        <v>-0.39699797670020448</v>
      </c>
      <c r="AI98" s="46">
        <v>1</v>
      </c>
      <c r="AJ98" s="18">
        <v>-0.52622989524420416</v>
      </c>
      <c r="AK98" s="46">
        <v>1</v>
      </c>
      <c r="AL98" s="18">
        <v>-0.24128214472496781</v>
      </c>
      <c r="AM98" s="46">
        <v>1</v>
      </c>
      <c r="AN98" s="18">
        <v>1.5999624694310821E-2</v>
      </c>
      <c r="AO98" s="46">
        <v>1</v>
      </c>
      <c r="AP98" s="18">
        <v>-7.9373729260774906E-2</v>
      </c>
      <c r="AQ98" s="46">
        <v>1</v>
      </c>
    </row>
    <row r="99" spans="1:43" ht="20" customHeight="1" x14ac:dyDescent="0.45">
      <c r="A99" s="26">
        <v>89</v>
      </c>
      <c r="B99" s="16" t="s">
        <v>344</v>
      </c>
      <c r="C99" s="16" t="s">
        <v>220</v>
      </c>
      <c r="D99" s="46">
        <v>29</v>
      </c>
      <c r="E99" s="46">
        <v>1</v>
      </c>
      <c r="F99" s="13">
        <v>0.31223893812505071</v>
      </c>
      <c r="G99" s="13">
        <v>0.13478591285247901</v>
      </c>
      <c r="H99" s="13">
        <v>0.30301708250698289</v>
      </c>
      <c r="I99" s="13">
        <v>-1.999265888380938E-2</v>
      </c>
      <c r="J99" s="13">
        <v>-0.229965407631678</v>
      </c>
      <c r="K99" s="13">
        <v>17.890379403793979</v>
      </c>
      <c r="L99" s="13">
        <v>1.3940761487087709</v>
      </c>
      <c r="M99" s="13">
        <v>-0.90794340825733977</v>
      </c>
      <c r="N99" s="19">
        <f>(F99-Settings!$D$18)/Settings!$E$18</f>
        <v>0.42917362722085461</v>
      </c>
      <c r="O99" s="19">
        <f>(G99-Settings!$D$19)/Settings!$E$19</f>
        <v>0.5892062790576521</v>
      </c>
      <c r="P99" s="19">
        <f>(H99-Settings!$D$20)/Settings!$E$20</f>
        <v>2.2640504263688164</v>
      </c>
      <c r="Q99" s="19">
        <f>(I99-Settings!$D$21)/Settings!$E$21</f>
        <v>-0.20964675052634707</v>
      </c>
      <c r="R99" s="19">
        <f>(J99-Settings!$D$22)/Settings!$E$22</f>
        <v>-1.2856150630311602</v>
      </c>
      <c r="S99" s="19">
        <f>(K99-Settings!$D$23)/Settings!$E$23</f>
        <v>0.91513316446577941</v>
      </c>
      <c r="T99" s="19">
        <f>(L99-Settings!$D$24)/Settings!$E$24</f>
        <v>5.9323923469285597E-2</v>
      </c>
      <c r="U99" s="19">
        <f>(M99-Settings!$D$25)/Settings!$E$25</f>
        <v>-0.57635688873607105</v>
      </c>
      <c r="V99" s="31">
        <f>Settings!$B$18*(N99-F$6)^2</f>
        <v>1.7009049731476385E-2</v>
      </c>
      <c r="W99" s="31">
        <f>Settings!$B$19*(O99-G$6)^2</f>
        <v>8.6570514657088871E-2</v>
      </c>
      <c r="X99" s="31">
        <f>Settings!$B$20*(P99-H$6)^2</f>
        <v>0.92292635508907139</v>
      </c>
      <c r="Y99" s="31">
        <f>Settings!$B$21*(Q99-I$6)^2</f>
        <v>8.1771280998439194E-2</v>
      </c>
      <c r="Z99" s="31">
        <f>Settings!$B$22*(R99-J$6)^2</f>
        <v>0.74054368381711033</v>
      </c>
      <c r="AA99" s="31">
        <f>Settings!$B$23*(S99-K$6)^2</f>
        <v>5.3613507768469015E-2</v>
      </c>
      <c r="AB99" s="31">
        <f>Settings!$B$24*(T99-L$6)^2</f>
        <v>0.11192539841928292</v>
      </c>
      <c r="AC99" s="31">
        <f>Settings!$B$25*(U99-M$6)^2</f>
        <v>3.5096186710773818</v>
      </c>
      <c r="AD99" s="19">
        <f t="shared" si="4"/>
        <v>2.3503145452382155</v>
      </c>
      <c r="AE99" s="15">
        <f t="shared" si="5"/>
        <v>0.93029710724916725</v>
      </c>
      <c r="AF99" s="33">
        <f t="shared" si="6"/>
        <v>0.64873799215341954</v>
      </c>
      <c r="AG99" s="47">
        <f t="shared" si="7"/>
        <v>3.824622725535372E-3</v>
      </c>
      <c r="AH99" s="18">
        <v>-0.1485577876895354</v>
      </c>
      <c r="AI99" s="46">
        <v>1</v>
      </c>
      <c r="AJ99" s="18">
        <v>1.9218792291666069</v>
      </c>
      <c r="AK99" s="46">
        <v>1</v>
      </c>
      <c r="AL99" s="18">
        <v>-0.25772804354028361</v>
      </c>
      <c r="AM99" s="46">
        <v>1</v>
      </c>
      <c r="AN99" s="48"/>
      <c r="AO99" s="48"/>
      <c r="AP99" s="48"/>
      <c r="AQ99" s="48"/>
    </row>
    <row r="100" spans="1:43" ht="20" customHeight="1" x14ac:dyDescent="0.45">
      <c r="A100" s="26">
        <v>90</v>
      </c>
      <c r="B100" s="16" t="s">
        <v>477</v>
      </c>
      <c r="C100" s="16" t="s">
        <v>260</v>
      </c>
      <c r="D100" s="46">
        <v>29</v>
      </c>
      <c r="E100" s="46">
        <v>1</v>
      </c>
      <c r="F100" s="13">
        <v>9.6596678344766845E-2</v>
      </c>
      <c r="G100" s="13">
        <v>0.37377463541158867</v>
      </c>
      <c r="H100" s="13">
        <v>5.7051061642355632E-3</v>
      </c>
      <c r="I100" s="13">
        <v>-8.6941231911057709E-2</v>
      </c>
      <c r="J100" s="13">
        <v>0.43698234816835119</v>
      </c>
      <c r="K100" s="13">
        <v>15.70275362318837</v>
      </c>
      <c r="L100" s="13">
        <v>0.97606746829191438</v>
      </c>
      <c r="M100" s="13">
        <v>-1.1559586547731611</v>
      </c>
      <c r="N100" s="19">
        <f>(F100-Settings!$D$18)/Settings!$E$18</f>
        <v>-0.34259657775056435</v>
      </c>
      <c r="O100" s="19">
        <f>(G100-Settings!$D$19)/Settings!$E$19</f>
        <v>1.5848637578549445</v>
      </c>
      <c r="P100" s="19">
        <f>(H100-Settings!$D$20)/Settings!$E$20</f>
        <v>-0.42965325184549652</v>
      </c>
      <c r="Q100" s="19">
        <f>(I100-Settings!$D$21)/Settings!$E$21</f>
        <v>-1.0329339427497484</v>
      </c>
      <c r="R100" s="19">
        <f>(J100-Settings!$D$22)/Settings!$E$22</f>
        <v>0.50883927423924091</v>
      </c>
      <c r="S100" s="19">
        <f>(K100-Settings!$D$23)/Settings!$E$23</f>
        <v>0.15542104894497569</v>
      </c>
      <c r="T100" s="19">
        <f>(L100-Settings!$D$24)/Settings!$E$24</f>
        <v>-0.22966834170160377</v>
      </c>
      <c r="U100" s="19">
        <f>(M100-Settings!$D$25)/Settings!$E$25</f>
        <v>-0.74362113325682522</v>
      </c>
      <c r="V100" s="31">
        <f>Settings!$B$18*(N100-F$6)^2</f>
        <v>0.22616195117810142</v>
      </c>
      <c r="W100" s="31">
        <f>Settings!$B$19*(O100-G$6)^2</f>
        <v>0.54686060269517112</v>
      </c>
      <c r="X100" s="31">
        <f>Settings!$B$20*(P100-H$6)^2</f>
        <v>5.9521529520474015E-2</v>
      </c>
      <c r="Y100" s="31">
        <f>Settings!$B$21*(Q100-I$6)^2</f>
        <v>0.42790176540071539</v>
      </c>
      <c r="Z100" s="31">
        <f>Settings!$B$22*(R100-J$6)^2</f>
        <v>3.369117817672504E-3</v>
      </c>
      <c r="AA100" s="31">
        <f>Settings!$B$23*(S100-K$6)^2</f>
        <v>0.98259247029427543</v>
      </c>
      <c r="AB100" s="31">
        <f>Settings!$B$24*(T100-L$6)^2</f>
        <v>0.38880811734368204</v>
      </c>
      <c r="AC100" s="31">
        <f>Settings!$B$25*(U100-M$6)^2</f>
        <v>2.9108911208392851</v>
      </c>
      <c r="AD100" s="19">
        <f t="shared" si="4"/>
        <v>2.3550173407194639</v>
      </c>
      <c r="AE100" s="15">
        <f t="shared" si="5"/>
        <v>0.932158558960409</v>
      </c>
      <c r="AF100" s="33">
        <f t="shared" si="6"/>
        <v>0.64761442069528441</v>
      </c>
      <c r="AG100" s="47">
        <f t="shared" si="7"/>
        <v>3.8179987309728178E-3</v>
      </c>
      <c r="AH100" s="18">
        <v>0.29240995381984258</v>
      </c>
      <c r="AI100" s="46">
        <v>1</v>
      </c>
      <c r="AJ100" s="18">
        <v>0.56588907069065231</v>
      </c>
      <c r="AK100" s="46">
        <v>1</v>
      </c>
      <c r="AL100" s="18">
        <v>-0.69563184866297512</v>
      </c>
      <c r="AM100" s="46">
        <v>1</v>
      </c>
      <c r="AN100" s="48"/>
      <c r="AO100" s="48"/>
      <c r="AP100" s="48"/>
      <c r="AQ100" s="48"/>
    </row>
    <row r="101" spans="1:43" ht="20" customHeight="1" x14ac:dyDescent="0.45">
      <c r="A101" s="26">
        <v>91</v>
      </c>
      <c r="B101" s="16" t="s">
        <v>349</v>
      </c>
      <c r="C101" s="16" t="s">
        <v>227</v>
      </c>
      <c r="D101" s="46">
        <v>29</v>
      </c>
      <c r="E101" s="46">
        <v>0</v>
      </c>
      <c r="F101" s="13">
        <v>0.33429450291450102</v>
      </c>
      <c r="G101" s="13">
        <v>0.22854707746324421</v>
      </c>
      <c r="H101" s="13">
        <v>0.1195813872745649</v>
      </c>
      <c r="I101" s="13">
        <v>2.9601859416240581E-2</v>
      </c>
      <c r="J101" s="13">
        <v>0.28797517293144942</v>
      </c>
      <c r="K101" s="13">
        <v>17.586335403726711</v>
      </c>
      <c r="L101" s="13">
        <v>3.4902439461515882</v>
      </c>
      <c r="M101" s="13">
        <v>-0.75388606764753474</v>
      </c>
      <c r="N101" s="19">
        <f>(F101-Settings!$D$18)/Settings!$E$18</f>
        <v>0.50810911869482578</v>
      </c>
      <c r="O101" s="19">
        <f>(G101-Settings!$D$19)/Settings!$E$19</f>
        <v>0.97982724127633136</v>
      </c>
      <c r="P101" s="19">
        <f>(H101-Settings!$D$20)/Settings!$E$20</f>
        <v>0.60208775321457131</v>
      </c>
      <c r="Q101" s="19">
        <f>(I101-Settings!$D$21)/Settings!$E$21</f>
        <v>0.40023229356174783</v>
      </c>
      <c r="R101" s="19">
        <f>(J101-Settings!$D$22)/Settings!$E$22</f>
        <v>0.10792845391939633</v>
      </c>
      <c r="S101" s="19">
        <f>(K101-Settings!$D$23)/Settings!$E$23</f>
        <v>0.80954567662836374</v>
      </c>
      <c r="T101" s="19">
        <f>(L101-Settings!$D$24)/Settings!$E$24</f>
        <v>1.5085193788296074</v>
      </c>
      <c r="U101" s="19">
        <f>(M101-Settings!$D$25)/Settings!$E$25</f>
        <v>-0.47245890241476751</v>
      </c>
      <c r="V101" s="31">
        <f>Settings!$B$18*(N101-F$6)^2</f>
        <v>9.0473811655617936E-3</v>
      </c>
      <c r="W101" s="31">
        <f>Settings!$B$19*(O101-G$6)^2</f>
        <v>0.21988566861784331</v>
      </c>
      <c r="X101" s="31">
        <f>Settings!$B$20*(P101-H$6)^2</f>
        <v>4.7279396442878881E-2</v>
      </c>
      <c r="Y101" s="31">
        <f>Settings!$B$21*(Q101-I$6)^2</f>
        <v>1.7451946542209915E-4</v>
      </c>
      <c r="Z101" s="31">
        <f>Settings!$B$22*(R101-J$6)^2</f>
        <v>5.632879070657773E-2</v>
      </c>
      <c r="AA101" s="31">
        <f>Settings!$B$23*(S101-K$6)^2</f>
        <v>0.11365892696295259</v>
      </c>
      <c r="AB101" s="31">
        <f>Settings!$B$24*(T101-L$6)^2</f>
        <v>1.2424288407611244</v>
      </c>
      <c r="AC101" s="31">
        <f>Settings!$B$25*(U101-M$6)^2</f>
        <v>3.9096979448113935</v>
      </c>
      <c r="AD101" s="19">
        <f t="shared" si="4"/>
        <v>2.3661152695787573</v>
      </c>
      <c r="AE101" s="15">
        <f t="shared" si="5"/>
        <v>0.93655132040384004</v>
      </c>
      <c r="AF101" s="33">
        <f t="shared" si="6"/>
        <v>0.64496180056197849</v>
      </c>
      <c r="AG101" s="47">
        <f t="shared" si="7"/>
        <v>3.802360258481977E-3</v>
      </c>
      <c r="AH101" s="18">
        <v>0.29532572455350969</v>
      </c>
      <c r="AI101" s="46">
        <v>0</v>
      </c>
      <c r="AJ101" s="18">
        <v>-0.405988425323069</v>
      </c>
      <c r="AK101" s="46">
        <v>0</v>
      </c>
      <c r="AL101" s="18">
        <v>-0.96354660831380556</v>
      </c>
      <c r="AM101" s="46">
        <v>0</v>
      </c>
      <c r="AN101" s="18">
        <v>0.52338937896680182</v>
      </c>
      <c r="AO101" s="46">
        <v>1</v>
      </c>
      <c r="AP101" s="18">
        <v>0.76275689860824247</v>
      </c>
      <c r="AQ101" s="46">
        <v>1</v>
      </c>
    </row>
    <row r="102" spans="1:43" ht="20" customHeight="1" x14ac:dyDescent="0.45">
      <c r="A102" s="26">
        <v>92</v>
      </c>
      <c r="B102" s="16" t="s">
        <v>397</v>
      </c>
      <c r="C102" s="16" t="s">
        <v>271</v>
      </c>
      <c r="D102" s="46">
        <v>29</v>
      </c>
      <c r="E102" s="46">
        <v>1</v>
      </c>
      <c r="F102" s="13">
        <v>0.39791444669887582</v>
      </c>
      <c r="G102" s="13">
        <v>-8.5337762552302729E-2</v>
      </c>
      <c r="H102" s="13">
        <v>4.6216074325916387E-2</v>
      </c>
      <c r="I102" s="13">
        <v>-1.2707893975244089E-5</v>
      </c>
      <c r="J102" s="13">
        <v>0.47051900852892992</v>
      </c>
      <c r="K102" s="13">
        <v>15.02860215053761</v>
      </c>
      <c r="L102" s="13">
        <v>1.681022480211332</v>
      </c>
      <c r="M102" s="13">
        <v>-0.70639262384160006</v>
      </c>
      <c r="N102" s="19">
        <f>(F102-Settings!$D$18)/Settings!$E$18</f>
        <v>0.73580093153691273</v>
      </c>
      <c r="O102" s="19">
        <f>(G102-Settings!$D$19)/Settings!$E$19</f>
        <v>-0.32785700882578045</v>
      </c>
      <c r="P102" s="19">
        <f>(H102-Settings!$D$20)/Settings!$E$20</f>
        <v>-6.2616090115618708E-2</v>
      </c>
      <c r="Q102" s="19">
        <f>(I102-Settings!$D$21)/Settings!$E$21</f>
        <v>3.6052851532188346E-2</v>
      </c>
      <c r="R102" s="19">
        <f>(J102-Settings!$D$22)/Settings!$E$22</f>
        <v>0.59907123786496241</v>
      </c>
      <c r="S102" s="19">
        <f>(K102-Settings!$D$23)/Settings!$E$23</f>
        <v>-7.8696251193620323E-2</v>
      </c>
      <c r="T102" s="19">
        <f>(L102-Settings!$D$24)/Settings!$E$24</f>
        <v>0.25770561793722185</v>
      </c>
      <c r="U102" s="19">
        <f>(M102-Settings!$D$25)/Settings!$E$25</f>
        <v>-0.44042879495368531</v>
      </c>
      <c r="V102" s="31">
        <f>Settings!$B$18*(N102-F$6)^2</f>
        <v>4.5012715445832998E-5</v>
      </c>
      <c r="W102" s="31">
        <f>Settings!$B$19*(O102-G$6)^2</f>
        <v>1.343153345814416E-2</v>
      </c>
      <c r="X102" s="31">
        <f>Settings!$B$20*(P102-H$6)^2</f>
        <v>6.3722440463776509E-3</v>
      </c>
      <c r="Y102" s="31">
        <f>Settings!$B$21*(Q102-I$6)^2</f>
        <v>3.1002961759457898E-2</v>
      </c>
      <c r="Z102" s="31">
        <f>Settings!$B$22*(R102-J$6)^2</f>
        <v>3.1297648645477985E-4</v>
      </c>
      <c r="AA102" s="31">
        <f>Settings!$B$23*(S102-K$6)^2</f>
        <v>1.5015446851930614</v>
      </c>
      <c r="AB102" s="31">
        <f>Settings!$B$24*(T102-L$6)^2</f>
        <v>1.8542497707155832E-2</v>
      </c>
      <c r="AC102" s="31">
        <f>Settings!$B$25*(U102-M$6)^2</f>
        <v>4.0373898545874729</v>
      </c>
      <c r="AD102" s="19">
        <f t="shared" si="4"/>
        <v>2.3682571156767525</v>
      </c>
      <c r="AE102" s="15">
        <f t="shared" si="5"/>
        <v>0.93739910192022247</v>
      </c>
      <c r="AF102" s="33">
        <f t="shared" si="6"/>
        <v>0.64444967841368417</v>
      </c>
      <c r="AG102" s="47">
        <f t="shared" si="7"/>
        <v>3.7993410519142918E-3</v>
      </c>
      <c r="AH102" s="18">
        <v>-6.7004847421049174E-2</v>
      </c>
      <c r="AI102" s="46">
        <v>1</v>
      </c>
      <c r="AJ102" s="18">
        <v>0.37731031322425101</v>
      </c>
      <c r="AK102" s="46">
        <v>1</v>
      </c>
      <c r="AL102" s="18">
        <v>-0.22062251423956061</v>
      </c>
      <c r="AM102" s="46">
        <v>1</v>
      </c>
      <c r="AN102" s="18">
        <v>-0.87495533440993212</v>
      </c>
      <c r="AO102" s="46">
        <v>1</v>
      </c>
      <c r="AP102" s="18">
        <v>-0.15422158514300899</v>
      </c>
      <c r="AQ102" s="46">
        <v>1</v>
      </c>
    </row>
    <row r="103" spans="1:43" ht="20" customHeight="1" x14ac:dyDescent="0.45">
      <c r="A103" s="26">
        <v>93</v>
      </c>
      <c r="B103" s="16" t="s">
        <v>226</v>
      </c>
      <c r="C103" s="16" t="s">
        <v>236</v>
      </c>
      <c r="D103" s="46">
        <v>29</v>
      </c>
      <c r="E103" s="46">
        <v>0</v>
      </c>
      <c r="F103" s="13">
        <v>8.3069866353521815E-2</v>
      </c>
      <c r="G103" s="13">
        <v>-8.117893910317403E-2</v>
      </c>
      <c r="H103" s="13">
        <v>0.5825100743307966</v>
      </c>
      <c r="I103" s="13">
        <v>-3.71212067644449E-3</v>
      </c>
      <c r="J103" s="13">
        <v>0.24952899953606311</v>
      </c>
      <c r="K103" s="13">
        <v>17.35827423167844</v>
      </c>
      <c r="L103" s="13">
        <v>1.3739864611958079</v>
      </c>
      <c r="M103" s="13">
        <v>-2.5050856457542632</v>
      </c>
      <c r="N103" s="19">
        <f>(F103-Settings!$D$18)/Settings!$E$18</f>
        <v>-0.39100819462811814</v>
      </c>
      <c r="O103" s="19">
        <f>(G103-Settings!$D$19)/Settings!$E$19</f>
        <v>-0.31053082026850076</v>
      </c>
      <c r="P103" s="19">
        <f>(H103-Settings!$D$20)/Settings!$E$20</f>
        <v>4.7963106782834739</v>
      </c>
      <c r="Q103" s="19">
        <f>(I103-Settings!$D$21)/Settings!$E$21</f>
        <v>-9.4399651902063574E-3</v>
      </c>
      <c r="R103" s="19">
        <f>(J103-Settings!$D$22)/Settings!$E$22</f>
        <v>4.4872143307799007E-3</v>
      </c>
      <c r="S103" s="19">
        <f>(K103-Settings!$D$23)/Settings!$E$23</f>
        <v>0.73034527726344978</v>
      </c>
      <c r="T103" s="19">
        <f>(L103-Settings!$D$24)/Settings!$E$24</f>
        <v>4.5434823618161084E-2</v>
      </c>
      <c r="U103" s="19">
        <f>(M103-Settings!$D$25)/Settings!$E$25</f>
        <v>-1.653487401880021</v>
      </c>
      <c r="V103" s="31">
        <f>Settings!$B$18*(N103-F$6)^2</f>
        <v>0.24722296419565506</v>
      </c>
      <c r="W103" s="31">
        <f>Settings!$B$19*(O103-G$6)^2</f>
        <v>1.1695554224122245E-2</v>
      </c>
      <c r="X103" s="31">
        <f>Settings!$B$20*(P103-H$6)^2</f>
        <v>4.38128434719951</v>
      </c>
      <c r="Y103" s="31">
        <f>Settings!$B$21*(Q103-I$6)^2</f>
        <v>3.8581439204457557E-2</v>
      </c>
      <c r="Z103" s="31">
        <f>Settings!$B$22*(R103-J$6)^2</f>
        <v>8.0427372108720377E-2</v>
      </c>
      <c r="AA103" s="31">
        <f>Settings!$B$23*(S103-K$6)^2</f>
        <v>0.17333382948954151</v>
      </c>
      <c r="AB103" s="31">
        <f>Settings!$B$24*(T103-L$6)^2</f>
        <v>0.12141157263146794</v>
      </c>
      <c r="AC103" s="31">
        <f>Settings!$B$25*(U103-M$6)^2</f>
        <v>0.63404131755569493</v>
      </c>
      <c r="AD103" s="19">
        <f t="shared" si="4"/>
        <v>2.3849524935749074</v>
      </c>
      <c r="AE103" s="15">
        <f t="shared" si="5"/>
        <v>0.94400743517270258</v>
      </c>
      <c r="AF103" s="33">
        <f t="shared" si="6"/>
        <v>0.64045589592934671</v>
      </c>
      <c r="AG103" s="47">
        <f t="shared" si="7"/>
        <v>3.7757957818126608E-3</v>
      </c>
      <c r="AH103" s="18">
        <v>-1.118092069310612</v>
      </c>
      <c r="AI103" s="46">
        <v>1</v>
      </c>
      <c r="AJ103" s="18">
        <v>0.60967124061622646</v>
      </c>
      <c r="AK103" s="46">
        <v>1</v>
      </c>
      <c r="AL103" s="18">
        <v>-0.44598165294825132</v>
      </c>
      <c r="AM103" s="46">
        <v>1</v>
      </c>
      <c r="AN103" s="18">
        <v>0.47898875121705731</v>
      </c>
      <c r="AO103" s="46">
        <v>1</v>
      </c>
      <c r="AP103" s="18">
        <v>0.19659606230920271</v>
      </c>
      <c r="AQ103" s="46">
        <v>1</v>
      </c>
    </row>
    <row r="104" spans="1:43" ht="20" customHeight="1" x14ac:dyDescent="0.45">
      <c r="A104" s="26">
        <v>94</v>
      </c>
      <c r="B104" s="16" t="s">
        <v>382</v>
      </c>
      <c r="C104" s="16" t="s">
        <v>236</v>
      </c>
      <c r="D104" s="46">
        <v>29</v>
      </c>
      <c r="E104" s="46">
        <v>0</v>
      </c>
      <c r="F104" s="13">
        <v>0.85987413399310142</v>
      </c>
      <c r="G104" s="13">
        <v>-2.3050151591909731E-2</v>
      </c>
      <c r="H104" s="13">
        <v>-3.6356956739570963E-2</v>
      </c>
      <c r="I104" s="13">
        <v>-2.2862880988793839E-3</v>
      </c>
      <c r="J104" s="13">
        <v>7.8432469576538502E-2</v>
      </c>
      <c r="K104" s="13">
        <v>16.613048245614081</v>
      </c>
      <c r="L104" s="13">
        <v>0.55865375138895479</v>
      </c>
      <c r="M104" s="13">
        <v>-0.94712303199231029</v>
      </c>
      <c r="N104" s="19">
        <f>(F104-Settings!$D$18)/Settings!$E$18</f>
        <v>2.3891258545592335</v>
      </c>
      <c r="O104" s="19">
        <f>(G104-Settings!$D$19)/Settings!$E$19</f>
        <v>-6.8358882616947947E-2</v>
      </c>
      <c r="P104" s="19">
        <f>(H104-Settings!$D$20)/Settings!$E$20</f>
        <v>-0.81074363021171403</v>
      </c>
      <c r="Q104" s="19">
        <f>(I104-Settings!$D$21)/Settings!$E$21</f>
        <v>8.0939365239715028E-3</v>
      </c>
      <c r="R104" s="19">
        <f>(J104-Settings!$D$22)/Settings!$E$22</f>
        <v>-0.45585605485002129</v>
      </c>
      <c r="S104" s="19">
        <f>(K104-Settings!$D$23)/Settings!$E$23</f>
        <v>0.47154543341753419</v>
      </c>
      <c r="T104" s="19">
        <f>(L104-Settings!$D$24)/Settings!$E$24</f>
        <v>-0.51824927605179427</v>
      </c>
      <c r="U104" s="19">
        <f>(M104-Settings!$D$25)/Settings!$E$25</f>
        <v>-0.60278006334610135</v>
      </c>
      <c r="V104" s="31">
        <f>Settings!$B$18*(N104-F$6)^2</f>
        <v>0.55666302388950817</v>
      </c>
      <c r="W104" s="31">
        <f>Settings!$B$19*(O104-G$6)^2</f>
        <v>2.4522702236567625E-8</v>
      </c>
      <c r="X104" s="31">
        <f>Settings!$B$20*(P104-H$6)^2</f>
        <v>0.17172665046140445</v>
      </c>
      <c r="Y104" s="31">
        <f>Settings!$B$21*(Q104-I$6)^2</f>
        <v>3.5562486610058168E-2</v>
      </c>
      <c r="Z104" s="31">
        <f>Settings!$B$22*(R104-J$6)^2</f>
        <v>0.23957987164769623</v>
      </c>
      <c r="AA104" s="31">
        <f>Settings!$B$23*(S104-K$6)^2</f>
        <v>0.45580543132365808</v>
      </c>
      <c r="AB104" s="31">
        <f>Settings!$B$24*(T104-L$6)^2</f>
        <v>0.83197335487863222</v>
      </c>
      <c r="AC104" s="31">
        <f>Settings!$B$25*(U104-M$6)^2</f>
        <v>3.4113146299779524</v>
      </c>
      <c r="AD104" s="19">
        <f t="shared" si="4"/>
        <v>2.3880170588401608</v>
      </c>
      <c r="AE104" s="15">
        <f t="shared" si="5"/>
        <v>0.94522044566400787</v>
      </c>
      <c r="AF104" s="33">
        <f t="shared" si="6"/>
        <v>0.63972246478758765</v>
      </c>
      <c r="AG104" s="47">
        <f t="shared" si="7"/>
        <v>3.7714718522042284E-3</v>
      </c>
      <c r="AH104" s="18">
        <v>0.1875269577366582</v>
      </c>
      <c r="AI104" s="46">
        <v>1</v>
      </c>
      <c r="AJ104" s="18">
        <v>-0.31079472718409412</v>
      </c>
      <c r="AK104" s="46">
        <v>1</v>
      </c>
      <c r="AL104" s="48"/>
      <c r="AM104" s="48"/>
      <c r="AN104" s="48"/>
      <c r="AO104" s="48"/>
      <c r="AP104" s="48"/>
      <c r="AQ104" s="48"/>
    </row>
    <row r="105" spans="1:43" ht="20" customHeight="1" x14ac:dyDescent="0.45">
      <c r="A105" s="26">
        <v>95</v>
      </c>
      <c r="B105" s="16" t="s">
        <v>455</v>
      </c>
      <c r="C105" s="16" t="s">
        <v>220</v>
      </c>
      <c r="D105" s="46">
        <v>29</v>
      </c>
      <c r="E105" s="46">
        <v>1</v>
      </c>
      <c r="F105" s="13">
        <v>0.10023075655260991</v>
      </c>
      <c r="G105" s="13">
        <v>0.1312471232332644</v>
      </c>
      <c r="H105" s="13">
        <v>5.0105665981394418E-2</v>
      </c>
      <c r="I105" s="13">
        <v>-5.6161860643886848E-2</v>
      </c>
      <c r="J105" s="13">
        <v>0.66225459358884431</v>
      </c>
      <c r="K105" s="13">
        <v>16.735114503816771</v>
      </c>
      <c r="L105" s="13">
        <v>2.027642628273584</v>
      </c>
      <c r="M105" s="13">
        <v>-0.45052928302932349</v>
      </c>
      <c r="N105" s="19">
        <f>(F105-Settings!$D$18)/Settings!$E$18</f>
        <v>-0.32959043838712576</v>
      </c>
      <c r="O105" s="19">
        <f>(G105-Settings!$D$19)/Settings!$E$19</f>
        <v>0.5744632304630064</v>
      </c>
      <c r="P105" s="19">
        <f>(H105-Settings!$D$20)/Settings!$E$20</f>
        <v>-2.7375641755629662E-2</v>
      </c>
      <c r="Q105" s="19">
        <f>(I105-Settings!$D$21)/Settings!$E$21</f>
        <v>-0.65443054823173308</v>
      </c>
      <c r="R105" s="19">
        <f>(J105-Settings!$D$22)/Settings!$E$22</f>
        <v>1.1149448564921476</v>
      </c>
      <c r="S105" s="19">
        <f>(K105-Settings!$D$23)/Settings!$E$23</f>
        <v>0.51393623721725978</v>
      </c>
      <c r="T105" s="19">
        <f>(L105-Settings!$D$24)/Settings!$E$24</f>
        <v>0.49734308585411968</v>
      </c>
      <c r="U105" s="19">
        <f>(M105-Settings!$D$25)/Settings!$E$25</f>
        <v>-0.26787170823123008</v>
      </c>
      <c r="V105" s="31">
        <f>Settings!$B$18*(N105-F$6)^2</f>
        <v>0.22066351565299769</v>
      </c>
      <c r="W105" s="31">
        <f>Settings!$B$19*(O105-G$6)^2</f>
        <v>8.2734115117507778E-2</v>
      </c>
      <c r="X105" s="31">
        <f>Settings!$B$20*(P105-H$6)^2</f>
        <v>4.1044945344185374E-3</v>
      </c>
      <c r="Y105" s="31">
        <f>Settings!$B$21*(Q105-I$6)^2</f>
        <v>0.23509905565898764</v>
      </c>
      <c r="Z105" s="31">
        <f>Settings!$B$22*(R105-J$6)^2</f>
        <v>4.5375200361283209E-2</v>
      </c>
      <c r="AA105" s="31">
        <f>Settings!$B$23*(S105-K$6)^2</f>
        <v>0.40036349626043</v>
      </c>
      <c r="AB105" s="31">
        <f>Settings!$B$24*(T105-L$6)^2</f>
        <v>1.0705343061454568E-2</v>
      </c>
      <c r="AC105" s="31">
        <f>Settings!$B$25*(U105-M$6)^2</f>
        <v>4.7606125882802584</v>
      </c>
      <c r="AD105" s="19">
        <f t="shared" si="4"/>
        <v>2.3999287091343646</v>
      </c>
      <c r="AE105" s="15">
        <f t="shared" si="5"/>
        <v>0.94993529280381417</v>
      </c>
      <c r="AF105" s="33">
        <f t="shared" si="6"/>
        <v>0.63687076145049548</v>
      </c>
      <c r="AG105" s="47">
        <f t="shared" si="7"/>
        <v>3.7546596884008967E-3</v>
      </c>
      <c r="AH105" s="18">
        <v>-0.74693986355774977</v>
      </c>
      <c r="AI105" s="46">
        <v>1</v>
      </c>
      <c r="AJ105" s="18">
        <v>-0.76871772709407993</v>
      </c>
      <c r="AK105" s="46">
        <v>1</v>
      </c>
      <c r="AL105" s="18">
        <v>-2.021487233941999E-2</v>
      </c>
      <c r="AM105" s="46">
        <v>1</v>
      </c>
      <c r="AN105" s="18">
        <v>0.3400544577847272</v>
      </c>
      <c r="AO105" s="46">
        <v>1</v>
      </c>
      <c r="AP105" s="48"/>
      <c r="AQ105" s="48"/>
    </row>
    <row r="106" spans="1:43" ht="20" customHeight="1" x14ac:dyDescent="0.45">
      <c r="A106" s="26">
        <v>96</v>
      </c>
      <c r="B106" s="16" t="s">
        <v>554</v>
      </c>
      <c r="C106" s="16" t="s">
        <v>224</v>
      </c>
      <c r="D106" s="46">
        <v>29</v>
      </c>
      <c r="E106" s="46">
        <v>0</v>
      </c>
      <c r="F106" s="13">
        <v>-1.224091604250077E-2</v>
      </c>
      <c r="G106" s="13">
        <v>0.31099555135004159</v>
      </c>
      <c r="H106" s="13">
        <v>-7.2809218048885448E-3</v>
      </c>
      <c r="I106" s="13">
        <v>0.1121176362230283</v>
      </c>
      <c r="J106" s="13">
        <v>0.55736497457954071</v>
      </c>
      <c r="K106" s="13">
        <v>12.67983682983683</v>
      </c>
      <c r="L106" s="13">
        <v>1.1421516608955939</v>
      </c>
      <c r="M106" s="13">
        <v>-2.9659222664429561</v>
      </c>
      <c r="N106" s="19">
        <f>(F106-Settings!$D$18)/Settings!$E$18</f>
        <v>-0.7321195433067692</v>
      </c>
      <c r="O106" s="19">
        <f>(G106-Settings!$D$19)/Settings!$E$19</f>
        <v>1.3233180920653658</v>
      </c>
      <c r="P106" s="19">
        <f>(H106-Settings!$D$20)/Settings!$E$20</f>
        <v>-0.54730916243517735</v>
      </c>
      <c r="Q106" s="19">
        <f>(I106-Settings!$D$21)/Settings!$E$21</f>
        <v>1.414954178279793</v>
      </c>
      <c r="R106" s="19">
        <f>(J106-Settings!$D$22)/Settings!$E$22</f>
        <v>0.83273439828300633</v>
      </c>
      <c r="S106" s="19">
        <f>(K106-Settings!$D$23)/Settings!$E$23</f>
        <v>-0.89436842258186844</v>
      </c>
      <c r="T106" s="19">
        <f>(L106-Settings!$D$24)/Settings!$E$24</f>
        <v>-0.11484525481797525</v>
      </c>
      <c r="U106" s="19">
        <f>(M106-Settings!$D$25)/Settings!$E$25</f>
        <v>-1.9642807514415948</v>
      </c>
      <c r="V106" s="31">
        <f>Settings!$B$18*(N106-F$6)^2</f>
        <v>0.42219434969644837</v>
      </c>
      <c r="W106" s="31">
        <f>Settings!$B$19*(O106-G$6)^2</f>
        <v>0.38754790991952504</v>
      </c>
      <c r="X106" s="31">
        <f>Settings!$B$20*(P106-H$6)^2</f>
        <v>8.7964245036647945E-2</v>
      </c>
      <c r="Y106" s="31">
        <f>Settings!$B$21*(Q106-I$6)^2</f>
        <v>0.19411676439810532</v>
      </c>
      <c r="Z106" s="31">
        <f>Settings!$B$22*(R106-J$6)^2</f>
        <v>7.53531646921191E-3</v>
      </c>
      <c r="AA106" s="31">
        <f>Settings!$B$23*(S106-K$6)^2</f>
        <v>4.1658748793050346</v>
      </c>
      <c r="AB106" s="31">
        <f>Settings!$B$24*(T106-L$6)^2</f>
        <v>0.2587977811811939</v>
      </c>
      <c r="AC106" s="31">
        <f>Settings!$B$25*(U106-M$6)^2</f>
        <v>0.23568477639565352</v>
      </c>
      <c r="AD106" s="19">
        <f t="shared" si="4"/>
        <v>2.3999408372711653</v>
      </c>
      <c r="AE106" s="15">
        <f t="shared" si="5"/>
        <v>0.9499400933402381</v>
      </c>
      <c r="AF106" s="33">
        <f t="shared" si="6"/>
        <v>0.63686785719238659</v>
      </c>
      <c r="AG106" s="47">
        <f t="shared" si="7"/>
        <v>3.754642566401417E-3</v>
      </c>
      <c r="AH106" s="18">
        <v>-1.3354893452439429</v>
      </c>
      <c r="AI106" s="46">
        <v>0</v>
      </c>
      <c r="AJ106" s="18">
        <v>0.24226051648978891</v>
      </c>
      <c r="AK106" s="46">
        <v>1</v>
      </c>
      <c r="AL106" s="18">
        <v>0.33763535944299539</v>
      </c>
      <c r="AM106" s="46">
        <v>1</v>
      </c>
      <c r="AN106" s="18">
        <v>-9.3646420965035393E-2</v>
      </c>
      <c r="AO106" s="46">
        <v>1</v>
      </c>
      <c r="AP106" s="18">
        <v>-0.40362917706454882</v>
      </c>
      <c r="AQ106" s="46">
        <v>1</v>
      </c>
    </row>
    <row r="107" spans="1:43" ht="20" customHeight="1" x14ac:dyDescent="0.45">
      <c r="A107" s="26">
        <v>97</v>
      </c>
      <c r="B107" s="16" t="s">
        <v>385</v>
      </c>
      <c r="C107" s="16" t="s">
        <v>246</v>
      </c>
      <c r="D107" s="46">
        <v>29</v>
      </c>
      <c r="E107" s="46">
        <v>1</v>
      </c>
      <c r="F107" s="13">
        <v>3.4615360993377017E-2</v>
      </c>
      <c r="G107" s="13">
        <v>-0.39954430161552412</v>
      </c>
      <c r="H107" s="13">
        <v>5.2116105594062413E-2</v>
      </c>
      <c r="I107" s="13">
        <v>-3.1858742389004387E-2</v>
      </c>
      <c r="J107" s="13">
        <v>0.48186548940803209</v>
      </c>
      <c r="K107" s="13">
        <v>13.827380952380951</v>
      </c>
      <c r="L107" s="13">
        <v>0.1132818018517139</v>
      </c>
      <c r="M107" s="13">
        <v>-2.5083838653501589</v>
      </c>
      <c r="N107" s="19">
        <f>(F107-Settings!$D$18)/Settings!$E$18</f>
        <v>-0.56442384873826279</v>
      </c>
      <c r="O107" s="19">
        <f>(G107-Settings!$D$19)/Settings!$E$19</f>
        <v>-1.6368814981630715</v>
      </c>
      <c r="P107" s="19">
        <f>(H107-Settings!$D$20)/Settings!$E$20</f>
        <v>-9.1606722609988561E-3</v>
      </c>
      <c r="Q107" s="19">
        <f>(I107-Settings!$D$21)/Settings!$E$21</f>
        <v>-0.35556762874587705</v>
      </c>
      <c r="R107" s="19">
        <f>(J107-Settings!$D$22)/Settings!$E$22</f>
        <v>0.62959947886914291</v>
      </c>
      <c r="S107" s="19">
        <f>(K107-Settings!$D$23)/Settings!$E$23</f>
        <v>-0.49585274374848337</v>
      </c>
      <c r="T107" s="19">
        <f>(L107-Settings!$D$24)/Settings!$E$24</f>
        <v>-0.82615926589216782</v>
      </c>
      <c r="U107" s="19">
        <f>(M107-Settings!$D$25)/Settings!$E$25</f>
        <v>-1.6557117579094227</v>
      </c>
      <c r="V107" s="31">
        <f>Settings!$B$18*(N107-F$6)^2</f>
        <v>0.33035945776411912</v>
      </c>
      <c r="W107" s="31">
        <f>Settings!$B$19*(O107-G$6)^2</f>
        <v>0.49183296873609539</v>
      </c>
      <c r="X107" s="31">
        <f>Settings!$B$20*(P107-H$6)^2</f>
        <v>3.1270852286161988E-3</v>
      </c>
      <c r="Y107" s="31">
        <f>Settings!$B$21*(Q107-I$6)^2</f>
        <v>0.1233516828229389</v>
      </c>
      <c r="Z107" s="31">
        <f>Settings!$B$22*(R107-J$6)^2</f>
        <v>1.6309458379457833E-5</v>
      </c>
      <c r="AA107" s="31">
        <f>Settings!$B$23*(S107-K$6)^2</f>
        <v>2.6979107690986868</v>
      </c>
      <c r="AB107" s="31">
        <f>Settings!$B$24*(T107-L$6)^2</f>
        <v>1.4884871677859044</v>
      </c>
      <c r="AC107" s="31">
        <f>Settings!$B$25*(U107-M$6)^2</f>
        <v>0.63050390220135477</v>
      </c>
      <c r="AD107" s="19">
        <f t="shared" si="4"/>
        <v>2.4011641641287449</v>
      </c>
      <c r="AE107" s="15">
        <f t="shared" si="5"/>
        <v>0.95042430828888491</v>
      </c>
      <c r="AF107" s="33">
        <f t="shared" si="6"/>
        <v>0.63657490651256388</v>
      </c>
      <c r="AG107" s="47">
        <f t="shared" si="7"/>
        <v>3.7529154811357743E-3</v>
      </c>
      <c r="AH107" s="18">
        <v>-1.36105355733615</v>
      </c>
      <c r="AI107" s="46">
        <v>1</v>
      </c>
      <c r="AJ107" s="48"/>
      <c r="AK107" s="48"/>
      <c r="AL107" s="48"/>
      <c r="AM107" s="48"/>
      <c r="AN107" s="48"/>
      <c r="AO107" s="48"/>
      <c r="AP107" s="48"/>
      <c r="AQ107" s="48"/>
    </row>
    <row r="108" spans="1:43" ht="20" customHeight="1" x14ac:dyDescent="0.45">
      <c r="A108" s="26">
        <v>98</v>
      </c>
      <c r="B108" s="16" t="s">
        <v>449</v>
      </c>
      <c r="C108" s="16" t="s">
        <v>246</v>
      </c>
      <c r="D108" s="46">
        <v>29</v>
      </c>
      <c r="E108" s="46">
        <v>1</v>
      </c>
      <c r="F108" s="13">
        <v>0.37788101225719301</v>
      </c>
      <c r="G108" s="13">
        <v>0.22319450568809759</v>
      </c>
      <c r="H108" s="13">
        <v>5.3212186638284302E-2</v>
      </c>
      <c r="I108" s="13">
        <v>2.3682229281848668E-2</v>
      </c>
      <c r="J108" s="13">
        <v>0.32203006613457641</v>
      </c>
      <c r="K108" s="13">
        <v>18.846052631578971</v>
      </c>
      <c r="L108" s="13">
        <v>2.8234755604614188</v>
      </c>
      <c r="M108" s="13">
        <v>-0.34446230393015348</v>
      </c>
      <c r="N108" s="19">
        <f>(F108-Settings!$D$18)/Settings!$E$18</f>
        <v>0.66410251852133628</v>
      </c>
      <c r="O108" s="19">
        <f>(G108-Settings!$D$19)/Settings!$E$19</f>
        <v>0.95752774504212768</v>
      </c>
      <c r="P108" s="19">
        <f>(H108-Settings!$D$20)/Settings!$E$20</f>
        <v>7.7003277403062521E-4</v>
      </c>
      <c r="Q108" s="19">
        <f>(I108-Settings!$D$21)/Settings!$E$21</f>
        <v>0.32743678124573478</v>
      </c>
      <c r="R108" s="19">
        <f>(J108-Settings!$D$22)/Settings!$E$22</f>
        <v>0.19955474740669929</v>
      </c>
      <c r="S108" s="19">
        <f>(K108-Settings!$D$23)/Settings!$E$23</f>
        <v>1.2470164948158813</v>
      </c>
      <c r="T108" s="19">
        <f>(L108-Settings!$D$24)/Settings!$E$24</f>
        <v>1.0475459226497514</v>
      </c>
      <c r="U108" s="19">
        <f>(M108-Settings!$D$25)/Settings!$E$25</f>
        <v>-0.196338956205481</v>
      </c>
      <c r="V108" s="31">
        <f>Settings!$B$18*(N108-F$6)^2</f>
        <v>6.428939489498787E-4</v>
      </c>
      <c r="W108" s="31">
        <f>Settings!$B$19*(O108-G$6)^2</f>
        <v>0.21063238973974002</v>
      </c>
      <c r="X108" s="31">
        <f>Settings!$B$20*(P108-H$6)^2</f>
        <v>2.650108122667021E-3</v>
      </c>
      <c r="Y108" s="31">
        <f>Settings!$B$21*(Q108-I$6)^2</f>
        <v>2.094501527044457E-3</v>
      </c>
      <c r="Z108" s="31">
        <f>Settings!$B$22*(R108-J$6)^2</f>
        <v>3.855738612049471E-2</v>
      </c>
      <c r="AA108" s="31">
        <f>Settings!$B$23*(S108-K$6)^2</f>
        <v>1.0067598212527793E-2</v>
      </c>
      <c r="AB108" s="31">
        <f>Settings!$B$24*(T108-L$6)^2</f>
        <v>0.42728376890146907</v>
      </c>
      <c r="AC108" s="31">
        <f>Settings!$B$25*(U108-M$6)^2</f>
        <v>5.0778816866146927</v>
      </c>
      <c r="AD108" s="19">
        <f t="shared" si="4"/>
        <v>2.4020429499048483</v>
      </c>
      <c r="AE108" s="15">
        <f t="shared" si="5"/>
        <v>0.9507721476310943</v>
      </c>
      <c r="AF108" s="33">
        <f t="shared" si="6"/>
        <v>0.63636445433804834</v>
      </c>
      <c r="AG108" s="47">
        <f t="shared" si="7"/>
        <v>3.7516747642685243E-3</v>
      </c>
      <c r="AH108" s="18">
        <v>-1.014552534723715</v>
      </c>
      <c r="AI108" s="46">
        <v>1</v>
      </c>
      <c r="AJ108" s="48"/>
      <c r="AK108" s="48"/>
      <c r="AL108" s="48"/>
      <c r="AM108" s="48"/>
      <c r="AN108" s="48"/>
      <c r="AO108" s="48"/>
      <c r="AP108" s="48"/>
      <c r="AQ108" s="48"/>
    </row>
    <row r="109" spans="1:43" ht="20" customHeight="1" x14ac:dyDescent="0.45">
      <c r="A109" s="26">
        <v>99</v>
      </c>
      <c r="B109" s="16" t="s">
        <v>412</v>
      </c>
      <c r="C109" s="16" t="s">
        <v>220</v>
      </c>
      <c r="D109" s="46">
        <v>29</v>
      </c>
      <c r="E109" s="46">
        <v>1</v>
      </c>
      <c r="F109" s="13">
        <v>0.24602557310644549</v>
      </c>
      <c r="G109" s="13">
        <v>-0.26949896727206812</v>
      </c>
      <c r="H109" s="13">
        <v>0.12400739741770531</v>
      </c>
      <c r="I109" s="13">
        <v>-0.21039449903865701</v>
      </c>
      <c r="J109" s="13">
        <v>-0.15007356316512391</v>
      </c>
      <c r="K109" s="13">
        <v>14.487999999999969</v>
      </c>
      <c r="L109" s="13">
        <v>0.33085010228222977</v>
      </c>
      <c r="M109" s="13">
        <v>-3.5637078268973892</v>
      </c>
      <c r="N109" s="19">
        <f>(F109-Settings!$D$18)/Settings!$E$18</f>
        <v>0.19220012145105217</v>
      </c>
      <c r="O109" s="19">
        <f>(G109-Settings!$D$19)/Settings!$E$19</f>
        <v>-1.0950960601923254</v>
      </c>
      <c r="P109" s="19">
        <f>(H109-Settings!$D$20)/Settings!$E$20</f>
        <v>0.64218825622507514</v>
      </c>
      <c r="Q109" s="19">
        <f>(I109-Settings!$D$21)/Settings!$E$21</f>
        <v>-2.551076736068433</v>
      </c>
      <c r="R109" s="19">
        <f>(J109-Settings!$D$22)/Settings!$E$22</f>
        <v>-1.0706622941391324</v>
      </c>
      <c r="S109" s="19">
        <f>(K109-Settings!$D$23)/Settings!$E$23</f>
        <v>-0.26643494356099168</v>
      </c>
      <c r="T109" s="19">
        <f>(L109-Settings!$D$24)/Settings!$E$24</f>
        <v>-0.67574239917042145</v>
      </c>
      <c r="U109" s="19">
        <f>(M109-Settings!$D$25)/Settings!$E$25</f>
        <v>-2.3674339912503739</v>
      </c>
      <c r="V109" s="31">
        <f>Settings!$B$18*(N109-F$6)^2</f>
        <v>5.5883315224235286E-2</v>
      </c>
      <c r="W109" s="31">
        <f>Settings!$B$19*(O109-G$6)^2</f>
        <v>0.21069406109855185</v>
      </c>
      <c r="X109" s="31">
        <f>Settings!$B$20*(P109-H$6)^2</f>
        <v>5.5399860252896928E-2</v>
      </c>
      <c r="Y109" s="31">
        <f>Settings!$B$21*(Q109-I$6)^2</f>
        <v>1.7770918994359441</v>
      </c>
      <c r="Z109" s="31">
        <f>Settings!$B$22*(R109-J$6)^2</f>
        <v>0.58433591503492044</v>
      </c>
      <c r="AA109" s="31">
        <f>Settings!$B$23*(S109-K$6)^2</f>
        <v>1.996891223859308</v>
      </c>
      <c r="AB109" s="31">
        <f>Settings!$B$24*(T109-L$6)^2</f>
        <v>1.1440844998011386</v>
      </c>
      <c r="AC109" s="31">
        <f>Settings!$B$25*(U109-M$6)^2</f>
        <v>6.7766688495092924E-3</v>
      </c>
      <c r="AD109" s="19">
        <f t="shared" si="4"/>
        <v>2.4147789637058925</v>
      </c>
      <c r="AE109" s="15">
        <f t="shared" si="5"/>
        <v>0.95581329279228211</v>
      </c>
      <c r="AF109" s="33">
        <f t="shared" si="6"/>
        <v>0.63331362250584833</v>
      </c>
      <c r="AG109" s="47">
        <f t="shared" si="7"/>
        <v>3.7336886421385608E-3</v>
      </c>
      <c r="AH109" s="48"/>
      <c r="AI109" s="48"/>
      <c r="AJ109" s="48"/>
      <c r="AK109" s="48"/>
      <c r="AL109" s="48"/>
      <c r="AM109" s="48"/>
      <c r="AN109" s="48"/>
      <c r="AO109" s="48"/>
      <c r="AP109" s="48"/>
      <c r="AQ109" s="48"/>
    </row>
    <row r="110" spans="1:43" ht="20" customHeight="1" x14ac:dyDescent="0.45">
      <c r="A110" s="26">
        <v>100</v>
      </c>
      <c r="B110" s="16" t="s">
        <v>235</v>
      </c>
      <c r="C110" s="16" t="s">
        <v>260</v>
      </c>
      <c r="D110" s="46">
        <v>29</v>
      </c>
      <c r="E110" s="46">
        <v>1</v>
      </c>
      <c r="F110" s="13">
        <v>0.1787658284071541</v>
      </c>
      <c r="G110" s="13">
        <v>1.752168730636755E-2</v>
      </c>
      <c r="H110" s="13">
        <v>0.1701732125507697</v>
      </c>
      <c r="I110" s="13">
        <v>1.152850483144314E-4</v>
      </c>
      <c r="J110" s="13">
        <v>0.6334239866873943</v>
      </c>
      <c r="K110" s="13">
        <v>19.558558558558591</v>
      </c>
      <c r="L110" s="13">
        <v>4.3433680043035583</v>
      </c>
      <c r="M110" s="13">
        <v>-1.3605802320678131</v>
      </c>
      <c r="N110" s="19">
        <f>(F110-Settings!$D$18)/Settings!$E$18</f>
        <v>-4.851831196634545E-2</v>
      </c>
      <c r="O110" s="19">
        <f>(G110-Settings!$D$19)/Settings!$E$19</f>
        <v>0.10066856936935875</v>
      </c>
      <c r="P110" s="19">
        <f>(H110-Settings!$D$20)/Settings!$E$20</f>
        <v>1.0604594189324132</v>
      </c>
      <c r="Q110" s="19">
        <f>(I110-Settings!$D$21)/Settings!$E$21</f>
        <v>3.7626820107130053E-2</v>
      </c>
      <c r="R110" s="19">
        <f>(J110-Settings!$D$22)/Settings!$E$22</f>
        <v>1.0373747512619613</v>
      </c>
      <c r="S110" s="19">
        <f>(K110-Settings!$D$23)/Settings!$E$23</f>
        <v>1.4944534147432689</v>
      </c>
      <c r="T110" s="19">
        <f>(L110-Settings!$D$24)/Settings!$E$24</f>
        <v>2.0983307047361719</v>
      </c>
      <c r="U110" s="19">
        <f>(M110-Settings!$D$25)/Settings!$E$25</f>
        <v>-0.88162020395771357</v>
      </c>
      <c r="V110" s="31">
        <f>Settings!$B$18*(N110-F$6)^2</f>
        <v>0.11836976758270082</v>
      </c>
      <c r="W110" s="31">
        <f>Settings!$B$19*(O110-G$6)^2</f>
        <v>5.737755232156052E-3</v>
      </c>
      <c r="X110" s="31">
        <f>Settings!$B$20*(P110-H$6)^2</f>
        <v>0.17844566832206799</v>
      </c>
      <c r="Y110" s="31">
        <f>Settings!$B$21*(Q110-I$6)^2</f>
        <v>3.0755576575333649E-2</v>
      </c>
      <c r="Z110" s="31">
        <f>Settings!$B$22*(R110-J$6)^2</f>
        <v>3.1799502001783546E-2</v>
      </c>
      <c r="AA110" s="31">
        <f>Settings!$B$23*(S110-K$6)^2</f>
        <v>0.12094699276064816</v>
      </c>
      <c r="AB110" s="31">
        <f>Settings!$B$24*(T110-L$6)^2</f>
        <v>2.9051642789196528</v>
      </c>
      <c r="AC110" s="31">
        <f>Settings!$B$25*(U110-M$6)^2</f>
        <v>2.4590452216416643</v>
      </c>
      <c r="AD110" s="19">
        <f t="shared" si="4"/>
        <v>2.4187320568917938</v>
      </c>
      <c r="AE110" s="15">
        <f t="shared" si="5"/>
        <v>0.9573779987432286</v>
      </c>
      <c r="AF110" s="33">
        <f t="shared" si="6"/>
        <v>0.63236639351781099</v>
      </c>
      <c r="AG110" s="47">
        <f t="shared" si="7"/>
        <v>3.7281042713174406E-3</v>
      </c>
      <c r="AH110" s="18">
        <v>-1.9216071664489061</v>
      </c>
      <c r="AI110" s="46">
        <v>1</v>
      </c>
      <c r="AJ110" s="18">
        <v>9.0991419878508673E-2</v>
      </c>
      <c r="AK110" s="46">
        <v>1</v>
      </c>
      <c r="AL110" s="18">
        <v>2.8248703092689689</v>
      </c>
      <c r="AM110" s="46">
        <v>1</v>
      </c>
      <c r="AN110" s="18">
        <v>0.52581318329488447</v>
      </c>
      <c r="AO110" s="46">
        <v>1</v>
      </c>
      <c r="AP110" s="18">
        <v>-1.5370733466672031</v>
      </c>
      <c r="AQ110" s="46">
        <v>1</v>
      </c>
    </row>
    <row r="111" spans="1:43" ht="20" customHeight="1" x14ac:dyDescent="0.45">
      <c r="A111" s="26">
        <v>101</v>
      </c>
      <c r="B111" s="16" t="s">
        <v>640</v>
      </c>
      <c r="C111" s="16" t="s">
        <v>216</v>
      </c>
      <c r="D111" s="46">
        <v>29</v>
      </c>
      <c r="E111" s="46">
        <v>1</v>
      </c>
      <c r="F111" s="13">
        <v>0.27854025182516468</v>
      </c>
      <c r="G111" s="13">
        <v>-0.40763822213854362</v>
      </c>
      <c r="H111" s="13">
        <v>1.9639592809096731E-2</v>
      </c>
      <c r="I111" s="13">
        <v>2.6668269479664782E-2</v>
      </c>
      <c r="J111" s="13">
        <v>-0.26751366374753022</v>
      </c>
      <c r="K111" s="13">
        <v>15.842517006802719</v>
      </c>
      <c r="L111" s="13">
        <v>-0.72915588352947924</v>
      </c>
      <c r="M111" s="13">
        <v>-2.860773863896088</v>
      </c>
      <c r="N111" s="19">
        <f>(F111-Settings!$D$18)/Settings!$E$18</f>
        <v>0.30856812967399361</v>
      </c>
      <c r="O111" s="19">
        <f>(G111-Settings!$D$19)/Settings!$E$19</f>
        <v>-1.670601802683056</v>
      </c>
      <c r="P111" s="19">
        <f>(H111-Settings!$D$20)/Settings!$E$20</f>
        <v>-0.30340412326677019</v>
      </c>
      <c r="Q111" s="19">
        <f>(I111-Settings!$D$21)/Settings!$E$21</f>
        <v>0.36415703590038845</v>
      </c>
      <c r="R111" s="19">
        <f>(J111-Settings!$D$22)/Settings!$E$22</f>
        <v>-1.3866404139047197</v>
      </c>
      <c r="S111" s="19">
        <f>(K111-Settings!$D$23)/Settings!$E$23</f>
        <v>0.20395765734452054</v>
      </c>
      <c r="T111" s="19">
        <f>(L111-Settings!$D$24)/Settings!$E$24</f>
        <v>-1.4085825177749878</v>
      </c>
      <c r="U111" s="19">
        <f>(M111-Settings!$D$25)/Settings!$E$25</f>
        <v>-1.8933674976733668</v>
      </c>
      <c r="V111" s="31">
        <f>Settings!$B$18*(N111-F$6)^2</f>
        <v>3.3986827163673163E-2</v>
      </c>
      <c r="W111" s="31">
        <f>Settings!$B$19*(O111-G$6)^2</f>
        <v>0.51321208159121434</v>
      </c>
      <c r="X111" s="31">
        <f>Settings!$B$20*(P111-H$6)^2</f>
        <v>3.5160007171217596E-2</v>
      </c>
      <c r="Y111" s="31">
        <f>Settings!$B$21*(Q111-I$6)^2</f>
        <v>8.6106606689305984E-4</v>
      </c>
      <c r="Z111" s="31">
        <f>Settings!$B$22*(R111-J$6)^2</f>
        <v>0.82034391442764454</v>
      </c>
      <c r="AA111" s="31">
        <f>Settings!$B$23*(S111-K$6)^2</f>
        <v>0.88872366757427756</v>
      </c>
      <c r="AB111" s="31">
        <f>Settings!$B$24*(T111-L$6)^2</f>
        <v>3.2488583596662317</v>
      </c>
      <c r="AC111" s="31">
        <f>Settings!$B$25*(U111-M$6)^2</f>
        <v>0.30956651453045447</v>
      </c>
      <c r="AD111" s="19">
        <f t="shared" si="4"/>
        <v>2.4188245984757981</v>
      </c>
      <c r="AE111" s="15">
        <f t="shared" si="5"/>
        <v>0.95741462837991864</v>
      </c>
      <c r="AF111" s="33">
        <f t="shared" si="6"/>
        <v>0.63234421739956514</v>
      </c>
      <c r="AG111" s="47">
        <f t="shared" si="7"/>
        <v>3.7279735324261885E-3</v>
      </c>
      <c r="AH111" s="18">
        <v>-0.49408040945489679</v>
      </c>
      <c r="AI111" s="46">
        <v>1</v>
      </c>
      <c r="AJ111" s="18">
        <v>1.2198984540040341</v>
      </c>
      <c r="AK111" s="46">
        <v>1</v>
      </c>
      <c r="AL111" s="48"/>
      <c r="AM111" s="48"/>
      <c r="AN111" s="48"/>
      <c r="AO111" s="48"/>
      <c r="AP111" s="48"/>
      <c r="AQ111" s="48"/>
    </row>
    <row r="112" spans="1:43" ht="20" customHeight="1" x14ac:dyDescent="0.45">
      <c r="A112" s="26">
        <v>102</v>
      </c>
      <c r="B112" s="16" t="s">
        <v>428</v>
      </c>
      <c r="C112" s="16" t="s">
        <v>258</v>
      </c>
      <c r="D112" s="46">
        <v>29</v>
      </c>
      <c r="E112" s="46">
        <v>0</v>
      </c>
      <c r="F112" s="13">
        <v>0.52510930371494247</v>
      </c>
      <c r="G112" s="13">
        <v>-0.17046609580275821</v>
      </c>
      <c r="H112" s="13">
        <v>-3.4596378733599033E-2</v>
      </c>
      <c r="I112" s="13">
        <v>1.7722758108636209E-2</v>
      </c>
      <c r="J112" s="13">
        <v>0.25210546364006409</v>
      </c>
      <c r="K112" s="13">
        <v>16.662962962962961</v>
      </c>
      <c r="L112" s="13">
        <v>1.534897609212331</v>
      </c>
      <c r="M112" s="13">
        <v>-0.3665694278435101</v>
      </c>
      <c r="N112" s="19">
        <f>(F112-Settings!$D$18)/Settings!$E$18</f>
        <v>1.1910233956801646</v>
      </c>
      <c r="O112" s="19">
        <f>(G112-Settings!$D$19)/Settings!$E$19</f>
        <v>-0.68251249528874802</v>
      </c>
      <c r="P112" s="19">
        <f>(H112-Settings!$D$20)/Settings!$E$20</f>
        <v>-0.79479245492167927</v>
      </c>
      <c r="Q112" s="19">
        <f>(I112-Settings!$D$21)/Settings!$E$21</f>
        <v>0.25415133142242818</v>
      </c>
      <c r="R112" s="19">
        <f>(J112-Settings!$D$22)/Settings!$E$22</f>
        <v>1.1419312304031445E-2</v>
      </c>
      <c r="S112" s="19">
        <f>(K112-Settings!$D$23)/Settings!$E$23</f>
        <v>0.48887966665291088</v>
      </c>
      <c r="T112" s="19">
        <f>(L112-Settings!$D$24)/Settings!$E$24</f>
        <v>0.15668150182151647</v>
      </c>
      <c r="U112" s="19">
        <f>(M112-Settings!$D$25)/Settings!$E$25</f>
        <v>-0.21124824679080151</v>
      </c>
      <c r="V112" s="31">
        <f>Settings!$B$18*(N112-F$6)^2</f>
        <v>4.4222231735619198E-2</v>
      </c>
      <c r="W112" s="31">
        <f>Settings!$B$19*(O112-G$6)^2</f>
        <v>7.5350935181543705E-2</v>
      </c>
      <c r="X112" s="31">
        <f>Settings!$B$20*(P112-H$6)^2</f>
        <v>0.1658652375364161</v>
      </c>
      <c r="Y112" s="31">
        <f>Settings!$B$21*(Q112-I$6)^2</f>
        <v>6.168527497477567E-3</v>
      </c>
      <c r="Z112" s="31">
        <f>Settings!$B$22*(R112-J$6)^2</f>
        <v>7.8678607401119025E-2</v>
      </c>
      <c r="AA112" s="31">
        <f>Settings!$B$23*(S112-K$6)^2</f>
        <v>0.43270005901766051</v>
      </c>
      <c r="AB112" s="31">
        <f>Settings!$B$24*(T112-L$6)^2</f>
        <v>5.6261447277888114E-2</v>
      </c>
      <c r="AC112" s="31">
        <f>Settings!$B$25*(U112-M$6)^2</f>
        <v>5.0109103187696693</v>
      </c>
      <c r="AD112" s="19">
        <f t="shared" si="4"/>
        <v>2.4228407633225495</v>
      </c>
      <c r="AE112" s="15">
        <f t="shared" si="5"/>
        <v>0.95900429923769315</v>
      </c>
      <c r="AF112" s="33">
        <f t="shared" si="6"/>
        <v>0.63138174010030812</v>
      </c>
      <c r="AG112" s="47">
        <f t="shared" si="7"/>
        <v>3.7222992654708477E-3</v>
      </c>
      <c r="AH112" s="18">
        <v>-1.304634470099272</v>
      </c>
      <c r="AI112" s="46">
        <v>0</v>
      </c>
      <c r="AJ112" s="18">
        <v>0.17709396683148029</v>
      </c>
      <c r="AK112" s="46">
        <v>0</v>
      </c>
      <c r="AL112" s="18">
        <v>0.63546403160112175</v>
      </c>
      <c r="AM112" s="46">
        <v>0</v>
      </c>
      <c r="AN112" s="18">
        <v>-0.80285715417904002</v>
      </c>
      <c r="AO112" s="46">
        <v>0</v>
      </c>
      <c r="AP112" s="18">
        <v>-0.32344400336080592</v>
      </c>
      <c r="AQ112" s="46">
        <v>0</v>
      </c>
    </row>
    <row r="113" spans="1:43" ht="20" customHeight="1" x14ac:dyDescent="0.45">
      <c r="A113" s="26">
        <v>103</v>
      </c>
      <c r="B113" s="16" t="s">
        <v>807</v>
      </c>
      <c r="C113" s="16" t="s">
        <v>227</v>
      </c>
      <c r="D113" s="46">
        <v>29</v>
      </c>
      <c r="E113" s="46">
        <v>0</v>
      </c>
      <c r="F113" s="13">
        <v>0.2059021582745876</v>
      </c>
      <c r="G113" s="13">
        <v>0.23072459106067261</v>
      </c>
      <c r="H113" s="13">
        <v>0.16755208596842661</v>
      </c>
      <c r="I113" s="13">
        <v>1.069657694034952E-4</v>
      </c>
      <c r="J113" s="13">
        <v>0.39571419892690951</v>
      </c>
      <c r="K113" s="13">
        <v>15.52892473118284</v>
      </c>
      <c r="L113" s="13">
        <v>0.83686154366569321</v>
      </c>
      <c r="M113" s="13">
        <v>-0.8064599584939125</v>
      </c>
      <c r="N113" s="19">
        <f>(F113-Settings!$D$18)/Settings!$E$18</f>
        <v>4.8600920995226435E-2</v>
      </c>
      <c r="O113" s="19">
        <f>(G113-Settings!$D$19)/Settings!$E$19</f>
        <v>0.98889904046102373</v>
      </c>
      <c r="P113" s="19">
        <f>(H113-Settings!$D$20)/Settings!$E$20</f>
        <v>1.0367115080585392</v>
      </c>
      <c r="Q113" s="19">
        <f>(I113-Settings!$D$21)/Settings!$E$21</f>
        <v>3.752451537580858E-2</v>
      </c>
      <c r="R113" s="19">
        <f>(J113-Settings!$D$22)/Settings!$E$22</f>
        <v>0.39780537577653918</v>
      </c>
      <c r="S113" s="19">
        <f>(K113-Settings!$D$23)/Settings!$E$23</f>
        <v>9.5054273029764394E-2</v>
      </c>
      <c r="T113" s="19">
        <f>(L113-Settings!$D$24)/Settings!$E$24</f>
        <v>-0.32590901173463083</v>
      </c>
      <c r="U113" s="19">
        <f>(M113-Settings!$D$25)/Settings!$E$25</f>
        <v>-0.50791531994341732</v>
      </c>
      <c r="V113" s="31">
        <f>Settings!$B$18*(N113-F$6)^2</f>
        <v>9.0370001054072502E-2</v>
      </c>
      <c r="W113" s="31">
        <f>Settings!$B$19*(O113-G$6)^2</f>
        <v>0.22370697237576762</v>
      </c>
      <c r="X113" s="31">
        <f>Settings!$B$20*(P113-H$6)^2</f>
        <v>0.16958575557463207</v>
      </c>
      <c r="Y113" s="31">
        <f>Settings!$B$21*(Q113-I$6)^2</f>
        <v>3.077162599361935E-2</v>
      </c>
      <c r="Z113" s="31">
        <f>Settings!$B$22*(R113-J$6)^2</f>
        <v>1.1599283818959503E-2</v>
      </c>
      <c r="AA113" s="31">
        <f>Settings!$B$23*(S113-K$6)^2</f>
        <v>1.1059147199557273</v>
      </c>
      <c r="AB113" s="31">
        <f>Settings!$B$24*(T113-L$6)^2</f>
        <v>0.51809112256665968</v>
      </c>
      <c r="AC113" s="31">
        <f>Settings!$B$25*(U113-M$6)^2</f>
        <v>3.7707394646262133</v>
      </c>
      <c r="AD113" s="19">
        <f t="shared" si="4"/>
        <v>2.433265079264002</v>
      </c>
      <c r="AE113" s="15">
        <f t="shared" si="5"/>
        <v>0.96313043247591534</v>
      </c>
      <c r="AF113" s="33">
        <f t="shared" si="6"/>
        <v>0.62888295858299026</v>
      </c>
      <c r="AG113" s="47">
        <f t="shared" si="7"/>
        <v>3.7075677456695202E-3</v>
      </c>
      <c r="AH113" s="18">
        <v>-0.85674248556426869</v>
      </c>
      <c r="AI113" s="46">
        <v>0</v>
      </c>
      <c r="AJ113" s="18">
        <v>-0.44390734949079003</v>
      </c>
      <c r="AK113" s="46">
        <v>0</v>
      </c>
      <c r="AL113" s="18">
        <v>0.49452417682530547</v>
      </c>
      <c r="AM113" s="46">
        <v>0</v>
      </c>
      <c r="AN113" s="18">
        <v>0.92592441559545646</v>
      </c>
      <c r="AO113" s="46">
        <v>1</v>
      </c>
      <c r="AP113" s="18">
        <v>0.16744593466228211</v>
      </c>
      <c r="AQ113" s="46">
        <v>1</v>
      </c>
    </row>
    <row r="114" spans="1:43" ht="20" customHeight="1" x14ac:dyDescent="0.45">
      <c r="A114" s="26">
        <v>104</v>
      </c>
      <c r="B114" s="16" t="s">
        <v>520</v>
      </c>
      <c r="C114" s="16" t="s">
        <v>246</v>
      </c>
      <c r="D114" s="46">
        <v>29</v>
      </c>
      <c r="E114" s="46">
        <v>1</v>
      </c>
      <c r="F114" s="13">
        <v>-0.1215290419199743</v>
      </c>
      <c r="G114" s="13">
        <v>0.1198875886904846</v>
      </c>
      <c r="H114" s="13">
        <v>0.1110011985330554</v>
      </c>
      <c r="I114" s="13">
        <v>3.9891469366252423E-2</v>
      </c>
      <c r="J114" s="13">
        <v>0.6076907014902333</v>
      </c>
      <c r="K114" s="13">
        <v>16.43618143459911</v>
      </c>
      <c r="L114" s="13">
        <v>1.824408650569064</v>
      </c>
      <c r="M114" s="13">
        <v>-0.49458123720935171</v>
      </c>
      <c r="N114" s="19">
        <f>(F114-Settings!$D$18)/Settings!$E$18</f>
        <v>-1.1232549329810322</v>
      </c>
      <c r="O114" s="19">
        <f>(G114-Settings!$D$19)/Settings!$E$19</f>
        <v>0.52713796171365146</v>
      </c>
      <c r="P114" s="19">
        <f>(H114-Settings!$D$20)/Settings!$E$20</f>
        <v>0.52434959326190045</v>
      </c>
      <c r="Q114" s="19">
        <f>(I114-Settings!$D$21)/Settings!$E$21</f>
        <v>0.52676679163643214</v>
      </c>
      <c r="R114" s="19">
        <f>(J114-Settings!$D$22)/Settings!$E$22</f>
        <v>0.96813813590088182</v>
      </c>
      <c r="S114" s="19">
        <f>(K114-Settings!$D$23)/Settings!$E$23</f>
        <v>0.41012365810621726</v>
      </c>
      <c r="T114" s="19">
        <f>(L114-Settings!$D$24)/Settings!$E$24</f>
        <v>0.35683632049712255</v>
      </c>
      <c r="U114" s="19">
        <f>(M114-Settings!$D$25)/Settings!$E$25</f>
        <v>-0.29758083675900093</v>
      </c>
      <c r="V114" s="31">
        <f>Settings!$B$18*(N114-F$6)^2</f>
        <v>0.68010684320441694</v>
      </c>
      <c r="W114" s="31">
        <f>Settings!$B$19*(O114-G$6)^2</f>
        <v>7.1006731019534419E-2</v>
      </c>
      <c r="X114" s="31">
        <f>Settings!$B$20*(P114-H$6)^2</f>
        <v>3.3369314193327969E-2</v>
      </c>
      <c r="Y114" s="31">
        <f>Settings!$B$21*(Q114-I$6)^2</f>
        <v>1.8815959043996426E-3</v>
      </c>
      <c r="Z114" s="31">
        <f>Settings!$B$22*(R114-J$6)^2</f>
        <v>2.1715144364084615E-2</v>
      </c>
      <c r="AA114" s="31">
        <f>Settings!$B$23*(S114-K$6)^2</f>
        <v>0.54251387923967198</v>
      </c>
      <c r="AB114" s="31">
        <f>Settings!$B$24*(T114-L$6)^2</f>
        <v>1.3719717926932099E-3</v>
      </c>
      <c r="AC114" s="31">
        <f>Settings!$B$25*(U114-M$6)^2</f>
        <v>4.631851547041415</v>
      </c>
      <c r="AD114" s="19">
        <f t="shared" si="4"/>
        <v>2.4461841767862746</v>
      </c>
      <c r="AE114" s="15">
        <f t="shared" si="5"/>
        <v>0.96824404549319854</v>
      </c>
      <c r="AF114" s="33">
        <f t="shared" si="6"/>
        <v>0.62578509482982514</v>
      </c>
      <c r="AG114" s="47">
        <f t="shared" si="7"/>
        <v>3.6893043477272494E-3</v>
      </c>
      <c r="AH114" s="18">
        <v>-1.257905609103269</v>
      </c>
      <c r="AI114" s="46">
        <v>1</v>
      </c>
      <c r="AJ114" s="48"/>
      <c r="AK114" s="48"/>
      <c r="AL114" s="48"/>
      <c r="AM114" s="48"/>
      <c r="AN114" s="48"/>
      <c r="AO114" s="48"/>
      <c r="AP114" s="48"/>
      <c r="AQ114" s="48"/>
    </row>
    <row r="115" spans="1:43" ht="20" customHeight="1" x14ac:dyDescent="0.45">
      <c r="A115" s="26">
        <v>105</v>
      </c>
      <c r="B115" s="16" t="s">
        <v>751</v>
      </c>
      <c r="C115" s="16" t="s">
        <v>210</v>
      </c>
      <c r="D115" s="46">
        <v>29</v>
      </c>
      <c r="E115" s="46">
        <v>0</v>
      </c>
      <c r="F115" s="13">
        <v>0.23959065720239089</v>
      </c>
      <c r="G115" s="13">
        <v>-3.2292956784645971E-3</v>
      </c>
      <c r="H115" s="13">
        <v>-3.3029729226630312E-2</v>
      </c>
      <c r="I115" s="13">
        <v>7.9270358072168215E-2</v>
      </c>
      <c r="J115" s="13">
        <v>0.64487995982034585</v>
      </c>
      <c r="K115" s="13">
        <v>16.89618736383445</v>
      </c>
      <c r="L115" s="13">
        <v>3.2266929127227271</v>
      </c>
      <c r="M115" s="13">
        <v>-0.55576981853286034</v>
      </c>
      <c r="N115" s="19">
        <f>(F115-Settings!$D$18)/Settings!$E$18</f>
        <v>0.16916995857246725</v>
      </c>
      <c r="O115" s="19">
        <f>(G115-Settings!$D$19)/Settings!$E$19</f>
        <v>1.4217329411233158E-2</v>
      </c>
      <c r="P115" s="19">
        <f>(H115-Settings!$D$20)/Settings!$E$20</f>
        <v>-0.78059830912470918</v>
      </c>
      <c r="Q115" s="19">
        <f>(I115-Settings!$D$21)/Settings!$E$21</f>
        <v>1.0110210968383682</v>
      </c>
      <c r="R115" s="19">
        <f>(J115-Settings!$D$22)/Settings!$E$22</f>
        <v>1.0681975863300828</v>
      </c>
      <c r="S115" s="19">
        <f>(K115-Settings!$D$23)/Settings!$E$23</f>
        <v>0.56987313662751515</v>
      </c>
      <c r="T115" s="19">
        <f>(L115-Settings!$D$24)/Settings!$E$24</f>
        <v>1.3263121336049843</v>
      </c>
      <c r="U115" s="19">
        <f>(M115-Settings!$D$25)/Settings!$E$25</f>
        <v>-0.33884709749156644</v>
      </c>
      <c r="V115" s="31">
        <f>Settings!$B$18*(N115-F$6)^2</f>
        <v>6.0858878485082826E-2</v>
      </c>
      <c r="W115" s="31">
        <f>Settings!$B$19*(O115-G$6)^2</f>
        <v>1.3753567059154495E-3</v>
      </c>
      <c r="X115" s="31">
        <f>Settings!$B$20*(P115-H$6)^2</f>
        <v>0.16073503943039583</v>
      </c>
      <c r="Y115" s="31">
        <f>Settings!$B$21*(Q115-I$6)^2</f>
        <v>6.7570090430926599E-2</v>
      </c>
      <c r="Z115" s="31">
        <f>Settings!$B$22*(R115-J$6)^2</f>
        <v>3.6905690976662374E-2</v>
      </c>
      <c r="AA115" s="31">
        <f>Settings!$B$23*(S115-K$6)^2</f>
        <v>0.33270508825828271</v>
      </c>
      <c r="AB115" s="31">
        <f>Settings!$B$24*(T115-L$6)^2</f>
        <v>0.86943628897827319</v>
      </c>
      <c r="AC115" s="31">
        <f>Settings!$B$25*(U115-M$6)^2</f>
        <v>4.4559301309103168</v>
      </c>
      <c r="AD115" s="19">
        <f t="shared" si="4"/>
        <v>2.4465315375395953</v>
      </c>
      <c r="AE115" s="15">
        <f t="shared" si="5"/>
        <v>0.96838153717687159</v>
      </c>
      <c r="AF115" s="33">
        <f t="shared" si="6"/>
        <v>0.62570178650450592</v>
      </c>
      <c r="AG115" s="47">
        <f t="shared" si="7"/>
        <v>3.6888132050500884E-3</v>
      </c>
      <c r="AH115" s="18">
        <v>-0.70417572313724541</v>
      </c>
      <c r="AI115" s="46">
        <v>0</v>
      </c>
      <c r="AJ115" s="18">
        <v>-0.72787924584325592</v>
      </c>
      <c r="AK115" s="46">
        <v>0</v>
      </c>
      <c r="AL115" s="18">
        <v>-1.228216210274385</v>
      </c>
      <c r="AM115" s="46">
        <v>0</v>
      </c>
      <c r="AN115" s="18">
        <v>0.13363720639734661</v>
      </c>
      <c r="AO115" s="46">
        <v>0</v>
      </c>
      <c r="AP115" s="18">
        <v>-7.0976954468152109E-2</v>
      </c>
      <c r="AQ115" s="46">
        <v>0</v>
      </c>
    </row>
    <row r="116" spans="1:43" ht="20" customHeight="1" x14ac:dyDescent="0.45">
      <c r="A116" s="26">
        <v>106</v>
      </c>
      <c r="B116" s="16" t="s">
        <v>257</v>
      </c>
      <c r="C116" s="16" t="s">
        <v>232</v>
      </c>
      <c r="D116" s="46">
        <v>29</v>
      </c>
      <c r="E116" s="46">
        <v>0</v>
      </c>
      <c r="F116" s="13">
        <v>0.1453025635545169</v>
      </c>
      <c r="G116" s="13">
        <v>9.6637645845455186E-2</v>
      </c>
      <c r="H116" s="13">
        <v>0.19508299405518351</v>
      </c>
      <c r="I116" s="13">
        <v>3.0998599459186539E-4</v>
      </c>
      <c r="J116" s="13">
        <v>0.56266681055025258</v>
      </c>
      <c r="K116" s="13">
        <v>18.43815789473684</v>
      </c>
      <c r="L116" s="13">
        <v>2.7838394196741949</v>
      </c>
      <c r="M116" s="13">
        <v>-0.30707896203233093</v>
      </c>
      <c r="N116" s="19">
        <f>(F116-Settings!$D$18)/Settings!$E$18</f>
        <v>-0.16828125082928699</v>
      </c>
      <c r="O116" s="19">
        <f>(G116-Settings!$D$19)/Settings!$E$19</f>
        <v>0.43027573646979028</v>
      </c>
      <c r="P116" s="19">
        <f>(H116-Settings!$D$20)/Settings!$E$20</f>
        <v>1.2861468294678053</v>
      </c>
      <c r="Q116" s="19">
        <f>(I116-Settings!$D$21)/Settings!$E$21</f>
        <v>4.0021117522830718E-2</v>
      </c>
      <c r="R116" s="19">
        <f>(J116-Settings!$D$22)/Settings!$E$22</f>
        <v>0.84699923757574502</v>
      </c>
      <c r="S116" s="19">
        <f>(K116-Settings!$D$23)/Settings!$E$23</f>
        <v>1.1053640347912281</v>
      </c>
      <c r="T116" s="19">
        <f>(L116-Settings!$D$24)/Settings!$E$24</f>
        <v>1.0201432904907515</v>
      </c>
      <c r="U116" s="19">
        <f>(M116-Settings!$D$25)/Settings!$E$25</f>
        <v>-0.17112721407251716</v>
      </c>
      <c r="V116" s="31">
        <f>Settings!$B$18*(N116-F$6)^2</f>
        <v>0.15809267178258449</v>
      </c>
      <c r="W116" s="31">
        <f>Settings!$B$19*(O116-G$6)^2</f>
        <v>4.9797162375443765E-2</v>
      </c>
      <c r="X116" s="31">
        <f>Settings!$B$20*(P116-H$6)^2</f>
        <v>0.27390441045442804</v>
      </c>
      <c r="Y116" s="31">
        <f>Settings!$B$21*(Q116-I$6)^2</f>
        <v>3.0381158181260429E-2</v>
      </c>
      <c r="Z116" s="31">
        <f>Settings!$B$22*(R116-J$6)^2</f>
        <v>8.6835617703314959E-3</v>
      </c>
      <c r="AA116" s="31">
        <f>Settings!$B$23*(S116-K$6)^2</f>
        <v>1.7069323838929738E-3</v>
      </c>
      <c r="AB116" s="31">
        <f>Settings!$B$24*(T116-L$6)^2</f>
        <v>0.39221014536875543</v>
      </c>
      <c r="AC116" s="31">
        <f>Settings!$B$25*(U116-M$6)^2</f>
        <v>5.1921423825966437</v>
      </c>
      <c r="AD116" s="19">
        <f t="shared" si="4"/>
        <v>2.4712180043276919</v>
      </c>
      <c r="AE116" s="15">
        <f t="shared" si="5"/>
        <v>0.97815288828717217</v>
      </c>
      <c r="AF116" s="33">
        <f t="shared" si="6"/>
        <v>0.61977948322180088</v>
      </c>
      <c r="AG116" s="47">
        <f t="shared" si="7"/>
        <v>3.6538983765730939E-3</v>
      </c>
      <c r="AH116" s="18">
        <v>1.3086621442753119</v>
      </c>
      <c r="AI116" s="46">
        <v>0</v>
      </c>
      <c r="AJ116" s="18">
        <v>-2.7335167995818921E-2</v>
      </c>
      <c r="AK116" s="46">
        <v>0</v>
      </c>
      <c r="AL116" s="18">
        <v>-1.342308528063747</v>
      </c>
      <c r="AM116" s="46">
        <v>1</v>
      </c>
      <c r="AN116" s="18">
        <v>-8.687621918489441E-2</v>
      </c>
      <c r="AO116" s="46">
        <v>1</v>
      </c>
      <c r="AP116" s="18">
        <v>0.59944254496621197</v>
      </c>
      <c r="AQ116" s="46">
        <v>1</v>
      </c>
    </row>
    <row r="117" spans="1:43" ht="20" customHeight="1" x14ac:dyDescent="0.45">
      <c r="A117" s="26">
        <v>107</v>
      </c>
      <c r="B117" s="16" t="s">
        <v>294</v>
      </c>
      <c r="C117" s="16" t="s">
        <v>236</v>
      </c>
      <c r="D117" s="46">
        <v>29</v>
      </c>
      <c r="E117" s="46">
        <v>0</v>
      </c>
      <c r="F117" s="13">
        <v>0.13634767831257361</v>
      </c>
      <c r="G117" s="13">
        <v>-0.14944095989764791</v>
      </c>
      <c r="H117" s="13">
        <v>0.40970616655274328</v>
      </c>
      <c r="I117" s="13">
        <v>6.1683314623307867E-2</v>
      </c>
      <c r="J117" s="13">
        <v>0.24282188061372731</v>
      </c>
      <c r="K117" s="13">
        <v>17.883014861995729</v>
      </c>
      <c r="L117" s="13">
        <v>1.348895153850399</v>
      </c>
      <c r="M117" s="13">
        <v>-0.82833315845762223</v>
      </c>
      <c r="N117" s="19">
        <f>(F117-Settings!$D$18)/Settings!$E$18</f>
        <v>-0.20033022687745022</v>
      </c>
      <c r="O117" s="19">
        <f>(G117-Settings!$D$19)/Settings!$E$19</f>
        <v>-0.59491909932222942</v>
      </c>
      <c r="P117" s="19">
        <f>(H117-Settings!$D$20)/Settings!$E$20</f>
        <v>3.2306740439390453</v>
      </c>
      <c r="Q117" s="19">
        <f>(I117-Settings!$D$21)/Settings!$E$21</f>
        <v>0.79474781473823874</v>
      </c>
      <c r="R117" s="19">
        <f>(J117-Settings!$D$22)/Settings!$E$22</f>
        <v>-1.3558604904846252E-2</v>
      </c>
      <c r="S117" s="19">
        <f>(K117-Settings!$D$23)/Settings!$E$23</f>
        <v>0.9125756284927663</v>
      </c>
      <c r="T117" s="19">
        <f>(L117-Settings!$D$24)/Settings!$E$24</f>
        <v>2.8087830396351727E-2</v>
      </c>
      <c r="U117" s="19">
        <f>(M117-Settings!$D$25)/Settings!$E$25</f>
        <v>-0.52266684961176735</v>
      </c>
      <c r="V117" s="31">
        <f>Settings!$B$18*(N117-F$6)^2</f>
        <v>0.16969574141685051</v>
      </c>
      <c r="W117" s="31">
        <f>Settings!$B$19*(O117-G$6)^2</f>
        <v>5.5379404309058494E-2</v>
      </c>
      <c r="X117" s="31">
        <f>Settings!$B$20*(P117-H$6)^2</f>
        <v>1.9403871097220382</v>
      </c>
      <c r="Y117" s="31">
        <f>Settings!$B$21*(Q117-I$6)^2</f>
        <v>2.6641461480928521E-2</v>
      </c>
      <c r="Z117" s="31">
        <f>Settings!$B$22*(R117-J$6)^2</f>
        <v>8.5069951652010617E-2</v>
      </c>
      <c r="AA117" s="31">
        <f>Settings!$B$23*(S117-K$6)^2</f>
        <v>5.4804422739788097E-2</v>
      </c>
      <c r="AB117" s="31">
        <f>Settings!$B$24*(T117-L$6)^2</f>
        <v>0.13380132014796728</v>
      </c>
      <c r="AC117" s="31">
        <f>Settings!$B$25*(U117-M$6)^2</f>
        <v>3.713666875220424</v>
      </c>
      <c r="AD117" s="19">
        <f t="shared" si="4"/>
        <v>2.4858492083569885</v>
      </c>
      <c r="AE117" s="15">
        <f t="shared" si="5"/>
        <v>0.98394418409972795</v>
      </c>
      <c r="AF117" s="33">
        <f t="shared" si="6"/>
        <v>0.61626816418307384</v>
      </c>
      <c r="AG117" s="47">
        <f t="shared" si="7"/>
        <v>3.6331974607109866E-3</v>
      </c>
      <c r="AH117" s="18">
        <v>-1.2529523846808219</v>
      </c>
      <c r="AI117" s="46">
        <v>1</v>
      </c>
      <c r="AJ117" s="18">
        <v>-1.0186462920842629</v>
      </c>
      <c r="AK117" s="46">
        <v>1</v>
      </c>
      <c r="AL117" s="18">
        <v>0.92556209963033831</v>
      </c>
      <c r="AM117" s="46">
        <v>1</v>
      </c>
      <c r="AN117" s="18">
        <v>0.2265638956212068</v>
      </c>
      <c r="AO117" s="46">
        <v>1</v>
      </c>
      <c r="AP117" s="48"/>
      <c r="AQ117" s="48"/>
    </row>
    <row r="118" spans="1:43" ht="20" customHeight="1" x14ac:dyDescent="0.45">
      <c r="A118" s="26">
        <v>108</v>
      </c>
      <c r="B118" s="16" t="s">
        <v>499</v>
      </c>
      <c r="C118" s="16" t="s">
        <v>229</v>
      </c>
      <c r="D118" s="46">
        <v>29</v>
      </c>
      <c r="E118" s="46">
        <v>1</v>
      </c>
      <c r="F118" s="13">
        <v>0.18635015145273051</v>
      </c>
      <c r="G118" s="13">
        <v>-0.1434529742244284</v>
      </c>
      <c r="H118" s="13">
        <v>0.19424612250307091</v>
      </c>
      <c r="I118" s="13">
        <v>-8.6985233444394905E-2</v>
      </c>
      <c r="J118" s="13">
        <v>0.3889655183753753</v>
      </c>
      <c r="K118" s="13">
        <v>19.528477690288739</v>
      </c>
      <c r="L118" s="13">
        <v>1.577067256767855</v>
      </c>
      <c r="M118" s="13">
        <v>-0.31530348056655533</v>
      </c>
      <c r="N118" s="19">
        <f>(F118-Settings!$D$18)/Settings!$E$18</f>
        <v>-2.1374492580396257E-2</v>
      </c>
      <c r="O118" s="19">
        <f>(G118-Settings!$D$19)/Settings!$E$19</f>
        <v>-0.56997238780115567</v>
      </c>
      <c r="P118" s="19">
        <f>(H118-Settings!$D$20)/Settings!$E$20</f>
        <v>1.2785646122767971</v>
      </c>
      <c r="Q118" s="19">
        <f>(I118-Settings!$D$21)/Settings!$E$21</f>
        <v>-1.0334750431376529</v>
      </c>
      <c r="R118" s="19">
        <f>(J118-Settings!$D$22)/Settings!$E$22</f>
        <v>0.3796477330208089</v>
      </c>
      <c r="S118" s="19">
        <f>(K118-Settings!$D$23)/Settings!$E$23</f>
        <v>1.484007021090116</v>
      </c>
      <c r="T118" s="19">
        <f>(L118-Settings!$D$24)/Settings!$E$24</f>
        <v>0.18583568578816476</v>
      </c>
      <c r="U118" s="19">
        <f>(M118-Settings!$D$25)/Settings!$E$25</f>
        <v>-0.17667392097259565</v>
      </c>
      <c r="V118" s="31">
        <f>Settings!$B$18*(N118-F$6)^2</f>
        <v>0.11016424293864967</v>
      </c>
      <c r="W118" s="31">
        <f>Settings!$B$19*(O118-G$6)^2</f>
        <v>5.0252987819723462E-2</v>
      </c>
      <c r="X118" s="31">
        <f>Settings!$B$20*(P118-H$6)^2</f>
        <v>0.27036662465874178</v>
      </c>
      <c r="Y118" s="31">
        <f>Settings!$B$21*(Q118-I$6)^2</f>
        <v>0.42821841227109564</v>
      </c>
      <c r="Z118" s="31">
        <f>Settings!$B$22*(R118-J$6)^2</f>
        <v>1.3414345599950165E-2</v>
      </c>
      <c r="AA118" s="31">
        <f>Settings!$B$23*(S118-K$6)^2</f>
        <v>0.11379014454880218</v>
      </c>
      <c r="AB118" s="31">
        <f>Settings!$B$24*(T118-L$6)^2</f>
        <v>4.3280962938786562E-2</v>
      </c>
      <c r="AC118" s="31">
        <f>Settings!$B$25*(U118-M$6)^2</f>
        <v>5.1668953929937942</v>
      </c>
      <c r="AD118" s="19">
        <f t="shared" si="4"/>
        <v>2.4892535254106889</v>
      </c>
      <c r="AE118" s="15">
        <f t="shared" si="5"/>
        <v>0.98529167450846189</v>
      </c>
      <c r="AF118" s="33">
        <f t="shared" si="6"/>
        <v>0.61545106442045705</v>
      </c>
      <c r="AG118" s="47">
        <f t="shared" si="7"/>
        <v>3.6283802643097703E-3</v>
      </c>
      <c r="AH118" s="18">
        <v>0.20971242821218919</v>
      </c>
      <c r="AI118" s="46">
        <v>1</v>
      </c>
      <c r="AJ118" s="18">
        <v>-0.48111072868240701</v>
      </c>
      <c r="AK118" s="46">
        <v>1</v>
      </c>
      <c r="AL118" s="18">
        <v>-1.0283453201835739</v>
      </c>
      <c r="AM118" s="46">
        <v>1</v>
      </c>
      <c r="AN118" s="48"/>
      <c r="AO118" s="48"/>
      <c r="AP118" s="48"/>
      <c r="AQ118" s="48"/>
    </row>
    <row r="119" spans="1:43" ht="20" customHeight="1" x14ac:dyDescent="0.45">
      <c r="A119" s="26">
        <v>109</v>
      </c>
      <c r="B119" s="16" t="s">
        <v>303</v>
      </c>
      <c r="C119" s="16" t="s">
        <v>214</v>
      </c>
      <c r="D119" s="46">
        <v>29</v>
      </c>
      <c r="E119" s="46">
        <v>1</v>
      </c>
      <c r="F119" s="13">
        <v>0.18891702625586301</v>
      </c>
      <c r="G119" s="13">
        <v>4.539231197451974E-2</v>
      </c>
      <c r="H119" s="13">
        <v>0.4990143501554522</v>
      </c>
      <c r="I119" s="13">
        <v>-3.961606736856807E-2</v>
      </c>
      <c r="J119" s="13">
        <v>0.22706024424559701</v>
      </c>
      <c r="K119" s="13">
        <v>16.374677002583979</v>
      </c>
      <c r="L119" s="13">
        <v>1.9792088329527859</v>
      </c>
      <c r="M119" s="13">
        <v>-1.46397442525137</v>
      </c>
      <c r="N119" s="19">
        <f>(F119-Settings!$D$18)/Settings!$E$18</f>
        <v>-1.2187807674719586E-2</v>
      </c>
      <c r="O119" s="19">
        <f>(G119-Settings!$D$19)/Settings!$E$19</f>
        <v>0.21678114402331408</v>
      </c>
      <c r="P119" s="19">
        <f>(H119-Settings!$D$20)/Settings!$E$20</f>
        <v>4.0398233611798773</v>
      </c>
      <c r="Q119" s="19">
        <f>(I119-Settings!$D$21)/Settings!$E$21</f>
        <v>-0.45096183974706006</v>
      </c>
      <c r="R119" s="19">
        <f>(J119-Settings!$D$22)/Settings!$E$22</f>
        <v>-5.5966029620359584E-2</v>
      </c>
      <c r="S119" s="19">
        <f>(K119-Settings!$D$23)/Settings!$E$23</f>
        <v>0.38876458354494337</v>
      </c>
      <c r="T119" s="19">
        <f>(L119-Settings!$D$24)/Settings!$E$24</f>
        <v>0.46385815389858648</v>
      </c>
      <c r="U119" s="19">
        <f>(M119-Settings!$D$25)/Settings!$E$25</f>
        <v>-0.95135039939381283</v>
      </c>
      <c r="V119" s="31">
        <f>Settings!$B$18*(N119-F$6)^2</f>
        <v>0.10745387705508942</v>
      </c>
      <c r="W119" s="31">
        <f>Settings!$B$19*(O119-G$6)^2</f>
        <v>1.6300929575820758E-2</v>
      </c>
      <c r="X119" s="31">
        <f>Settings!$B$20*(P119-H$6)^2</f>
        <v>3.0794646909733103</v>
      </c>
      <c r="Y119" s="31">
        <f>Settings!$B$21*(Q119-I$6)^2</f>
        <v>0.15513843760556034</v>
      </c>
      <c r="Z119" s="31">
        <f>Settings!$B$22*(R119-J$6)^2</f>
        <v>9.6492682414923661E-2</v>
      </c>
      <c r="AA119" s="31">
        <f>Settings!$B$23*(S119-K$6)^2</f>
        <v>0.574434373357118</v>
      </c>
      <c r="AB119" s="31">
        <f>Settings!$B$24*(T119-L$6)^2</f>
        <v>4.8974377486348938E-3</v>
      </c>
      <c r="AC119" s="31">
        <f>Settings!$B$25*(U119-M$6)^2</f>
        <v>2.2452148976535709</v>
      </c>
      <c r="AD119" s="19">
        <f t="shared" si="4"/>
        <v>2.5058725678661373</v>
      </c>
      <c r="AE119" s="15">
        <f t="shared" si="5"/>
        <v>0.99186979280878829</v>
      </c>
      <c r="AF119" s="33">
        <f t="shared" si="6"/>
        <v>0.61146177077250596</v>
      </c>
      <c r="AG119" s="47">
        <f t="shared" si="7"/>
        <v>3.6048614580592815E-3</v>
      </c>
      <c r="AH119" s="48"/>
      <c r="AI119" s="48"/>
      <c r="AJ119" s="48"/>
      <c r="AK119" s="48"/>
      <c r="AL119" s="48"/>
      <c r="AM119" s="48"/>
      <c r="AN119" s="48"/>
      <c r="AO119" s="48"/>
      <c r="AP119" s="48"/>
      <c r="AQ119" s="48"/>
    </row>
    <row r="120" spans="1:43" ht="20" customHeight="1" x14ac:dyDescent="0.45">
      <c r="A120" s="26">
        <v>110</v>
      </c>
      <c r="B120" s="16" t="s">
        <v>391</v>
      </c>
      <c r="C120" s="16" t="s">
        <v>234</v>
      </c>
      <c r="D120" s="46">
        <v>29</v>
      </c>
      <c r="E120" s="46">
        <v>1</v>
      </c>
      <c r="F120" s="13">
        <v>0.52748683475915759</v>
      </c>
      <c r="G120" s="13">
        <v>5.7266406246660607E-2</v>
      </c>
      <c r="H120" s="13">
        <v>2.1014268439678858E-2</v>
      </c>
      <c r="I120" s="13">
        <v>1.3161911653467511E-4</v>
      </c>
      <c r="J120" s="13">
        <v>0.39410087143796829</v>
      </c>
      <c r="K120" s="13">
        <v>15.824549549549531</v>
      </c>
      <c r="L120" s="13">
        <v>2.7728659156532531</v>
      </c>
      <c r="M120" s="13">
        <v>-0.41118541784867579</v>
      </c>
      <c r="N120" s="19">
        <f>(F120-Settings!$D$18)/Settings!$E$18</f>
        <v>1.1995324310760531</v>
      </c>
      <c r="O120" s="19">
        <f>(G120-Settings!$D$19)/Settings!$E$19</f>
        <v>0.26625013418906152</v>
      </c>
      <c r="P120" s="19">
        <f>(H120-Settings!$D$20)/Settings!$E$20</f>
        <v>-0.29094929770608779</v>
      </c>
      <c r="Q120" s="19">
        <f>(I120-Settings!$D$21)/Settings!$E$21</f>
        <v>3.7827685167497453E-2</v>
      </c>
      <c r="R120" s="19">
        <f>(J120-Settings!$D$22)/Settings!$E$22</f>
        <v>0.39346464221114108</v>
      </c>
      <c r="S120" s="19">
        <f>(K120-Settings!$D$23)/Settings!$E$23</f>
        <v>0.19771797271410319</v>
      </c>
      <c r="T120" s="19">
        <f>(L120-Settings!$D$24)/Settings!$E$24</f>
        <v>1.0125567069281534</v>
      </c>
      <c r="U120" s="19">
        <f>(M120-Settings!$D$25)/Settings!$E$25</f>
        <v>-0.24133776736099558</v>
      </c>
      <c r="V120" s="31">
        <f>Settings!$B$18*(N120-F$6)^2</f>
        <v>4.5837175521396746E-2</v>
      </c>
      <c r="W120" s="31">
        <f>Settings!$B$19*(O120-G$6)^2</f>
        <v>2.2439530309529457E-2</v>
      </c>
      <c r="X120" s="31">
        <f>Settings!$B$20*(P120-H$6)^2</f>
        <v>3.3102182352651659E-2</v>
      </c>
      <c r="Y120" s="31">
        <f>Settings!$B$21*(Q120-I$6)^2</f>
        <v>3.072407733441937E-2</v>
      </c>
      <c r="Z120" s="31">
        <f>Settings!$B$22*(R120-J$6)^2</f>
        <v>1.2021194134103783E-2</v>
      </c>
      <c r="AA120" s="31">
        <f>Settings!$B$23*(S120-K$6)^2</f>
        <v>0.90052716989488302</v>
      </c>
      <c r="AB120" s="31">
        <f>Settings!$B$24*(T120-L$6)^2</f>
        <v>0.38276525030588165</v>
      </c>
      <c r="AC120" s="31">
        <f>Settings!$B$25*(U120-M$6)^2</f>
        <v>4.8771045371301511</v>
      </c>
      <c r="AD120" s="19">
        <f t="shared" si="4"/>
        <v>2.5108805461397434</v>
      </c>
      <c r="AE120" s="15">
        <f t="shared" si="5"/>
        <v>0.99385204140208461</v>
      </c>
      <c r="AF120" s="33">
        <f t="shared" si="6"/>
        <v>0.61025953804374866</v>
      </c>
      <c r="AG120" s="47">
        <f t="shared" si="7"/>
        <v>3.597773717443806E-3</v>
      </c>
      <c r="AH120" s="18">
        <v>-0.3835540765439891</v>
      </c>
      <c r="AI120" s="46">
        <v>1</v>
      </c>
      <c r="AJ120" s="18">
        <v>-0.9888449746726411</v>
      </c>
      <c r="AK120" s="46">
        <v>1</v>
      </c>
      <c r="AL120" s="18">
        <v>9.0930102995943507E-2</v>
      </c>
      <c r="AM120" s="46">
        <v>1</v>
      </c>
      <c r="AN120" s="18">
        <v>2.809770057787242E-2</v>
      </c>
      <c r="AO120" s="46">
        <v>1</v>
      </c>
      <c r="AP120" s="18">
        <v>-0.83392233281121941</v>
      </c>
      <c r="AQ120" s="46">
        <v>1</v>
      </c>
    </row>
    <row r="121" spans="1:43" ht="20" customHeight="1" x14ac:dyDescent="0.45">
      <c r="A121" s="26">
        <v>111</v>
      </c>
      <c r="B121" s="16" t="s">
        <v>408</v>
      </c>
      <c r="C121" s="16" t="s">
        <v>229</v>
      </c>
      <c r="D121" s="46">
        <v>29</v>
      </c>
      <c r="E121" s="46">
        <v>1</v>
      </c>
      <c r="F121" s="13">
        <v>0.44215957994127358</v>
      </c>
      <c r="G121" s="13">
        <v>-0.1017798250207721</v>
      </c>
      <c r="H121" s="13">
        <v>0.19385043612161279</v>
      </c>
      <c r="I121" s="13">
        <v>2.0618635057490181E-5</v>
      </c>
      <c r="J121" s="13">
        <v>0.26218954028128411</v>
      </c>
      <c r="K121" s="13">
        <v>17.756250000000001</v>
      </c>
      <c r="L121" s="13">
        <v>1.5922325722111219</v>
      </c>
      <c r="M121" s="13">
        <v>-0.1056810561548229</v>
      </c>
      <c r="N121" s="19">
        <f>(F121-Settings!$D$18)/Settings!$E$18</f>
        <v>0.8941515052429444</v>
      </c>
      <c r="O121" s="19">
        <f>(G121-Settings!$D$19)/Settings!$E$19</f>
        <v>-0.39635673671371374</v>
      </c>
      <c r="P121" s="19">
        <f>(H121-Settings!$D$20)/Settings!$E$20</f>
        <v>1.2749796175710191</v>
      </c>
      <c r="Q121" s="19">
        <f>(I121-Settings!$D$21)/Settings!$E$21</f>
        <v>3.6462678109115444E-2</v>
      </c>
      <c r="R121" s="19">
        <f>(J121-Settings!$D$22)/Settings!$E$22</f>
        <v>3.8550995271460074E-2</v>
      </c>
      <c r="S121" s="19">
        <f>(K121-Settings!$D$23)/Settings!$E$23</f>
        <v>0.86855310766938465</v>
      </c>
      <c r="T121" s="19">
        <f>(L121-Settings!$D$24)/Settings!$E$24</f>
        <v>0.19632029787232103</v>
      </c>
      <c r="U121" s="19">
        <f>(M121-Settings!$D$25)/Settings!$E$25</f>
        <v>-3.5302223278999928E-2</v>
      </c>
      <c r="V121" s="31">
        <f>Settings!$B$18*(N121-F$6)^2</f>
        <v>6.010231220016325E-3</v>
      </c>
      <c r="W121" s="31">
        <f>Settings!$B$19*(O121-G$6)^2</f>
        <v>2.1470602011371909E-2</v>
      </c>
      <c r="X121" s="31">
        <f>Settings!$B$20*(P121-H$6)^2</f>
        <v>0.26870190929470822</v>
      </c>
      <c r="Y121" s="31">
        <f>Settings!$B$21*(Q121-I$6)^2</f>
        <v>3.0938452714147354E-2</v>
      </c>
      <c r="Z121" s="31">
        <f>Settings!$B$22*(R121-J$6)^2</f>
        <v>7.2018922247006775E-2</v>
      </c>
      <c r="AA121" s="31">
        <f>Settings!$B$23*(S121-K$6)^2</f>
        <v>7.7354052602535445E-2</v>
      </c>
      <c r="AB121" s="31">
        <f>Settings!$B$24*(T121-L$6)^2</f>
        <v>3.9028436438854085E-2</v>
      </c>
      <c r="AC121" s="31">
        <f>Settings!$B$25*(U121-M$6)^2</f>
        <v>5.8295798754228674</v>
      </c>
      <c r="AD121" s="19">
        <f t="shared" si="4"/>
        <v>2.5189486858512042</v>
      </c>
      <c r="AE121" s="15">
        <f t="shared" si="5"/>
        <v>0.99704555737196232</v>
      </c>
      <c r="AF121" s="33">
        <f t="shared" si="6"/>
        <v>0.60832261453121017</v>
      </c>
      <c r="AG121" s="47">
        <f t="shared" si="7"/>
        <v>3.5863546210238655E-3</v>
      </c>
      <c r="AH121" s="18">
        <v>-0.22520261178051901</v>
      </c>
      <c r="AI121" s="46">
        <v>1</v>
      </c>
      <c r="AJ121" s="18">
        <v>0.72047019679765034</v>
      </c>
      <c r="AK121" s="46">
        <v>1</v>
      </c>
      <c r="AL121" s="18">
        <v>0.41439388704936242</v>
      </c>
      <c r="AM121" s="46">
        <v>1</v>
      </c>
      <c r="AN121" s="48"/>
      <c r="AO121" s="48"/>
      <c r="AP121" s="48"/>
      <c r="AQ121" s="48"/>
    </row>
    <row r="122" spans="1:43" ht="20" customHeight="1" x14ac:dyDescent="0.45">
      <c r="A122" s="26">
        <v>112</v>
      </c>
      <c r="B122" s="16" t="s">
        <v>225</v>
      </c>
      <c r="C122" s="16" t="s">
        <v>227</v>
      </c>
      <c r="D122" s="46">
        <v>29</v>
      </c>
      <c r="E122" s="46">
        <v>0</v>
      </c>
      <c r="F122" s="13">
        <v>0.28714782956404561</v>
      </c>
      <c r="G122" s="13">
        <v>4.4630336422535229E-2</v>
      </c>
      <c r="H122" s="13">
        <v>7.9192129310239778E-2</v>
      </c>
      <c r="I122" s="13">
        <v>-2.992092719253393E-3</v>
      </c>
      <c r="J122" s="13">
        <v>0.58603761198392601</v>
      </c>
      <c r="K122" s="13">
        <v>18.309459459459461</v>
      </c>
      <c r="L122" s="13">
        <v>4.7422775604737044</v>
      </c>
      <c r="M122" s="13">
        <v>-1.398683213396767</v>
      </c>
      <c r="N122" s="19">
        <f>(F122-Settings!$D$18)/Settings!$E$18</f>
        <v>0.33937411381927257</v>
      </c>
      <c r="O122" s="19">
        <f>(G122-Settings!$D$19)/Settings!$E$19</f>
        <v>0.21360665675516932</v>
      </c>
      <c r="P122" s="19">
        <f>(H122-Settings!$D$20)/Settings!$E$20</f>
        <v>0.23615330927738434</v>
      </c>
      <c r="Q122" s="19">
        <f>(I122-Settings!$D$21)/Settings!$E$21</f>
        <v>-5.855599595386054E-4</v>
      </c>
      <c r="R122" s="19">
        <f>(J122-Settings!$D$22)/Settings!$E$22</f>
        <v>0.90987947914404377</v>
      </c>
      <c r="S122" s="19">
        <f>(K122-Settings!$D$23)/Settings!$E$23</f>
        <v>1.0606700284416928</v>
      </c>
      <c r="T122" s="19">
        <f>(L122-Settings!$D$24)/Settings!$E$24</f>
        <v>2.3741187006241056</v>
      </c>
      <c r="U122" s="19">
        <f>(M122-Settings!$D$25)/Settings!$E$25</f>
        <v>-0.9073172789380185</v>
      </c>
      <c r="V122" s="31">
        <f>Settings!$B$18*(N122-F$6)^2</f>
        <v>2.9096960144440832E-2</v>
      </c>
      <c r="W122" s="31">
        <f>Settings!$B$19*(O122-G$6)^2</f>
        <v>1.5940431061942369E-2</v>
      </c>
      <c r="X122" s="31">
        <f>Settings!$B$20*(P122-H$6)^2</f>
        <v>2.8930844559062821E-3</v>
      </c>
      <c r="Y122" s="31">
        <f>Settings!$B$21*(Q122-I$6)^2</f>
        <v>3.7041534829991611E-2</v>
      </c>
      <c r="Z122" s="31">
        <f>Settings!$B$22*(R122-J$6)^2</f>
        <v>1.471527412967095E-2</v>
      </c>
      <c r="AA122" s="31">
        <f>Settings!$B$23*(S122-K$6)^2</f>
        <v>7.3975557493733577E-3</v>
      </c>
      <c r="AB122" s="31">
        <f>Settings!$B$24*(T122-L$6)^2</f>
        <v>3.9213593391275214</v>
      </c>
      <c r="AC122" s="31">
        <f>Settings!$B$25*(U122-M$6)^2</f>
        <v>2.3791126312957305</v>
      </c>
      <c r="AD122" s="19">
        <f t="shared" si="4"/>
        <v>2.5313152333904556</v>
      </c>
      <c r="AE122" s="15">
        <f t="shared" si="5"/>
        <v>1.0019404610884599</v>
      </c>
      <c r="AF122" s="33">
        <f t="shared" si="6"/>
        <v>0.60535371204500954</v>
      </c>
      <c r="AG122" s="47">
        <f t="shared" si="7"/>
        <v>3.568851511824218E-3</v>
      </c>
      <c r="AH122" s="18">
        <v>-1.507278582737519</v>
      </c>
      <c r="AI122" s="46">
        <v>0</v>
      </c>
      <c r="AJ122" s="18">
        <v>-1.8452489457476</v>
      </c>
      <c r="AK122" s="46">
        <v>0</v>
      </c>
      <c r="AL122" s="18">
        <v>-1.0497833172245941</v>
      </c>
      <c r="AM122" s="46">
        <v>0</v>
      </c>
      <c r="AN122" s="18">
        <v>0.23115123183362379</v>
      </c>
      <c r="AO122" s="46">
        <v>1</v>
      </c>
      <c r="AP122" s="18">
        <v>-0.49193709323657031</v>
      </c>
      <c r="AQ122" s="46">
        <v>1</v>
      </c>
    </row>
    <row r="123" spans="1:43" ht="20" customHeight="1" x14ac:dyDescent="0.45">
      <c r="A123" s="26">
        <v>113</v>
      </c>
      <c r="B123" s="16" t="s">
        <v>498</v>
      </c>
      <c r="C123" s="16" t="s">
        <v>236</v>
      </c>
      <c r="D123" s="46">
        <v>29</v>
      </c>
      <c r="E123" s="46">
        <v>0</v>
      </c>
      <c r="F123" s="13">
        <v>0.1080232808056306</v>
      </c>
      <c r="G123" s="13">
        <v>1.8312444227212461E-2</v>
      </c>
      <c r="H123" s="13">
        <v>-1.0059056922614549E-2</v>
      </c>
      <c r="I123" s="13">
        <v>1.7691869911744991E-2</v>
      </c>
      <c r="J123" s="13">
        <v>0.84591334813279739</v>
      </c>
      <c r="K123" s="13">
        <v>15.81043165467624</v>
      </c>
      <c r="L123" s="13">
        <v>1.7725708360987911</v>
      </c>
      <c r="M123" s="13">
        <v>-0.33988758187913759</v>
      </c>
      <c r="N123" s="19">
        <f>(F123-Settings!$D$18)/Settings!$E$18</f>
        <v>-0.30170147985865275</v>
      </c>
      <c r="O123" s="19">
        <f>(G123-Settings!$D$19)/Settings!$E$19</f>
        <v>0.10396296348854245</v>
      </c>
      <c r="P123" s="19">
        <f>(H123-Settings!$D$20)/Settings!$E$20</f>
        <v>-0.5724796008320745</v>
      </c>
      <c r="Q123" s="19">
        <f>(I123-Settings!$D$21)/Settings!$E$21</f>
        <v>0.25377148976574243</v>
      </c>
      <c r="R123" s="19">
        <f>(J123-Settings!$D$22)/Settings!$E$22</f>
        <v>1.6090873823542344</v>
      </c>
      <c r="S123" s="19">
        <f>(K123-Settings!$D$23)/Settings!$E$23</f>
        <v>0.19281515255355505</v>
      </c>
      <c r="T123" s="19">
        <f>(L123-Settings!$D$24)/Settings!$E$24</f>
        <v>0.32099800390921573</v>
      </c>
      <c r="U123" s="19">
        <f>(M123-Settings!$D$25)/Settings!$E$25</f>
        <v>-0.19325371270329653</v>
      </c>
      <c r="V123" s="31">
        <f>Settings!$B$18*(N123-F$6)^2</f>
        <v>0.20910136955246694</v>
      </c>
      <c r="W123" s="31">
        <f>Settings!$B$19*(O123-G$6)^2</f>
        <v>5.96312448501352E-3</v>
      </c>
      <c r="X123" s="31">
        <f>Settings!$B$20*(P123-H$6)^2</f>
        <v>9.4768070337361773E-2</v>
      </c>
      <c r="Y123" s="31">
        <f>Settings!$B$21*(Q123-I$6)^2</f>
        <v>6.1952395795916047E-3</v>
      </c>
      <c r="Z123" s="31">
        <f>Settings!$B$22*(R123-J$6)^2</f>
        <v>0.18835757110207441</v>
      </c>
      <c r="AA123" s="31">
        <f>Settings!$B$23*(S123-K$6)^2</f>
        <v>0.90985637876872671</v>
      </c>
      <c r="AB123" s="31">
        <f>Settings!$B$24*(T123-L$6)^2</f>
        <v>5.3112690833751917E-3</v>
      </c>
      <c r="AC123" s="31">
        <f>Settings!$B$25*(U123-M$6)^2</f>
        <v>5.0917958767713554</v>
      </c>
      <c r="AD123" s="19">
        <f t="shared" si="4"/>
        <v>2.5517344884764102</v>
      </c>
      <c r="AE123" s="15">
        <f t="shared" si="5"/>
        <v>1.0100227724442452</v>
      </c>
      <c r="AF123" s="33">
        <f t="shared" si="6"/>
        <v>0.60045174397801293</v>
      </c>
      <c r="AG123" s="47">
        <f t="shared" si="7"/>
        <v>3.5399520505692184E-3</v>
      </c>
      <c r="AH123" s="18">
        <v>-1.117074395207446</v>
      </c>
      <c r="AI123" s="46">
        <v>1</v>
      </c>
      <c r="AJ123" s="48"/>
      <c r="AK123" s="48"/>
      <c r="AL123" s="48"/>
      <c r="AM123" s="48"/>
      <c r="AN123" s="48"/>
      <c r="AO123" s="48"/>
      <c r="AP123" s="48"/>
      <c r="AQ123" s="48"/>
    </row>
    <row r="124" spans="1:43" ht="20" customHeight="1" x14ac:dyDescent="0.45">
      <c r="A124" s="26">
        <v>114</v>
      </c>
      <c r="B124" s="16" t="s">
        <v>468</v>
      </c>
      <c r="C124" s="16" t="s">
        <v>218</v>
      </c>
      <c r="D124" s="46">
        <v>29</v>
      </c>
      <c r="E124" s="46">
        <v>0</v>
      </c>
      <c r="F124" s="13">
        <v>-0.16640418046832101</v>
      </c>
      <c r="G124" s="13">
        <v>0.68969877296626614</v>
      </c>
      <c r="H124" s="13">
        <v>5.9236295147864371E-3</v>
      </c>
      <c r="I124" s="13">
        <v>0.1173684197981725</v>
      </c>
      <c r="J124" s="13">
        <v>2.0604997252453981E-2</v>
      </c>
      <c r="K124" s="13">
        <v>16.2979328165375</v>
      </c>
      <c r="L124" s="13">
        <v>0.31308409083538918</v>
      </c>
      <c r="M124" s="13">
        <v>-1.8288940072790609</v>
      </c>
      <c r="N124" s="19">
        <f>(F124-Settings!$D$18)/Settings!$E$18</f>
        <v>-1.2838602564035653</v>
      </c>
      <c r="O124" s="19">
        <f>(G124-Settings!$D$19)/Settings!$E$19</f>
        <v>2.9010439814263735</v>
      </c>
      <c r="P124" s="19">
        <f>(H124-Settings!$D$20)/Settings!$E$20</f>
        <v>-0.42767338826786522</v>
      </c>
      <c r="Q124" s="19">
        <f>(I124-Settings!$D$21)/Settings!$E$21</f>
        <v>1.4795246787562375</v>
      </c>
      <c r="R124" s="19">
        <f>(J124-Settings!$D$22)/Settings!$E$22</f>
        <v>-0.61144359168918938</v>
      </c>
      <c r="S124" s="19">
        <f>(K124-Settings!$D$23)/Settings!$E$23</f>
        <v>0.36211309294166816</v>
      </c>
      <c r="T124" s="19">
        <f>(L124-Settings!$D$24)/Settings!$E$24</f>
        <v>-0.6880250146557132</v>
      </c>
      <c r="U124" s="19">
        <f>(M124-Settings!$D$25)/Settings!$E$25</f>
        <v>-1.1974562298061273</v>
      </c>
      <c r="V124" s="31">
        <f>Settings!$B$18*(N124-F$6)^2</f>
        <v>0.80373159646386072</v>
      </c>
      <c r="W124" s="31">
        <f>Settings!$B$19*(O124-G$6)^2</f>
        <v>1.7638866072827675</v>
      </c>
      <c r="X124" s="31">
        <f>Settings!$B$20*(P124-H$6)^2</f>
        <v>5.9090280114118536E-2</v>
      </c>
      <c r="Y124" s="31">
        <f>Settings!$B$21*(Q124-I$6)^2</f>
        <v>0.22039611548684152</v>
      </c>
      <c r="Z124" s="31">
        <f>Settings!$B$22*(R124-J$6)^2</f>
        <v>0.31253671331675553</v>
      </c>
      <c r="AA124" s="31">
        <f>Settings!$B$23*(S124-K$6)^2</f>
        <v>0.61554377709718666</v>
      </c>
      <c r="AB124" s="31">
        <f>Settings!$B$24*(T124-L$6)^2</f>
        <v>1.1705107967233237</v>
      </c>
      <c r="AC124" s="31">
        <f>Settings!$B$25*(U124-M$6)^2</f>
        <v>1.568250998432513</v>
      </c>
      <c r="AD124" s="19">
        <f t="shared" si="4"/>
        <v>2.5522435003183701</v>
      </c>
      <c r="AE124" s="15">
        <f t="shared" si="5"/>
        <v>1.0102242485594701</v>
      </c>
      <c r="AF124" s="33">
        <f t="shared" si="6"/>
        <v>0.60032955501862895</v>
      </c>
      <c r="AG124" s="47">
        <f t="shared" si="7"/>
        <v>3.5392316878395465E-3</v>
      </c>
      <c r="AH124" s="18">
        <v>-0.35828981866076032</v>
      </c>
      <c r="AI124" s="46">
        <v>0</v>
      </c>
      <c r="AJ124" s="18">
        <v>0.76865876327695126</v>
      </c>
      <c r="AK124" s="46">
        <v>0</v>
      </c>
      <c r="AL124" s="18">
        <v>0.23126191774237689</v>
      </c>
      <c r="AM124" s="46">
        <v>0</v>
      </c>
      <c r="AN124" s="18">
        <v>-0.18510215101576311</v>
      </c>
      <c r="AO124" s="46">
        <v>0</v>
      </c>
      <c r="AP124" s="18">
        <v>-0.56663648686637269</v>
      </c>
      <c r="AQ124" s="46">
        <v>1</v>
      </c>
    </row>
    <row r="125" spans="1:43" ht="20" customHeight="1" x14ac:dyDescent="0.45">
      <c r="A125" s="26">
        <v>115</v>
      </c>
      <c r="B125" s="16" t="s">
        <v>350</v>
      </c>
      <c r="C125" s="16" t="s">
        <v>258</v>
      </c>
      <c r="D125" s="46">
        <v>29</v>
      </c>
      <c r="E125" s="46">
        <v>0</v>
      </c>
      <c r="F125" s="13">
        <v>0.25011591523492871</v>
      </c>
      <c r="G125" s="13">
        <v>-9.1228889998158785E-2</v>
      </c>
      <c r="H125" s="13">
        <v>-8.1889261028128157E-2</v>
      </c>
      <c r="I125" s="13">
        <v>2.2278468130738371E-2</v>
      </c>
      <c r="J125" s="13">
        <v>0.55448746560804596</v>
      </c>
      <c r="K125" s="13">
        <v>23.959795321637429</v>
      </c>
      <c r="L125" s="13">
        <v>1.8016484699051001</v>
      </c>
      <c r="M125" s="13">
        <v>-1.2809102940275381</v>
      </c>
      <c r="N125" s="19">
        <f>(F125-Settings!$D$18)/Settings!$E$18</f>
        <v>0.20683920094372291</v>
      </c>
      <c r="O125" s="19">
        <f>(G125-Settings!$D$19)/Settings!$E$19</f>
        <v>-0.35240019662646771</v>
      </c>
      <c r="P125" s="19">
        <f>(H125-Settings!$D$20)/Settings!$E$20</f>
        <v>-1.2232750628448408</v>
      </c>
      <c r="Q125" s="19">
        <f>(I125-Settings!$D$21)/Settings!$E$21</f>
        <v>0.31017429865063129</v>
      </c>
      <c r="R125" s="19">
        <f>(J125-Settings!$D$22)/Settings!$E$22</f>
        <v>0.82499232492039432</v>
      </c>
      <c r="S125" s="19">
        <f>(K125-Settings!$D$23)/Settings!$E$23</f>
        <v>3.0229017087018986</v>
      </c>
      <c r="T125" s="19">
        <f>(L125-Settings!$D$24)/Settings!$E$24</f>
        <v>0.3411009626590551</v>
      </c>
      <c r="U125" s="19">
        <f>(M125-Settings!$D$25)/Settings!$E$25</f>
        <v>-0.8278899104191999</v>
      </c>
      <c r="V125" s="31">
        <f>Settings!$B$18*(N125-F$6)^2</f>
        <v>5.2830896451037335E-2</v>
      </c>
      <c r="W125" s="31">
        <f>Settings!$B$19*(O125-G$6)^2</f>
        <v>1.6096133931934695E-2</v>
      </c>
      <c r="X125" s="31">
        <f>Settings!$B$20*(P125-H$6)^2</f>
        <v>0.35866780571337553</v>
      </c>
      <c r="Y125" s="31">
        <f>Settings!$B$21*(Q125-I$6)^2</f>
        <v>2.8607245200450372E-3</v>
      </c>
      <c r="Z125" s="31">
        <f>Settings!$B$22*(R125-J$6)^2</f>
        <v>6.946195694769783E-3</v>
      </c>
      <c r="AA125" s="31">
        <f>Settings!$B$23*(S125-K$6)^2</f>
        <v>3.5202113786429461</v>
      </c>
      <c r="AB125" s="31">
        <f>Settings!$B$24*(T125-L$6)^2</f>
        <v>2.7852529176880547E-3</v>
      </c>
      <c r="AC125" s="31">
        <f>Settings!$B$25*(U125-M$6)^2</f>
        <v>2.6304447999086369</v>
      </c>
      <c r="AD125" s="19">
        <f t="shared" si="4"/>
        <v>2.5672637550085176</v>
      </c>
      <c r="AE125" s="15">
        <f t="shared" si="5"/>
        <v>1.0161695376769204</v>
      </c>
      <c r="AF125" s="33">
        <f t="shared" si="6"/>
        <v>0.59672419059069082</v>
      </c>
      <c r="AG125" s="47">
        <f t="shared" si="7"/>
        <v>3.5179763291404865E-3</v>
      </c>
      <c r="AH125" s="48"/>
      <c r="AI125" s="48"/>
      <c r="AJ125" s="48"/>
      <c r="AK125" s="48"/>
      <c r="AL125" s="48"/>
      <c r="AM125" s="48"/>
      <c r="AN125" s="48"/>
      <c r="AO125" s="48"/>
      <c r="AP125" s="48"/>
      <c r="AQ125" s="48"/>
    </row>
    <row r="126" spans="1:43" ht="20" customHeight="1" x14ac:dyDescent="0.45">
      <c r="A126" s="26">
        <v>116</v>
      </c>
      <c r="B126" s="16" t="s">
        <v>475</v>
      </c>
      <c r="C126" s="16" t="s">
        <v>224</v>
      </c>
      <c r="D126" s="46">
        <v>29</v>
      </c>
      <c r="E126" s="46">
        <v>0</v>
      </c>
      <c r="F126" s="13">
        <v>0.5019722877031445</v>
      </c>
      <c r="G126" s="13">
        <v>1.1387453898141669E-2</v>
      </c>
      <c r="H126" s="13">
        <v>0.1591223731438586</v>
      </c>
      <c r="I126" s="13">
        <v>5.1363130281176976E-4</v>
      </c>
      <c r="J126" s="13">
        <v>-0.32700425395204352</v>
      </c>
      <c r="K126" s="13">
        <v>15.96433823529412</v>
      </c>
      <c r="L126" s="13">
        <v>0.90791122488374387</v>
      </c>
      <c r="M126" s="13">
        <v>-0.65455372914159571</v>
      </c>
      <c r="N126" s="19">
        <f>(F126-Settings!$D$18)/Settings!$E$18</f>
        <v>1.1082174576972939</v>
      </c>
      <c r="O126" s="19">
        <f>(G126-Settings!$D$19)/Settings!$E$19</f>
        <v>7.5112571144054632E-2</v>
      </c>
      <c r="P126" s="19">
        <f>(H126-Settings!$D$20)/Settings!$E$20</f>
        <v>0.96033668884960188</v>
      </c>
      <c r="Q126" s="19">
        <f>(I126-Settings!$D$21)/Settings!$E$21</f>
        <v>4.2525406508132857E-2</v>
      </c>
      <c r="R126" s="19">
        <f>(J126-Settings!$D$22)/Settings!$E$22</f>
        <v>-1.546702647701744</v>
      </c>
      <c r="S126" s="19">
        <f>(K126-Settings!$D$23)/Settings!$E$23</f>
        <v>0.24626336796150022</v>
      </c>
      <c r="T126" s="19">
        <f>(L126-Settings!$D$24)/Settings!$E$24</f>
        <v>-0.27678848080594809</v>
      </c>
      <c r="U126" s="19">
        <f>(M126-Settings!$D$25)/Settings!$E$25</f>
        <v>-0.40546806701217131</v>
      </c>
      <c r="V126" s="31">
        <f>Settings!$B$18*(N126-F$6)^2</f>
        <v>3.0018641337727608E-2</v>
      </c>
      <c r="W126" s="31">
        <f>Settings!$B$19*(O126-G$6)^2</f>
        <v>4.1369314389984573E-3</v>
      </c>
      <c r="X126" s="31">
        <f>Settings!$B$20*(P126-H$6)^2</f>
        <v>0.14262107352109477</v>
      </c>
      <c r="Y126" s="31">
        <f>Settings!$B$21*(Q126-I$6)^2</f>
        <v>2.9991992885060943E-2</v>
      </c>
      <c r="Z126" s="31">
        <f>Settings!$B$22*(R126-J$6)^2</f>
        <v>0.95513561005656911</v>
      </c>
      <c r="AA126" s="31">
        <f>Settings!$B$23*(S126-K$6)^2</f>
        <v>0.81074844191704332</v>
      </c>
      <c r="AB126" s="31">
        <f>Settings!$B$24*(T126-L$6)^2</f>
        <v>0.44979146026057443</v>
      </c>
      <c r="AC126" s="31">
        <f>Settings!$B$25*(U126-M$6)^2</f>
        <v>4.1791070868675737</v>
      </c>
      <c r="AD126" s="19">
        <f t="shared" si="4"/>
        <v>2.5693484073368955</v>
      </c>
      <c r="AE126" s="15">
        <f t="shared" si="5"/>
        <v>1.0169946808623886</v>
      </c>
      <c r="AF126" s="33">
        <f t="shared" si="6"/>
        <v>0.59622385282163171</v>
      </c>
      <c r="AG126" s="47">
        <f t="shared" si="7"/>
        <v>3.5150265971606543E-3</v>
      </c>
      <c r="AH126" s="18">
        <v>0.77822996100904296</v>
      </c>
      <c r="AI126" s="46">
        <v>0</v>
      </c>
      <c r="AJ126" s="18">
        <v>0.43133772455624692</v>
      </c>
      <c r="AK126" s="46">
        <v>1</v>
      </c>
      <c r="AL126" s="18">
        <v>-1.0804777232460281</v>
      </c>
      <c r="AM126" s="46">
        <v>1</v>
      </c>
      <c r="AN126" s="18">
        <v>8.1290919925515848E-2</v>
      </c>
      <c r="AO126" s="46">
        <v>1</v>
      </c>
      <c r="AP126" s="18">
        <v>0.1838472875512116</v>
      </c>
      <c r="AQ126" s="46">
        <v>1</v>
      </c>
    </row>
    <row r="127" spans="1:43" ht="20" customHeight="1" x14ac:dyDescent="0.45">
      <c r="A127" s="26">
        <v>117</v>
      </c>
      <c r="B127" s="16" t="s">
        <v>557</v>
      </c>
      <c r="C127" s="16" t="s">
        <v>234</v>
      </c>
      <c r="D127" s="46">
        <v>29</v>
      </c>
      <c r="E127" s="46">
        <v>1</v>
      </c>
      <c r="F127" s="13">
        <v>-0.13474924900599669</v>
      </c>
      <c r="G127" s="13">
        <v>2.8584050792474482E-2</v>
      </c>
      <c r="H127" s="13">
        <v>0.29187597891032713</v>
      </c>
      <c r="I127" s="13">
        <v>1.0220594444223069E-2</v>
      </c>
      <c r="J127" s="13">
        <v>0.53457012684697869</v>
      </c>
      <c r="K127" s="13">
        <v>14.834420289855069</v>
      </c>
      <c r="L127" s="13">
        <v>0.84072670116803261</v>
      </c>
      <c r="M127" s="13">
        <v>-1.1828814870169959</v>
      </c>
      <c r="N127" s="19">
        <f>(F127-Settings!$D$18)/Settings!$E$18</f>
        <v>-1.1705692300160375</v>
      </c>
      <c r="O127" s="19">
        <f>(G127-Settings!$D$19)/Settings!$E$19</f>
        <v>0.14675578562029401</v>
      </c>
      <c r="P127" s="19">
        <f>(H127-Settings!$D$20)/Settings!$E$20</f>
        <v>2.1631098853692801</v>
      </c>
      <c r="Q127" s="19">
        <f>(I127-Settings!$D$21)/Settings!$E$21</f>
        <v>0.1618949175872702</v>
      </c>
      <c r="R127" s="19">
        <f>(J127-Settings!$D$22)/Settings!$E$22</f>
        <v>0.77140378726378489</v>
      </c>
      <c r="S127" s="19">
        <f>(K127-Settings!$D$23)/Settings!$E$23</f>
        <v>-0.14613114498704591</v>
      </c>
      <c r="T127" s="19">
        <f>(L127-Settings!$D$24)/Settings!$E$24</f>
        <v>-0.32323681693539985</v>
      </c>
      <c r="U127" s="19">
        <f>(M127-Settings!$D$25)/Settings!$E$25</f>
        <v>-0.76177819117518497</v>
      </c>
      <c r="V127" s="31">
        <f>Settings!$B$18*(N127-F$6)^2</f>
        <v>0.71545461440905267</v>
      </c>
      <c r="W127" s="31">
        <f>Settings!$B$19*(O127-G$6)^2</f>
        <v>9.2850186242857628E-3</v>
      </c>
      <c r="X127" s="31">
        <f>Settings!$B$20*(P127-H$6)^2</f>
        <v>0.83822920105379639</v>
      </c>
      <c r="Y127" s="31">
        <f>Settings!$B$21*(Q127-I$6)^2</f>
        <v>1.4351631825551282E-2</v>
      </c>
      <c r="Z127" s="31">
        <f>Settings!$B$22*(R127-J$6)^2</f>
        <v>3.5257845974349944E-3</v>
      </c>
      <c r="AA127" s="31">
        <f>Settings!$B$23*(S127-K$6)^2</f>
        <v>1.6713582597849306</v>
      </c>
      <c r="AB127" s="31">
        <f>Settings!$B$24*(T127-L$6)^2</f>
        <v>0.51425144921366484</v>
      </c>
      <c r="AC127" s="31">
        <f>Settings!$B$25*(U127-M$6)^2</f>
        <v>2.8492640742856947</v>
      </c>
      <c r="AD127" s="19">
        <f t="shared" si="4"/>
        <v>2.5721042035256678</v>
      </c>
      <c r="AE127" s="15">
        <f t="shared" si="5"/>
        <v>1.0180854749553654</v>
      </c>
      <c r="AF127" s="33">
        <f t="shared" si="6"/>
        <v>0.59556245516378403</v>
      </c>
      <c r="AG127" s="47">
        <f t="shared" si="7"/>
        <v>3.511127339612282E-3</v>
      </c>
      <c r="AH127" s="18">
        <v>-0.41195610643278152</v>
      </c>
      <c r="AI127" s="46">
        <v>1</v>
      </c>
      <c r="AJ127" s="18">
        <v>0.28919898073696082</v>
      </c>
      <c r="AK127" s="46">
        <v>1</v>
      </c>
      <c r="AL127" s="18">
        <v>-0.1775339192101163</v>
      </c>
      <c r="AM127" s="46">
        <v>1</v>
      </c>
      <c r="AN127" s="48"/>
      <c r="AO127" s="48"/>
      <c r="AP127" s="48"/>
      <c r="AQ127" s="48"/>
    </row>
    <row r="128" spans="1:43" ht="20" customHeight="1" x14ac:dyDescent="0.45">
      <c r="A128" s="26">
        <v>118</v>
      </c>
      <c r="B128" s="16" t="s">
        <v>237</v>
      </c>
      <c r="C128" s="16" t="s">
        <v>214</v>
      </c>
      <c r="D128" s="46">
        <v>29</v>
      </c>
      <c r="E128" s="46">
        <v>1</v>
      </c>
      <c r="F128" s="13">
        <v>0.3711326535627491</v>
      </c>
      <c r="G128" s="13">
        <v>-2.4653055883631422E-2</v>
      </c>
      <c r="H128" s="13">
        <v>0.36278036965625132</v>
      </c>
      <c r="I128" s="13">
        <v>-1.282248127549763E-2</v>
      </c>
      <c r="J128" s="13">
        <v>0.2286114396218705</v>
      </c>
      <c r="K128" s="13">
        <v>19.24508547008551</v>
      </c>
      <c r="L128" s="13">
        <v>2.7105504398946221</v>
      </c>
      <c r="M128" s="13">
        <v>-0.48888628799227712</v>
      </c>
      <c r="N128" s="19">
        <f>(F128-Settings!$D$18)/Settings!$E$18</f>
        <v>0.63995056343545376</v>
      </c>
      <c r="O128" s="19">
        <f>(G128-Settings!$D$19)/Settings!$E$19</f>
        <v>-7.5036786196495509E-2</v>
      </c>
      <c r="P128" s="19">
        <f>(H128-Settings!$D$20)/Settings!$E$20</f>
        <v>2.8055173003119509</v>
      </c>
      <c r="Q128" s="19">
        <f>(I128-Settings!$D$21)/Settings!$E$21</f>
        <v>-0.12147287132376133</v>
      </c>
      <c r="R128" s="19">
        <f>(J128-Settings!$D$22)/Settings!$E$22</f>
        <v>-5.1792465429310194E-2</v>
      </c>
      <c r="S128" s="19">
        <f>(K128-Settings!$D$23)/Settings!$E$23</f>
        <v>1.3855914213831444</v>
      </c>
      <c r="T128" s="19">
        <f>(L128-Settings!$D$24)/Settings!$E$24</f>
        <v>0.96947460998047907</v>
      </c>
      <c r="U128" s="19">
        <f>(M128-Settings!$D$25)/Settings!$E$25</f>
        <v>-0.29374009957949343</v>
      </c>
      <c r="V128" s="31">
        <f>Settings!$B$18*(N128-F$6)^2</f>
        <v>1.3072878736021471E-3</v>
      </c>
      <c r="W128" s="31">
        <f>Settings!$B$19*(O128-G$6)^2</f>
        <v>8.0080623925228637E-6</v>
      </c>
      <c r="X128" s="31">
        <f>Settings!$B$20*(P128-H$6)^2</f>
        <v>1.4468286583111825</v>
      </c>
      <c r="Y128" s="31">
        <f>Settings!$B$21*(Q128-I$6)^2</f>
        <v>6.0774193092520967E-2</v>
      </c>
      <c r="Z128" s="31">
        <f>Settings!$B$22*(R128-J$6)^2</f>
        <v>9.5336589975095809E-2</v>
      </c>
      <c r="AA128" s="31">
        <f>Settings!$B$23*(S128-K$6)^2</f>
        <v>5.7079110200114358E-2</v>
      </c>
      <c r="AB128" s="31">
        <f>Settings!$B$24*(T128-L$6)^2</f>
        <v>0.33131323246293748</v>
      </c>
      <c r="AC128" s="31">
        <f>Settings!$B$25*(U128-M$6)^2</f>
        <v>4.6483981652392723</v>
      </c>
      <c r="AD128" s="19">
        <f t="shared" si="4"/>
        <v>2.5770225542701635</v>
      </c>
      <c r="AE128" s="15">
        <f t="shared" si="5"/>
        <v>1.0200322473477292</v>
      </c>
      <c r="AF128" s="33">
        <f t="shared" si="6"/>
        <v>0.59438210452828966</v>
      </c>
      <c r="AG128" s="47">
        <f t="shared" si="7"/>
        <v>3.5041686044692591E-3</v>
      </c>
      <c r="AH128" s="48"/>
      <c r="AI128" s="48"/>
      <c r="AJ128" s="48"/>
      <c r="AK128" s="48"/>
      <c r="AL128" s="48"/>
      <c r="AM128" s="48"/>
      <c r="AN128" s="48"/>
      <c r="AO128" s="48"/>
      <c r="AP128" s="48"/>
      <c r="AQ128" s="48"/>
    </row>
    <row r="129" spans="1:43" ht="20" customHeight="1" x14ac:dyDescent="0.45">
      <c r="A129" s="26">
        <v>119</v>
      </c>
      <c r="B129" s="16" t="s">
        <v>290</v>
      </c>
      <c r="C129" s="16" t="s">
        <v>234</v>
      </c>
      <c r="D129" s="46">
        <v>29</v>
      </c>
      <c r="E129" s="46">
        <v>1</v>
      </c>
      <c r="F129" s="13">
        <v>0.49477473307509462</v>
      </c>
      <c r="G129" s="13">
        <v>-0.18345329673087141</v>
      </c>
      <c r="H129" s="13">
        <v>6.9418265681794961E-2</v>
      </c>
      <c r="I129" s="13">
        <v>-4.8509487467336992E-2</v>
      </c>
      <c r="J129" s="13">
        <v>-0.2038442170449021</v>
      </c>
      <c r="K129" s="13">
        <v>17.82805164319246</v>
      </c>
      <c r="L129" s="13">
        <v>0.39868898790452673</v>
      </c>
      <c r="M129" s="13">
        <v>-0.51797766315404281</v>
      </c>
      <c r="N129" s="19">
        <f>(F129-Settings!$D$18)/Settings!$E$18</f>
        <v>1.0824578583671678</v>
      </c>
      <c r="O129" s="19">
        <f>(G129-Settings!$D$19)/Settings!$E$19</f>
        <v>-0.73661882965572156</v>
      </c>
      <c r="P129" s="19">
        <f>(H129-Settings!$D$20)/Settings!$E$20</f>
        <v>0.14760022530758299</v>
      </c>
      <c r="Q129" s="19">
        <f>(I129-Settings!$D$21)/Settings!$E$21</f>
        <v>-0.56032696182962649</v>
      </c>
      <c r="R129" s="19">
        <f>(J129-Settings!$D$22)/Settings!$E$22</f>
        <v>-1.2153347699565091</v>
      </c>
      <c r="S129" s="19">
        <f>(K129-Settings!$D$23)/Settings!$E$23</f>
        <v>0.89348816682402277</v>
      </c>
      <c r="T129" s="19">
        <f>(L129-Settings!$D$24)/Settings!$E$24</f>
        <v>-0.62884166686240917</v>
      </c>
      <c r="U129" s="19">
        <f>(M129-Settings!$D$25)/Settings!$E$25</f>
        <v>-0.31335964699385832</v>
      </c>
      <c r="V129" s="31">
        <f>Settings!$B$18*(N129-F$6)^2</f>
        <v>2.6159453099376052E-2</v>
      </c>
      <c r="W129" s="31">
        <f>Settings!$B$19*(O129-G$6)^2</f>
        <v>8.922069615770517E-2</v>
      </c>
      <c r="X129" s="31">
        <f>Settings!$B$20*(P129-H$6)^2</f>
        <v>2.012215291065969E-4</v>
      </c>
      <c r="Y129" s="31">
        <f>Settings!$B$21*(Q129-I$6)^2</f>
        <v>0.19605921142735999</v>
      </c>
      <c r="Z129" s="31">
        <f>Settings!$B$22*(R129-J$6)^2</f>
        <v>0.68743694964581725</v>
      </c>
      <c r="AA129" s="31">
        <f>Settings!$B$23*(S129-K$6)^2</f>
        <v>6.4105634980634874E-2</v>
      </c>
      <c r="AB129" s="31">
        <f>Settings!$B$24*(T129-L$6)^2</f>
        <v>1.0459523631004815</v>
      </c>
      <c r="AC129" s="31">
        <f>Settings!$B$25*(U129-M$6)^2</f>
        <v>4.5641830377290074</v>
      </c>
      <c r="AD129" s="19">
        <f t="shared" si="4"/>
        <v>2.5832767114015271</v>
      </c>
      <c r="AE129" s="15">
        <f t="shared" si="5"/>
        <v>1.0225077561256404</v>
      </c>
      <c r="AF129" s="33">
        <f t="shared" si="6"/>
        <v>0.59288130769936076</v>
      </c>
      <c r="AG129" s="47">
        <f t="shared" si="7"/>
        <v>3.4953206847732361E-3</v>
      </c>
      <c r="AH129" s="18">
        <v>-1.1131041213318631</v>
      </c>
      <c r="AI129" s="46">
        <v>1</v>
      </c>
      <c r="AJ129" s="18">
        <v>0.30105620642468411</v>
      </c>
      <c r="AK129" s="46">
        <v>1</v>
      </c>
      <c r="AL129" s="18">
        <v>0.90228127824846749</v>
      </c>
      <c r="AM129" s="46">
        <v>1</v>
      </c>
      <c r="AN129" s="48"/>
      <c r="AO129" s="48"/>
      <c r="AP129" s="48"/>
      <c r="AQ129" s="48"/>
    </row>
    <row r="130" spans="1:43" ht="20" customHeight="1" x14ac:dyDescent="0.45">
      <c r="A130" s="26">
        <v>120</v>
      </c>
      <c r="B130" s="16" t="s">
        <v>374</v>
      </c>
      <c r="C130" s="16" t="s">
        <v>260</v>
      </c>
      <c r="D130" s="46">
        <v>29</v>
      </c>
      <c r="E130" s="46">
        <v>1</v>
      </c>
      <c r="F130" s="13">
        <v>0.26388797023932148</v>
      </c>
      <c r="G130" s="13">
        <v>-0.38426246879138409</v>
      </c>
      <c r="H130" s="13">
        <v>0.10880218908772819</v>
      </c>
      <c r="I130" s="13">
        <v>-5.7706904333545639E-2</v>
      </c>
      <c r="J130" s="13">
        <v>0.18534046754802061</v>
      </c>
      <c r="K130" s="13">
        <v>15.47558922558923</v>
      </c>
      <c r="L130" s="13">
        <v>0.14549987619469851</v>
      </c>
      <c r="M130" s="13">
        <v>-1.016318101942508</v>
      </c>
      <c r="N130" s="19">
        <f>(F130-Settings!$D$18)/Settings!$E$18</f>
        <v>0.25612852727728813</v>
      </c>
      <c r="O130" s="19">
        <f>(G130-Settings!$D$19)/Settings!$E$19</f>
        <v>-1.5732154348519807</v>
      </c>
      <c r="P130" s="19">
        <f>(H130-Settings!$D$20)/Settings!$E$20</f>
        <v>0.50442614482174342</v>
      </c>
      <c r="Q130" s="19">
        <f>(I130-Settings!$D$21)/Settings!$E$21</f>
        <v>-0.67343042565412348</v>
      </c>
      <c r="R130" s="19">
        <f>(J130-Settings!$D$22)/Settings!$E$22</f>
        <v>-0.16821505301667658</v>
      </c>
      <c r="S130" s="19">
        <f>(K130-Settings!$D$23)/Settings!$E$23</f>
        <v>7.6532078719329794E-2</v>
      </c>
      <c r="T130" s="19">
        <f>(L130-Settings!$D$24)/Settings!$E$24</f>
        <v>-0.80388514882230677</v>
      </c>
      <c r="U130" s="19">
        <f>(M130-Settings!$D$25)/Settings!$E$25</f>
        <v>-0.64944598918079499</v>
      </c>
      <c r="V130" s="31">
        <f>Settings!$B$18*(N130-F$6)^2</f>
        <v>4.3183694783684799E-2</v>
      </c>
      <c r="W130" s="31">
        <f>Settings!$B$19*(O130-G$6)^2</f>
        <v>0.45270789557862012</v>
      </c>
      <c r="X130" s="31">
        <f>Settings!$B$20*(P130-H$6)^2</f>
        <v>3.0193461972042753E-2</v>
      </c>
      <c r="Y130" s="31">
        <f>Settings!$B$21*(Q130-I$6)^2</f>
        <v>0.24341114132938635</v>
      </c>
      <c r="Z130" s="31">
        <f>Settings!$B$22*(R130-J$6)^2</f>
        <v>0.13019973394978715</v>
      </c>
      <c r="AA130" s="31">
        <f>Settings!$B$23*(S130-K$6)^2</f>
        <v>1.1452145894120045</v>
      </c>
      <c r="AB130" s="31">
        <f>Settings!$B$24*(T130-L$6)^2</f>
        <v>1.4346328669864874</v>
      </c>
      <c r="AC130" s="31">
        <f>Settings!$B$25*(U130-M$6)^2</f>
        <v>3.2411107929288501</v>
      </c>
      <c r="AD130" s="19">
        <f t="shared" si="4"/>
        <v>2.5924224534093327</v>
      </c>
      <c r="AE130" s="15">
        <f t="shared" si="5"/>
        <v>1.0261278066209014</v>
      </c>
      <c r="AF130" s="33">
        <f t="shared" si="6"/>
        <v>0.59068692612761464</v>
      </c>
      <c r="AG130" s="47">
        <f t="shared" si="7"/>
        <v>3.4823837491701004E-3</v>
      </c>
      <c r="AH130" s="18">
        <v>0.17042845925941821</v>
      </c>
      <c r="AI130" s="46">
        <v>1</v>
      </c>
      <c r="AJ130" s="18">
        <v>-8.7125253616279874E-2</v>
      </c>
      <c r="AK130" s="46">
        <v>1</v>
      </c>
      <c r="AL130" s="18">
        <v>-0.20657239737694291</v>
      </c>
      <c r="AM130" s="46">
        <v>1</v>
      </c>
      <c r="AN130" s="18">
        <v>0.27290662416265438</v>
      </c>
      <c r="AO130" s="46">
        <v>1</v>
      </c>
      <c r="AP130" s="18">
        <v>-0.84752684654320798</v>
      </c>
      <c r="AQ130" s="46">
        <v>1</v>
      </c>
    </row>
    <row r="131" spans="1:43" ht="20" customHeight="1" x14ac:dyDescent="0.45">
      <c r="A131" s="26">
        <v>121</v>
      </c>
      <c r="B131" s="16" t="s">
        <v>388</v>
      </c>
      <c r="C131" s="16" t="s">
        <v>271</v>
      </c>
      <c r="D131" s="46">
        <v>29</v>
      </c>
      <c r="E131" s="46">
        <v>1</v>
      </c>
      <c r="F131" s="13">
        <v>8.9329380344578824E-2</v>
      </c>
      <c r="G131" s="13">
        <v>-0.51896793486901849</v>
      </c>
      <c r="H131" s="13">
        <v>-0.1020806793702308</v>
      </c>
      <c r="I131" s="13">
        <v>-1.998981531341632E-6</v>
      </c>
      <c r="J131" s="13">
        <v>0.2896200064346407</v>
      </c>
      <c r="K131" s="13">
        <v>13.57172413793104</v>
      </c>
      <c r="L131" s="13">
        <v>-3.0213706738510648E-2</v>
      </c>
      <c r="M131" s="13">
        <v>-2.7741837918327659</v>
      </c>
      <c r="N131" s="19">
        <f>(F131-Settings!$D$18)/Settings!$E$18</f>
        <v>-0.36860578426188612</v>
      </c>
      <c r="O131" s="19">
        <f>(G131-Settings!$D$19)/Settings!$E$19</f>
        <v>-2.1344155755904182</v>
      </c>
      <c r="P131" s="19">
        <f>(H131-Settings!$D$20)/Settings!$E$20</f>
        <v>-1.4062131957970911</v>
      </c>
      <c r="Q131" s="19">
        <f>(I131-Settings!$D$21)/Settings!$E$21</f>
        <v>3.6184542321984842E-2</v>
      </c>
      <c r="R131" s="19">
        <f>(J131-Settings!$D$22)/Settings!$E$22</f>
        <v>0.11235395589945582</v>
      </c>
      <c r="S131" s="19">
        <f>(K131-Settings!$D$23)/Settings!$E$23</f>
        <v>-0.58463647498577143</v>
      </c>
      <c r="T131" s="19">
        <f>(L131-Settings!$D$24)/Settings!$E$24</f>
        <v>-0.92536555995281511</v>
      </c>
      <c r="U131" s="19">
        <f>(M131-Settings!$D$25)/Settings!$E$25</f>
        <v>-1.8349701886766987</v>
      </c>
      <c r="V131" s="31">
        <f>Settings!$B$18*(N131-F$6)^2</f>
        <v>0.23736047506549124</v>
      </c>
      <c r="W131" s="31">
        <f>Settings!$B$19*(O131-G$6)^2</f>
        <v>0.85342869432107415</v>
      </c>
      <c r="X131" s="31">
        <f>Settings!$B$20*(P131-H$6)^2</f>
        <v>0.46335416361386789</v>
      </c>
      <c r="Y131" s="31">
        <f>Settings!$B$21*(Q131-I$6)^2</f>
        <v>3.0982225550964977E-2</v>
      </c>
      <c r="Z131" s="31">
        <f>Settings!$B$22*(R131-J$6)^2</f>
        <v>5.5393259718931748E-2</v>
      </c>
      <c r="AA131" s="31">
        <f>Settings!$B$23*(S131-K$6)^2</f>
        <v>2.9974535267685405</v>
      </c>
      <c r="AB131" s="31">
        <f>Settings!$B$24*(T131-L$6)^2</f>
        <v>1.7403995021623395</v>
      </c>
      <c r="AC131" s="31">
        <f>Settings!$B$25*(U131-M$6)^2</f>
        <v>0.37795976952904736</v>
      </c>
      <c r="AD131" s="19">
        <f t="shared" si="4"/>
        <v>2.5992944459468723</v>
      </c>
      <c r="AE131" s="15">
        <f t="shared" si="5"/>
        <v>1.0288478658536808</v>
      </c>
      <c r="AF131" s="33">
        <f t="shared" si="6"/>
        <v>0.58903836269834997</v>
      </c>
      <c r="AG131" s="47">
        <f t="shared" si="7"/>
        <v>3.4726646742395217E-3</v>
      </c>
      <c r="AH131" s="18">
        <v>-0.54224703883554426</v>
      </c>
      <c r="AI131" s="46">
        <v>1</v>
      </c>
      <c r="AJ131" s="48"/>
      <c r="AK131" s="48"/>
      <c r="AL131" s="48"/>
      <c r="AM131" s="48"/>
      <c r="AN131" s="48"/>
      <c r="AO131" s="48"/>
      <c r="AP131" s="48"/>
      <c r="AQ131" s="48"/>
    </row>
    <row r="132" spans="1:43" ht="20" customHeight="1" x14ac:dyDescent="0.45">
      <c r="A132" s="26">
        <v>122</v>
      </c>
      <c r="B132" s="16" t="s">
        <v>330</v>
      </c>
      <c r="C132" s="16" t="s">
        <v>260</v>
      </c>
      <c r="D132" s="46">
        <v>29</v>
      </c>
      <c r="E132" s="46">
        <v>1</v>
      </c>
      <c r="F132" s="13">
        <v>0.21518340454507959</v>
      </c>
      <c r="G132" s="13">
        <v>-0.10249281538153079</v>
      </c>
      <c r="H132" s="13">
        <v>0.15751856840014439</v>
      </c>
      <c r="I132" s="13">
        <v>2.7871930593970522E-2</v>
      </c>
      <c r="J132" s="13">
        <v>0.49693328107927459</v>
      </c>
      <c r="K132" s="13">
        <v>19.073333333333331</v>
      </c>
      <c r="L132" s="13">
        <v>1.4278603764362701</v>
      </c>
      <c r="M132" s="13">
        <v>0.1002109454213418</v>
      </c>
      <c r="N132" s="19">
        <f>(F132-Settings!$D$18)/Settings!$E$18</f>
        <v>8.1817922819758082E-2</v>
      </c>
      <c r="O132" s="19">
        <f>(G132-Settings!$D$19)/Settings!$E$19</f>
        <v>-0.39932714543174103</v>
      </c>
      <c r="P132" s="19">
        <f>(H132-Settings!$D$20)/Settings!$E$20</f>
        <v>0.9458059094628336</v>
      </c>
      <c r="Q132" s="19">
        <f>(I132-Settings!$D$21)/Settings!$E$21</f>
        <v>0.37895882680311521</v>
      </c>
      <c r="R132" s="19">
        <f>(J132-Settings!$D$22)/Settings!$E$22</f>
        <v>0.67014008176106543</v>
      </c>
      <c r="S132" s="19">
        <f>(K132-Settings!$D$23)/Settings!$E$23</f>
        <v>1.3259458547994967</v>
      </c>
      <c r="T132" s="19">
        <f>(L132-Settings!$D$24)/Settings!$E$24</f>
        <v>8.2680808039918591E-2</v>
      </c>
      <c r="U132" s="19">
        <f>(M132-Settings!$D$25)/Settings!$E$25</f>
        <v>0.10355363570669446</v>
      </c>
      <c r="V132" s="31">
        <f>Settings!$B$18*(N132-F$6)^2</f>
        <v>8.1659315461412987E-2</v>
      </c>
      <c r="W132" s="31">
        <f>Settings!$B$19*(O132-G$6)^2</f>
        <v>2.186166570123653E-2</v>
      </c>
      <c r="X132" s="31">
        <f>Settings!$B$20*(P132-H$6)^2</f>
        <v>0.13775506265176238</v>
      </c>
      <c r="Y132" s="31">
        <f>Settings!$B$21*(Q132-I$6)^2</f>
        <v>5.1639677047276764E-4</v>
      </c>
      <c r="Z132" s="31">
        <f>Settings!$B$22*(R132-J$6)^2</f>
        <v>1.9857915807067872E-4</v>
      </c>
      <c r="AA132" s="31">
        <f>Settings!$B$23*(S132-K$6)^2</f>
        <v>3.2136579049369E-2</v>
      </c>
      <c r="AB132" s="31">
        <f>Settings!$B$24*(T132-L$6)^2</f>
        <v>9.684273260836132E-2</v>
      </c>
      <c r="AC132" s="31">
        <f>Settings!$B$25*(U132-M$6)^2</f>
        <v>6.5193825192608852</v>
      </c>
      <c r="AD132" s="19">
        <f t="shared" si="4"/>
        <v>2.6249481615189225</v>
      </c>
      <c r="AE132" s="15">
        <f t="shared" si="5"/>
        <v>1.039002071568496</v>
      </c>
      <c r="AF132" s="33">
        <f t="shared" si="6"/>
        <v>0.58288658271088811</v>
      </c>
      <c r="AG132" s="47">
        <f t="shared" si="7"/>
        <v>3.4363969701322896E-3</v>
      </c>
      <c r="AH132" s="18">
        <v>-0.25275413764250271</v>
      </c>
      <c r="AI132" s="46">
        <v>1</v>
      </c>
      <c r="AJ132" s="18">
        <v>-1.578437789360595</v>
      </c>
      <c r="AK132" s="46">
        <v>1</v>
      </c>
      <c r="AL132" s="18">
        <v>-1.3732838000659939</v>
      </c>
      <c r="AM132" s="46">
        <v>1</v>
      </c>
      <c r="AN132" s="48"/>
      <c r="AO132" s="48"/>
      <c r="AP132" s="48"/>
      <c r="AQ132" s="48"/>
    </row>
    <row r="133" spans="1:43" ht="20" customHeight="1" x14ac:dyDescent="0.45">
      <c r="A133" s="26">
        <v>123</v>
      </c>
      <c r="B133" s="16" t="s">
        <v>753</v>
      </c>
      <c r="C133" s="16" t="s">
        <v>218</v>
      </c>
      <c r="D133" s="46">
        <v>29</v>
      </c>
      <c r="E133" s="46">
        <v>0</v>
      </c>
      <c r="F133" s="13">
        <v>0.63219722782276044</v>
      </c>
      <c r="G133" s="13">
        <v>3.2663398954439482E-2</v>
      </c>
      <c r="H133" s="13">
        <v>0.22249618048413741</v>
      </c>
      <c r="I133" s="13">
        <v>-1.8165660213324329E-3</v>
      </c>
      <c r="J133" s="13">
        <v>0.1108266267173303</v>
      </c>
      <c r="K133" s="13">
        <v>19.92811594202896</v>
      </c>
      <c r="L133" s="13">
        <v>3.2139756092570351</v>
      </c>
      <c r="M133" s="13">
        <v>-0.36490530631508727</v>
      </c>
      <c r="N133" s="19">
        <f>(F133-Settings!$D$18)/Settings!$E$18</f>
        <v>1.5742844003777738</v>
      </c>
      <c r="O133" s="19">
        <f>(G133-Settings!$D$19)/Settings!$E$19</f>
        <v>0.16375087000162447</v>
      </c>
      <c r="P133" s="19">
        <f>(H133-Settings!$D$20)/Settings!$E$20</f>
        <v>1.5345155700197166</v>
      </c>
      <c r="Q133" s="19">
        <f>(I133-Settings!$D$21)/Settings!$E$21</f>
        <v>1.3870253372301891E-2</v>
      </c>
      <c r="R133" s="19">
        <f>(J133-Settings!$D$22)/Settings!$E$22</f>
        <v>-0.36869804992685629</v>
      </c>
      <c r="S133" s="19">
        <f>(K133-Settings!$D$23)/Settings!$E$23</f>
        <v>1.6227921937481879</v>
      </c>
      <c r="T133" s="19">
        <f>(L133-Settings!$D$24)/Settings!$E$24</f>
        <v>1.3175199661032213</v>
      </c>
      <c r="U133" s="19">
        <f>(M133-Settings!$D$25)/Settings!$E$25</f>
        <v>-0.21012594469787513</v>
      </c>
      <c r="V133" s="31">
        <f>Settings!$B$18*(N133-F$6)^2</f>
        <v>0.14568752976157701</v>
      </c>
      <c r="W133" s="31">
        <f>Settings!$B$19*(O133-G$6)^2</f>
        <v>1.0807522392172359E-2</v>
      </c>
      <c r="X133" s="31">
        <f>Settings!$B$20*(P133-H$6)^2</f>
        <v>0.40250479426232844</v>
      </c>
      <c r="Y133" s="31">
        <f>Settings!$B$21*(Q133-I$6)^2</f>
        <v>3.459486121618395E-2</v>
      </c>
      <c r="Z133" s="31">
        <f>Settings!$B$22*(R133-J$6)^2</f>
        <v>0.20294189265890267</v>
      </c>
      <c r="AA133" s="31">
        <f>Settings!$B$23*(S133-K$6)^2</f>
        <v>0.22668370372897986</v>
      </c>
      <c r="AB133" s="31">
        <f>Settings!$B$24*(T133-L$6)^2</f>
        <v>0.85311732990010869</v>
      </c>
      <c r="AC133" s="31">
        <f>Settings!$B$25*(U133-M$6)^2</f>
        <v>5.0159361388743235</v>
      </c>
      <c r="AD133" s="19">
        <f t="shared" si="4"/>
        <v>2.6253140331767124</v>
      </c>
      <c r="AE133" s="15">
        <f t="shared" si="5"/>
        <v>1.0391468902037533</v>
      </c>
      <c r="AF133" s="33">
        <f t="shared" si="6"/>
        <v>0.58279887808253539</v>
      </c>
      <c r="AG133" s="47">
        <f t="shared" si="7"/>
        <v>3.4358799091326413E-3</v>
      </c>
      <c r="AH133" s="18">
        <v>-0.44616010836900649</v>
      </c>
      <c r="AI133" s="46">
        <v>0</v>
      </c>
      <c r="AJ133" s="18">
        <v>-1.043837767764429</v>
      </c>
      <c r="AK133" s="46">
        <v>0</v>
      </c>
      <c r="AL133" s="18">
        <v>-0.77345694993173164</v>
      </c>
      <c r="AM133" s="46">
        <v>0</v>
      </c>
      <c r="AN133" s="18">
        <v>2.5965146441581429E-2</v>
      </c>
      <c r="AO133" s="46">
        <v>0</v>
      </c>
      <c r="AP133" s="18">
        <v>0.41909265431226761</v>
      </c>
      <c r="AQ133" s="46">
        <v>1</v>
      </c>
    </row>
    <row r="134" spans="1:43" ht="20" customHeight="1" x14ac:dyDescent="0.45">
      <c r="A134" s="26">
        <v>124</v>
      </c>
      <c r="B134" s="16" t="s">
        <v>560</v>
      </c>
      <c r="C134" s="16" t="s">
        <v>216</v>
      </c>
      <c r="D134" s="46">
        <v>29</v>
      </c>
      <c r="E134" s="46">
        <v>1</v>
      </c>
      <c r="F134" s="13">
        <v>0.50864711744290136</v>
      </c>
      <c r="G134" s="13">
        <v>-9.3871672154991745E-2</v>
      </c>
      <c r="H134" s="13">
        <v>4.5298081068482288E-3</v>
      </c>
      <c r="I134" s="13">
        <v>-2.365997835917958E-2</v>
      </c>
      <c r="J134" s="13">
        <v>0.36929142393607922</v>
      </c>
      <c r="K134" s="13">
        <v>15.944862155388501</v>
      </c>
      <c r="L134" s="13">
        <v>1.0870505106213351</v>
      </c>
      <c r="M134" s="13">
        <v>-0.19440570444919469</v>
      </c>
      <c r="N134" s="19">
        <f>(F134-Settings!$D$18)/Settings!$E$18</f>
        <v>1.1321062572380249</v>
      </c>
      <c r="O134" s="19">
        <f>(G134-Settings!$D$19)/Settings!$E$19</f>
        <v>-0.36341036393104409</v>
      </c>
      <c r="P134" s="19">
        <f>(H134-Settings!$D$20)/Settings!$E$20</f>
        <v>-0.44030167825309163</v>
      </c>
      <c r="Q134" s="19">
        <f>(I134-Settings!$D$21)/Settings!$E$21</f>
        <v>-0.25474490598120464</v>
      </c>
      <c r="R134" s="19">
        <f>(J134-Settings!$D$22)/Settings!$E$22</f>
        <v>0.32671365566400978</v>
      </c>
      <c r="S134" s="19">
        <f>(K134-Settings!$D$23)/Settings!$E$23</f>
        <v>0.23949977338407027</v>
      </c>
      <c r="T134" s="19">
        <f>(L134-Settings!$D$24)/Settings!$E$24</f>
        <v>-0.15293969394636781</v>
      </c>
      <c r="U134" s="19">
        <f>(M134-Settings!$D$25)/Settings!$E$25</f>
        <v>-9.5139114259736535E-2</v>
      </c>
      <c r="V134" s="31">
        <f>Settings!$B$18*(N134-F$6)^2</f>
        <v>3.3834762828330547E-2</v>
      </c>
      <c r="W134" s="31">
        <f>Settings!$B$19*(O134-G$6)^2</f>
        <v>1.7369773506796631E-2</v>
      </c>
      <c r="X134" s="31">
        <f>Settings!$B$20*(P134-H$6)^2</f>
        <v>6.1867839958908294E-2</v>
      </c>
      <c r="Y134" s="31">
        <f>Settings!$B$21*(Q134-I$6)^2</f>
        <v>9.3712693145910297E-2</v>
      </c>
      <c r="Z134" s="31">
        <f>Settings!$B$22*(R134-J$6)^2</f>
        <v>1.945834031031142E-2</v>
      </c>
      <c r="AA134" s="31">
        <f>Settings!$B$23*(S134-K$6)^2</f>
        <v>0.822974281688992</v>
      </c>
      <c r="AB134" s="31">
        <f>Settings!$B$24*(T134-L$6)^2</f>
        <v>0.29900790412481776</v>
      </c>
      <c r="AC134" s="31">
        <f>Settings!$B$25*(U134-M$6)^2</f>
        <v>5.5442136916700537</v>
      </c>
      <c r="AD134" s="19">
        <f t="shared" si="4"/>
        <v>2.6253455557762524</v>
      </c>
      <c r="AE134" s="15">
        <f t="shared" si="5"/>
        <v>1.0391593674201429</v>
      </c>
      <c r="AF134" s="33">
        <f t="shared" si="6"/>
        <v>0.58279132171370007</v>
      </c>
      <c r="AG134" s="47">
        <f t="shared" si="7"/>
        <v>3.435835360701195E-3</v>
      </c>
      <c r="AH134" s="18">
        <v>-0.56595254912159865</v>
      </c>
      <c r="AI134" s="46">
        <v>1</v>
      </c>
      <c r="AJ134" s="18">
        <v>0.5638536591639689</v>
      </c>
      <c r="AK134" s="46">
        <v>1</v>
      </c>
      <c r="AL134" s="48"/>
      <c r="AM134" s="48"/>
      <c r="AN134" s="48"/>
      <c r="AO134" s="48"/>
      <c r="AP134" s="48"/>
      <c r="AQ134" s="48"/>
    </row>
    <row r="135" spans="1:43" ht="20" customHeight="1" x14ac:dyDescent="0.45">
      <c r="A135" s="26">
        <v>125</v>
      </c>
      <c r="B135" s="16" t="s">
        <v>354</v>
      </c>
      <c r="C135" s="16" t="s">
        <v>236</v>
      </c>
      <c r="D135" s="46">
        <v>29</v>
      </c>
      <c r="E135" s="46">
        <v>0</v>
      </c>
      <c r="F135" s="13">
        <v>-1.8574547571870419E-3</v>
      </c>
      <c r="G135" s="13">
        <v>-0.17560209281356429</v>
      </c>
      <c r="H135" s="13">
        <v>-2.3913592861067649E-2</v>
      </c>
      <c r="I135" s="13">
        <v>8.9851916689575664E-3</v>
      </c>
      <c r="J135" s="13">
        <v>0.78964166789922341</v>
      </c>
      <c r="K135" s="13">
        <v>16.792401960784339</v>
      </c>
      <c r="L135" s="13">
        <v>1.1560215843292589</v>
      </c>
      <c r="M135" s="13">
        <v>-0.20310515998676279</v>
      </c>
      <c r="N135" s="19">
        <f>(F135-Settings!$D$18)/Settings!$E$18</f>
        <v>-0.69495778265445363</v>
      </c>
      <c r="O135" s="19">
        <f>(G135-Settings!$D$19)/Settings!$E$19</f>
        <v>-0.70390971345089304</v>
      </c>
      <c r="P135" s="19">
        <f>(H135-Settings!$D$20)/Settings!$E$20</f>
        <v>-0.69800436063636917</v>
      </c>
      <c r="Q135" s="19">
        <f>(I135-Settings!$D$21)/Settings!$E$21</f>
        <v>0.14670278971772813</v>
      </c>
      <c r="R135" s="19">
        <f>(J135-Settings!$D$22)/Settings!$E$22</f>
        <v>1.4576857773821863</v>
      </c>
      <c r="S135" s="19">
        <f>(K135-Settings!$D$23)/Settings!$E$23</f>
        <v>0.53383085334012792</v>
      </c>
      <c r="T135" s="19">
        <f>(L135-Settings!$D$24)/Settings!$E$24</f>
        <v>-0.10525621808590453</v>
      </c>
      <c r="U135" s="19">
        <f>(M135-Settings!$D$25)/Settings!$E$25</f>
        <v>-0.10100612396448223</v>
      </c>
      <c r="V135" s="31">
        <f>Settings!$B$18*(N135-F$6)^2</f>
        <v>0.40087334731387386</v>
      </c>
      <c r="W135" s="31">
        <f>Settings!$B$19*(O135-G$6)^2</f>
        <v>8.0695977906602101E-2</v>
      </c>
      <c r="X135" s="31">
        <f>Settings!$B$20*(P135-H$6)^2</f>
        <v>0.13248188430657182</v>
      </c>
      <c r="Y135" s="31">
        <f>Settings!$B$21*(Q135-I$6)^2</f>
        <v>1.6025641446969857E-2</v>
      </c>
      <c r="Z135" s="31">
        <f>Settings!$B$22*(R135-J$6)^2</f>
        <v>0.13417052807506083</v>
      </c>
      <c r="AA135" s="31">
        <f>Settings!$B$23*(S135-K$6)^2</f>
        <v>0.37558294036550216</v>
      </c>
      <c r="AB135" s="31">
        <f>Settings!$B$24*(T135-L$6)^2</f>
        <v>0.24913342842374328</v>
      </c>
      <c r="AC135" s="31">
        <f>Settings!$B$25*(U135-M$6)^2</f>
        <v>5.516619010643141</v>
      </c>
      <c r="AD135" s="19">
        <f t="shared" si="4"/>
        <v>2.6278475523670441</v>
      </c>
      <c r="AE135" s="15">
        <f t="shared" si="5"/>
        <v>1.0401497030309559</v>
      </c>
      <c r="AF135" s="33">
        <f t="shared" si="6"/>
        <v>0.58219158454200437</v>
      </c>
      <c r="AG135" s="47">
        <f t="shared" si="7"/>
        <v>3.4322996213981805E-3</v>
      </c>
      <c r="AH135" s="18">
        <v>-0.71724064316604141</v>
      </c>
      <c r="AI135" s="46">
        <v>1</v>
      </c>
      <c r="AJ135" s="18">
        <v>-4.2929236356685767E-2</v>
      </c>
      <c r="AK135" s="46">
        <v>1</v>
      </c>
      <c r="AL135" s="48"/>
      <c r="AM135" s="48"/>
      <c r="AN135" s="48"/>
      <c r="AO135" s="48"/>
      <c r="AP135" s="48"/>
      <c r="AQ135" s="48"/>
    </row>
    <row r="136" spans="1:43" ht="20" customHeight="1" x14ac:dyDescent="0.45">
      <c r="A136" s="26">
        <v>126</v>
      </c>
      <c r="B136" s="16" t="s">
        <v>338</v>
      </c>
      <c r="C136" s="16" t="s">
        <v>232</v>
      </c>
      <c r="D136" s="46">
        <v>29</v>
      </c>
      <c r="E136" s="46">
        <v>0</v>
      </c>
      <c r="F136" s="13">
        <v>0.49141326482151271</v>
      </c>
      <c r="G136" s="13">
        <v>5.3679726893193863E-2</v>
      </c>
      <c r="H136" s="13">
        <v>4.2060390452035142E-2</v>
      </c>
      <c r="I136" s="13">
        <v>3.6270831146775442E-2</v>
      </c>
      <c r="J136" s="13">
        <v>0.37657578668648289</v>
      </c>
      <c r="K136" s="13">
        <v>18.946997929606582</v>
      </c>
      <c r="L136" s="13">
        <v>2.395857082527165</v>
      </c>
      <c r="M136" s="13">
        <v>0.15187725037213079</v>
      </c>
      <c r="N136" s="19">
        <f>(F136-Settings!$D$18)/Settings!$E$18</f>
        <v>1.0704273730359757</v>
      </c>
      <c r="O136" s="19">
        <f>(G136-Settings!$D$19)/Settings!$E$19</f>
        <v>0.25130757085767358</v>
      </c>
      <c r="P136" s="19">
        <f>(H136-Settings!$D$20)/Settings!$E$20</f>
        <v>-0.10026738514338757</v>
      </c>
      <c r="Q136" s="19">
        <f>(I136-Settings!$D$21)/Settings!$E$21</f>
        <v>0.48224268994188624</v>
      </c>
      <c r="R136" s="19">
        <f>(J136-Settings!$D$22)/Settings!$E$22</f>
        <v>0.3463125765960296</v>
      </c>
      <c r="S136" s="19">
        <f>(K136-Settings!$D$23)/Settings!$E$23</f>
        <v>1.2820724749548629</v>
      </c>
      <c r="T136" s="19">
        <f>(L136-Settings!$D$24)/Settings!$E$24</f>
        <v>0.7519098788147045</v>
      </c>
      <c r="U136" s="19">
        <f>(M136-Settings!$D$25)/Settings!$E$25</f>
        <v>0.13839796719911879</v>
      </c>
      <c r="V136" s="31">
        <f>Settings!$B$18*(N136-F$6)^2</f>
        <v>2.4448026076096037E-2</v>
      </c>
      <c r="W136" s="31">
        <f>Settings!$B$19*(O136-G$6)^2</f>
        <v>2.0482126851491644E-2</v>
      </c>
      <c r="X136" s="31">
        <f>Settings!$B$20*(P136-H$6)^2</f>
        <v>9.3440270723307572E-3</v>
      </c>
      <c r="Y136" s="31">
        <f>Settings!$B$21*(Q136-I$6)^2</f>
        <v>5.5063356973140574E-4</v>
      </c>
      <c r="Z136" s="31">
        <f>Settings!$B$22*(R136-J$6)^2</f>
        <v>1.7089875653504043E-2</v>
      </c>
      <c r="AA136" s="31">
        <f>Settings!$B$23*(S136-K$6)^2</f>
        <v>1.8331373287337725E-2</v>
      </c>
      <c r="AB136" s="31">
        <f>Settings!$B$24*(T136-L$6)^2</f>
        <v>0.12818793035782527</v>
      </c>
      <c r="AC136" s="31">
        <f>Settings!$B$25*(U136-M$6)^2</f>
        <v>6.6985332780018432</v>
      </c>
      <c r="AD136" s="19">
        <f t="shared" si="4"/>
        <v>2.6300127891077185</v>
      </c>
      <c r="AE136" s="15">
        <f t="shared" si="5"/>
        <v>1.0410067429877736</v>
      </c>
      <c r="AF136" s="33">
        <f t="shared" si="6"/>
        <v>0.58167260757318684</v>
      </c>
      <c r="AG136" s="47">
        <f t="shared" si="7"/>
        <v>3.42924000236403E-3</v>
      </c>
      <c r="AH136" s="18">
        <v>0.44799602473555522</v>
      </c>
      <c r="AI136" s="46">
        <v>0</v>
      </c>
      <c r="AJ136" s="18">
        <v>-0.47610049296454632</v>
      </c>
      <c r="AK136" s="46">
        <v>0</v>
      </c>
      <c r="AL136" s="18">
        <v>-1.2773364578691031</v>
      </c>
      <c r="AM136" s="46">
        <v>1</v>
      </c>
      <c r="AN136" s="18">
        <v>0.44146264745522718</v>
      </c>
      <c r="AO136" s="46">
        <v>1</v>
      </c>
      <c r="AP136" s="18">
        <v>-0.42758344195342662</v>
      </c>
      <c r="AQ136" s="46">
        <v>1</v>
      </c>
    </row>
    <row r="137" spans="1:43" ht="20" customHeight="1" x14ac:dyDescent="0.45">
      <c r="A137" s="26">
        <v>127</v>
      </c>
      <c r="B137" s="16" t="s">
        <v>658</v>
      </c>
      <c r="C137" s="16" t="s">
        <v>232</v>
      </c>
      <c r="D137" s="46">
        <v>29</v>
      </c>
      <c r="E137" s="46">
        <v>0</v>
      </c>
      <c r="F137" s="13">
        <v>5.5763481005691472E-2</v>
      </c>
      <c r="G137" s="13">
        <v>0.15300225959899791</v>
      </c>
      <c r="H137" s="13">
        <v>-5.8951376547012532E-2</v>
      </c>
      <c r="I137" s="13">
        <v>-9.4901755537581192E-2</v>
      </c>
      <c r="J137" s="13">
        <v>0.63738112731071705</v>
      </c>
      <c r="K137" s="13">
        <v>16.173591549295772</v>
      </c>
      <c r="L137" s="13">
        <v>0.71395449359709073</v>
      </c>
      <c r="M137" s="13">
        <v>-0.55882278633004712</v>
      </c>
      <c r="N137" s="19">
        <f>(F137-Settings!$D$18)/Settings!$E$18</f>
        <v>-0.48873604555305261</v>
      </c>
      <c r="O137" s="19">
        <f>(G137-Settings!$D$19)/Settings!$E$19</f>
        <v>0.66509790139163205</v>
      </c>
      <c r="P137" s="19">
        <f>(H137-Settings!$D$20)/Settings!$E$20</f>
        <v>-1.0154534185327198</v>
      </c>
      <c r="Q137" s="19">
        <f>(I137-Settings!$D$21)/Settings!$E$21</f>
        <v>-1.1308269500053494</v>
      </c>
      <c r="R137" s="19">
        <f>(J137-Settings!$D$22)/Settings!$E$22</f>
        <v>1.0480216244135061</v>
      </c>
      <c r="S137" s="19">
        <f>(K137-Settings!$D$23)/Settings!$E$23</f>
        <v>0.31893223083069028</v>
      </c>
      <c r="T137" s="19">
        <f>(L137-Settings!$D$24)/Settings!$E$24</f>
        <v>-0.41088137826390014</v>
      </c>
      <c r="U137" s="19">
        <f>(M137-Settings!$D$25)/Settings!$E$25</f>
        <v>-0.3409060529764264</v>
      </c>
      <c r="V137" s="31">
        <f>Settings!$B$18*(N137-F$6)^2</f>
        <v>0.29259491454277642</v>
      </c>
      <c r="W137" s="31">
        <f>Settings!$B$19*(O137-G$6)^2</f>
        <v>0.10769452683768775</v>
      </c>
      <c r="X137" s="31">
        <f>Settings!$B$20*(P137-H$6)^2</f>
        <v>0.25598352478605313</v>
      </c>
      <c r="Y137" s="31">
        <f>Settings!$B$21*(Q137-I$6)^2</f>
        <v>0.48709384899638297</v>
      </c>
      <c r="Z137" s="31">
        <f>Settings!$B$22*(R137-J$6)^2</f>
        <v>3.3520327810091288E-2</v>
      </c>
      <c r="AA137" s="31">
        <f>Settings!$B$23*(S137-K$6)^2</f>
        <v>0.68516483475533752</v>
      </c>
      <c r="AB137" s="31">
        <f>Settings!$B$24*(T137-L$6)^2</f>
        <v>0.64763517516853331</v>
      </c>
      <c r="AC137" s="31">
        <f>Settings!$B$25*(U137-M$6)^2</f>
        <v>4.4472418413919046</v>
      </c>
      <c r="AD137" s="19">
        <f t="shared" si="4"/>
        <v>2.6375990965817318</v>
      </c>
      <c r="AE137" s="15">
        <f t="shared" si="5"/>
        <v>1.0440095410226475</v>
      </c>
      <c r="AF137" s="33">
        <f t="shared" si="6"/>
        <v>0.57985456268727908</v>
      </c>
      <c r="AG137" s="47">
        <f t="shared" si="7"/>
        <v>3.4185217526687944E-3</v>
      </c>
      <c r="AH137" s="18">
        <v>-0.37345243874935452</v>
      </c>
      <c r="AI137" s="46">
        <v>0</v>
      </c>
      <c r="AJ137" s="18">
        <v>5.8372313351324763E-2</v>
      </c>
      <c r="AK137" s="46">
        <v>0</v>
      </c>
      <c r="AL137" s="18">
        <v>-1.182730530519055E-2</v>
      </c>
      <c r="AM137" s="46">
        <v>1</v>
      </c>
      <c r="AN137" s="18">
        <v>4.843012119045143E-4</v>
      </c>
      <c r="AO137" s="46">
        <v>1</v>
      </c>
      <c r="AP137" s="18">
        <v>-0.239735194158155</v>
      </c>
      <c r="AQ137" s="46">
        <v>1</v>
      </c>
    </row>
    <row r="138" spans="1:43" ht="20" customHeight="1" x14ac:dyDescent="0.45">
      <c r="A138" s="26">
        <v>128</v>
      </c>
      <c r="B138" s="16" t="s">
        <v>626</v>
      </c>
      <c r="C138" s="16" t="s">
        <v>229</v>
      </c>
      <c r="D138" s="46">
        <v>29</v>
      </c>
      <c r="E138" s="46">
        <v>1</v>
      </c>
      <c r="F138" s="13">
        <v>-0.2160071429772831</v>
      </c>
      <c r="G138" s="13">
        <v>-0.1940952727091407</v>
      </c>
      <c r="H138" s="13">
        <v>-0.11519079605925329</v>
      </c>
      <c r="I138" s="13">
        <v>-7.3360680167763467E-2</v>
      </c>
      <c r="J138" s="13">
        <v>0.40134610808655929</v>
      </c>
      <c r="K138" s="13">
        <v>16.136752136752111</v>
      </c>
      <c r="L138" s="13">
        <v>-0.4804780130332662</v>
      </c>
      <c r="M138" s="13">
        <v>-1.744289284123707</v>
      </c>
      <c r="N138" s="19">
        <f>(F138-Settings!$D$18)/Settings!$E$18</f>
        <v>-1.4613861670564054</v>
      </c>
      <c r="O138" s="19">
        <f>(G138-Settings!$D$19)/Settings!$E$19</f>
        <v>-0.78095465796797292</v>
      </c>
      <c r="P138" s="19">
        <f>(H138-Settings!$D$20)/Settings!$E$20</f>
        <v>-1.524993374051085</v>
      </c>
      <c r="Q138" s="19">
        <f>(I138-Settings!$D$21)/Settings!$E$21</f>
        <v>-0.86592972132996171</v>
      </c>
      <c r="R138" s="19">
        <f>(J138-Settings!$D$22)/Settings!$E$22</f>
        <v>0.41295829252415411</v>
      </c>
      <c r="S138" s="19">
        <f>(K138-Settings!$D$23)/Settings!$E$23</f>
        <v>0.30613875020607456</v>
      </c>
      <c r="T138" s="19">
        <f>(L138-Settings!$D$24)/Settings!$E$24</f>
        <v>-1.2366579036236602</v>
      </c>
      <c r="U138" s="19">
        <f>(M138-Settings!$D$25)/Settings!$E$25</f>
        <v>-1.1403978622248219</v>
      </c>
      <c r="V138" s="31">
        <f>Settings!$B$18*(N138-F$6)^2</f>
        <v>0.95238625695285595</v>
      </c>
      <c r="W138" s="31">
        <f>Settings!$B$19*(O138-G$6)^2</f>
        <v>0.10145876271300165</v>
      </c>
      <c r="X138" s="31">
        <f>Settings!$B$20*(P138-H$6)^2</f>
        <v>0.53849375892627982</v>
      </c>
      <c r="Y138" s="31">
        <f>Settings!$B$21*(Q138-I$6)^2</f>
        <v>0.33576861706909983</v>
      </c>
      <c r="Z138" s="31">
        <f>Settings!$B$22*(R138-J$6)^2</f>
        <v>1.0185528816998687E-2</v>
      </c>
      <c r="AA138" s="31">
        <f>Settings!$B$23*(S138-K$6)^2</f>
        <v>0.70650803427711628</v>
      </c>
      <c r="AB138" s="31">
        <f>Settings!$B$24*(T138-L$6)^2</f>
        <v>2.6586423047199013</v>
      </c>
      <c r="AC138" s="31">
        <f>Settings!$B$25*(U138-M$6)^2</f>
        <v>1.7144148476514784</v>
      </c>
      <c r="AD138" s="19">
        <f t="shared" si="4"/>
        <v>2.6491240271317484</v>
      </c>
      <c r="AE138" s="15">
        <f t="shared" si="5"/>
        <v>1.0485713174766333</v>
      </c>
      <c r="AF138" s="33">
        <f t="shared" si="6"/>
        <v>0.57709354421916803</v>
      </c>
      <c r="AG138" s="47">
        <f t="shared" si="7"/>
        <v>3.4022442198181164E-3</v>
      </c>
      <c r="AH138" s="48"/>
      <c r="AI138" s="48"/>
      <c r="AJ138" s="48"/>
      <c r="AK138" s="48"/>
      <c r="AL138" s="48"/>
      <c r="AM138" s="48"/>
      <c r="AN138" s="48"/>
      <c r="AO138" s="48"/>
      <c r="AP138" s="48"/>
      <c r="AQ138" s="48"/>
    </row>
    <row r="139" spans="1:43" ht="20" customHeight="1" x14ac:dyDescent="0.45">
      <c r="A139" s="26">
        <v>129</v>
      </c>
      <c r="B139" s="16" t="s">
        <v>305</v>
      </c>
      <c r="C139" s="16" t="s">
        <v>232</v>
      </c>
      <c r="D139" s="46">
        <v>29</v>
      </c>
      <c r="E139" s="46">
        <v>0</v>
      </c>
      <c r="F139" s="13">
        <v>0.30235634318569271</v>
      </c>
      <c r="G139" s="13">
        <v>-0.25076630328953892</v>
      </c>
      <c r="H139" s="13">
        <v>0.19567853869256591</v>
      </c>
      <c r="I139" s="13">
        <v>-3.3068585022781788E-2</v>
      </c>
      <c r="J139" s="13">
        <v>0.21813022980942071</v>
      </c>
      <c r="K139" s="13">
        <v>17.84496402877696</v>
      </c>
      <c r="L139" s="13">
        <v>1.036878239802544</v>
      </c>
      <c r="M139" s="13">
        <v>-7.5283424078532168E-2</v>
      </c>
      <c r="N139" s="19">
        <f>(F139-Settings!$D$18)/Settings!$E$18</f>
        <v>0.39380443599753406</v>
      </c>
      <c r="O139" s="19">
        <f>(G139-Settings!$D$19)/Settings!$E$19</f>
        <v>-1.0170533944452467</v>
      </c>
      <c r="P139" s="19">
        <f>(H139-Settings!$D$20)/Settings!$E$20</f>
        <v>1.2915425784046337</v>
      </c>
      <c r="Q139" s="19">
        <f>(I139-Settings!$D$21)/Settings!$E$21</f>
        <v>-0.370445435694643</v>
      </c>
      <c r="R139" s="19">
        <f>(J139-Settings!$D$22)/Settings!$E$22</f>
        <v>-7.9992653891194504E-2</v>
      </c>
      <c r="S139" s="19">
        <f>(K139-Settings!$D$23)/Settings!$E$23</f>
        <v>0.8993614493318508</v>
      </c>
      <c r="T139" s="19">
        <f>(L139-Settings!$D$24)/Settings!$E$24</f>
        <v>-0.1876265291054614</v>
      </c>
      <c r="U139" s="19">
        <f>(M139-Settings!$D$25)/Settings!$E$25</f>
        <v>-1.4801721653039331E-2</v>
      </c>
      <c r="V139" s="31">
        <f>Settings!$B$18*(N139-F$6)^2</f>
        <v>2.1385064445735229E-2</v>
      </c>
      <c r="W139" s="31">
        <f>Settings!$B$19*(O139-G$6)^2</f>
        <v>0.17987140112424371</v>
      </c>
      <c r="X139" s="31">
        <f>Settings!$B$20*(P139-H$6)^2</f>
        <v>0.27643601746308177</v>
      </c>
      <c r="Y139" s="31">
        <f>Settings!$B$21*(Q139-I$6)^2</f>
        <v>0.12806960551444788</v>
      </c>
      <c r="Z139" s="31">
        <f>Settings!$B$22*(R139-J$6)^2</f>
        <v>0.10328365567215757</v>
      </c>
      <c r="AA139" s="31">
        <f>Settings!$B$23*(S139-K$6)^2</f>
        <v>6.1166006987040868E-2</v>
      </c>
      <c r="AB139" s="31">
        <f>Settings!$B$24*(T139-L$6)^2</f>
        <v>0.33814572411400967</v>
      </c>
      <c r="AC139" s="31">
        <f>Settings!$B$25*(U139-M$6)^2</f>
        <v>5.9289951123088072</v>
      </c>
      <c r="AD139" s="19">
        <f t="shared" ref="AD139:AD202" si="8">SQRT(SUM(V139:AC139))</f>
        <v>2.6528008948335198</v>
      </c>
      <c r="AE139" s="15">
        <f t="shared" ref="AE139:AE202" si="9">AD139/Yardstick</f>
        <v>1.050026688373106</v>
      </c>
      <c r="AF139" s="33">
        <f t="shared" ref="AF139:AF202" si="10">EXP(-(AD139^2)/(2*Yardstick^2))</f>
        <v>0.5762129261454999</v>
      </c>
      <c r="AG139" s="47">
        <f t="shared" ref="AG139:AG202" si="11">AF139/$E$7</f>
        <v>3.39705255239952E-3</v>
      </c>
      <c r="AH139" s="18">
        <v>0.1206240434868175</v>
      </c>
      <c r="AI139" s="46">
        <v>0</v>
      </c>
      <c r="AJ139" s="18">
        <v>-0.33561403594121181</v>
      </c>
      <c r="AK139" s="46">
        <v>0</v>
      </c>
      <c r="AL139" s="18">
        <v>-0.43141915153822941</v>
      </c>
      <c r="AM139" s="46">
        <v>1</v>
      </c>
      <c r="AN139" s="18">
        <v>0.79919949840093207</v>
      </c>
      <c r="AO139" s="46">
        <v>1</v>
      </c>
      <c r="AP139" s="18">
        <v>-0.11636992380617329</v>
      </c>
      <c r="AQ139" s="46">
        <v>1</v>
      </c>
    </row>
    <row r="140" spans="1:43" ht="20" customHeight="1" x14ac:dyDescent="0.45">
      <c r="A140" s="26">
        <v>130</v>
      </c>
      <c r="B140" s="16" t="s">
        <v>244</v>
      </c>
      <c r="C140" s="16" t="s">
        <v>236</v>
      </c>
      <c r="D140" s="46">
        <v>29</v>
      </c>
      <c r="E140" s="46">
        <v>0</v>
      </c>
      <c r="F140" s="13">
        <v>0.57922132075283328</v>
      </c>
      <c r="G140" s="13">
        <v>-0.18028525812867721</v>
      </c>
      <c r="H140" s="13">
        <v>0.1714053618104841</v>
      </c>
      <c r="I140" s="13">
        <v>-9.396841595747803E-3</v>
      </c>
      <c r="J140" s="13">
        <v>5.9691217712257598E-2</v>
      </c>
      <c r="K140" s="13">
        <v>19.224771689497668</v>
      </c>
      <c r="L140" s="13">
        <v>1.208128933603166</v>
      </c>
      <c r="M140" s="13">
        <v>-1.352361774235167E-2</v>
      </c>
      <c r="N140" s="19">
        <f>(F140-Settings!$D$18)/Settings!$E$18</f>
        <v>1.384686931405031</v>
      </c>
      <c r="O140" s="19">
        <f>(G140-Settings!$D$19)/Settings!$E$19</f>
        <v>-0.72342037705253215</v>
      </c>
      <c r="P140" s="19">
        <f>(H140-Settings!$D$20)/Settings!$E$20</f>
        <v>1.0716229281654739</v>
      </c>
      <c r="Q140" s="19">
        <f>(I140-Settings!$D$21)/Settings!$E$21</f>
        <v>-7.9346726643090712E-2</v>
      </c>
      <c r="R140" s="19">
        <f>(J140-Settings!$D$22)/Settings!$E$22</f>
        <v>-0.506280275339968</v>
      </c>
      <c r="S140" s="19">
        <f>(K140-Settings!$D$23)/Settings!$E$23</f>
        <v>1.3785369126269247</v>
      </c>
      <c r="T140" s="19">
        <f>(L140-Settings!$D$24)/Settings!$E$24</f>
        <v>-6.9231557345127634E-2</v>
      </c>
      <c r="U140" s="19">
        <f>(M140-Settings!$D$25)/Settings!$E$25</f>
        <v>2.684977959009225E-2</v>
      </c>
      <c r="V140" s="31">
        <f>Settings!$B$18*(N140-F$6)^2</f>
        <v>8.814948689909155E-2</v>
      </c>
      <c r="W140" s="31">
        <f>Settings!$B$19*(O140-G$6)^2</f>
        <v>8.5729385732152927E-2</v>
      </c>
      <c r="X140" s="31">
        <f>Settings!$B$20*(P140-H$6)^2</f>
        <v>0.18268851695696076</v>
      </c>
      <c r="Y140" s="31">
        <f>Settings!$B$21*(Q140-I$6)^2</f>
        <v>5.184038614830562E-2</v>
      </c>
      <c r="Z140" s="31">
        <f>Settings!$B$22*(R140-J$6)^2</f>
        <v>0.26216383113865493</v>
      </c>
      <c r="AA140" s="31">
        <f>Settings!$B$23*(S140-K$6)^2</f>
        <v>5.3758057786920513E-2</v>
      </c>
      <c r="AB140" s="31">
        <f>Settings!$B$24*(T140-L$6)^2</f>
        <v>0.2144690339576858</v>
      </c>
      <c r="AC140" s="31">
        <f>Settings!$B$25*(U140-M$6)^2</f>
        <v>6.1335688385735851</v>
      </c>
      <c r="AD140" s="19">
        <f t="shared" si="8"/>
        <v>2.6593923247977829</v>
      </c>
      <c r="AE140" s="15">
        <f t="shared" si="9"/>
        <v>1.0526356958528975</v>
      </c>
      <c r="AF140" s="33">
        <f t="shared" si="10"/>
        <v>0.57463457951754793</v>
      </c>
      <c r="AG140" s="47">
        <f t="shared" si="11"/>
        <v>3.3877474393106451E-3</v>
      </c>
      <c r="AH140" s="18">
        <v>0.8940344523543089</v>
      </c>
      <c r="AI140" s="46">
        <v>1</v>
      </c>
      <c r="AJ140" s="18">
        <v>-0.37673917146540509</v>
      </c>
      <c r="AK140" s="46">
        <v>1</v>
      </c>
      <c r="AL140" s="48"/>
      <c r="AM140" s="48"/>
      <c r="AN140" s="48"/>
      <c r="AO140" s="48"/>
      <c r="AP140" s="18">
        <v>-0.16372511886760771</v>
      </c>
      <c r="AQ140" s="46">
        <v>1</v>
      </c>
    </row>
    <row r="141" spans="1:43" ht="20" customHeight="1" x14ac:dyDescent="0.45">
      <c r="A141" s="26">
        <v>131</v>
      </c>
      <c r="B141" s="16" t="s">
        <v>217</v>
      </c>
      <c r="C141" s="16" t="s">
        <v>224</v>
      </c>
      <c r="D141" s="46">
        <v>29</v>
      </c>
      <c r="E141" s="46">
        <v>0</v>
      </c>
      <c r="F141" s="13">
        <v>0.18260136815242589</v>
      </c>
      <c r="G141" s="13">
        <v>-0.1028660676183993</v>
      </c>
      <c r="H141" s="13">
        <v>0.41619624878635159</v>
      </c>
      <c r="I141" s="13">
        <v>-7.280795885201323E-2</v>
      </c>
      <c r="J141" s="13">
        <v>0.22552835659080989</v>
      </c>
      <c r="K141" s="13">
        <v>19.292604166666688</v>
      </c>
      <c r="L141" s="13">
        <v>2.202187116390621</v>
      </c>
      <c r="M141" s="13">
        <v>-0.57293169723338289</v>
      </c>
      <c r="N141" s="19">
        <f>(F141-Settings!$D$18)/Settings!$E$18</f>
        <v>-3.4791154319228836E-2</v>
      </c>
      <c r="O141" s="19">
        <f>(G141-Settings!$D$19)/Settings!$E$19</f>
        <v>-0.4008821618238807</v>
      </c>
      <c r="P141" s="19">
        <f>(H141-Settings!$D$20)/Settings!$E$20</f>
        <v>3.2894754370064745</v>
      </c>
      <c r="Q141" s="19">
        <f>(I141-Settings!$D$21)/Settings!$E$21</f>
        <v>-0.85913273732343431</v>
      </c>
      <c r="R141" s="19">
        <f>(J141-Settings!$D$22)/Settings!$E$22</f>
        <v>-6.0087645477731086E-2</v>
      </c>
      <c r="S141" s="19">
        <f>(K141-Settings!$D$23)/Settings!$E$23</f>
        <v>1.4020935717173231</v>
      </c>
      <c r="T141" s="19">
        <f>(L141-Settings!$D$24)/Settings!$E$24</f>
        <v>0.61801523779061274</v>
      </c>
      <c r="U141" s="19">
        <f>(M141-Settings!$D$25)/Settings!$E$25</f>
        <v>-0.35042125962766968</v>
      </c>
      <c r="V141" s="31">
        <f>Settings!$B$18*(N141-F$6)^2</f>
        <v>0.11418323957514274</v>
      </c>
      <c r="W141" s="31">
        <f>Settings!$B$19*(O141-G$6)^2</f>
        <v>2.2067795942879088E-2</v>
      </c>
      <c r="X141" s="31">
        <f>Settings!$B$20*(P141-H$6)^2</f>
        <v>2.0143402979311138</v>
      </c>
      <c r="Y141" s="31">
        <f>Settings!$B$21*(Q141-I$6)^2</f>
        <v>0.33225511117526374</v>
      </c>
      <c r="Z141" s="31">
        <f>Settings!$B$22*(R141-J$6)^2</f>
        <v>9.7641222886765355E-2</v>
      </c>
      <c r="AA141" s="31">
        <f>Settings!$B$23*(S141-K$6)^2</f>
        <v>6.5236566144507527E-2</v>
      </c>
      <c r="AB141" s="31">
        <f>Settings!$B$24*(T141-L$6)^2</f>
        <v>5.0238192566926868E-2</v>
      </c>
      <c r="AC141" s="31">
        <f>Settings!$B$25*(U141-M$6)^2</f>
        <v>4.4072001226995736</v>
      </c>
      <c r="AD141" s="19">
        <f t="shared" si="8"/>
        <v>2.6651758945559623</v>
      </c>
      <c r="AE141" s="15">
        <f t="shared" si="9"/>
        <v>1.0549249376169452</v>
      </c>
      <c r="AF141" s="33">
        <f t="shared" si="10"/>
        <v>0.5732500259344413</v>
      </c>
      <c r="AG141" s="47">
        <f t="shared" si="11"/>
        <v>3.3795848295009537E-3</v>
      </c>
      <c r="AH141" s="18">
        <v>1.847602071431379</v>
      </c>
      <c r="AI141" s="46">
        <v>0</v>
      </c>
      <c r="AJ141" s="18">
        <v>0.60494628991094945</v>
      </c>
      <c r="AK141" s="46">
        <v>1</v>
      </c>
      <c r="AL141" s="18">
        <v>-1.5891518846207879</v>
      </c>
      <c r="AM141" s="46">
        <v>1</v>
      </c>
      <c r="AN141" s="18">
        <v>0.1783505201927191</v>
      </c>
      <c r="AO141" s="46">
        <v>1</v>
      </c>
      <c r="AP141" s="18">
        <v>0.20536714604074741</v>
      </c>
      <c r="AQ141" s="46">
        <v>1</v>
      </c>
    </row>
    <row r="142" spans="1:43" ht="20" customHeight="1" x14ac:dyDescent="0.45">
      <c r="A142" s="26">
        <v>132</v>
      </c>
      <c r="B142" s="16" t="s">
        <v>754</v>
      </c>
      <c r="C142" s="16" t="s">
        <v>224</v>
      </c>
      <c r="D142" s="46">
        <v>29</v>
      </c>
      <c r="E142" s="46">
        <v>0</v>
      </c>
      <c r="F142" s="13">
        <v>8.3611916730729929E-2</v>
      </c>
      <c r="G142" s="13">
        <v>0.38585066188158468</v>
      </c>
      <c r="H142" s="13">
        <v>5.921763286400996E-2</v>
      </c>
      <c r="I142" s="13">
        <v>8.5167598564107744E-2</v>
      </c>
      <c r="J142" s="13">
        <v>0.38615218995956768</v>
      </c>
      <c r="K142" s="13">
        <v>15.39790209790208</v>
      </c>
      <c r="L142" s="13">
        <v>0.75449882677650515</v>
      </c>
      <c r="M142" s="13">
        <v>-0.57069885088536232</v>
      </c>
      <c r="N142" s="19">
        <f>(F142-Settings!$D$18)/Settings!$E$18</f>
        <v>-0.3890682301186153</v>
      </c>
      <c r="O142" s="19">
        <f>(G142-Settings!$D$19)/Settings!$E$19</f>
        <v>1.6351740232944854</v>
      </c>
      <c r="P142" s="19">
        <f>(H142-Settings!$D$20)/Settings!$E$20</f>
        <v>5.5180530415425387E-2</v>
      </c>
      <c r="Q142" s="19">
        <f>(I142-Settings!$D$21)/Settings!$E$21</f>
        <v>1.083541276835319</v>
      </c>
      <c r="R142" s="19">
        <f>(J142-Settings!$D$22)/Settings!$E$22</f>
        <v>0.37207834046493127</v>
      </c>
      <c r="S142" s="19">
        <f>(K142-Settings!$D$23)/Settings!$E$23</f>
        <v>4.9553126173066897E-2</v>
      </c>
      <c r="T142" s="19">
        <f>(L142-Settings!$D$24)/Settings!$E$24</f>
        <v>-0.38285086302752391</v>
      </c>
      <c r="U142" s="19">
        <f>(M142-Settings!$D$25)/Settings!$E$25</f>
        <v>-0.3489154031822323</v>
      </c>
      <c r="V142" s="31">
        <f>Settings!$B$18*(N142-F$6)^2</f>
        <v>0.24636097043405886</v>
      </c>
      <c r="W142" s="31">
        <f>Settings!$B$19*(O142-G$6)^2</f>
        <v>0.5806435019057179</v>
      </c>
      <c r="X142" s="31">
        <f>Settings!$B$20*(P142-H$6)^2</f>
        <v>7.3691001721973878E-4</v>
      </c>
      <c r="Y142" s="31">
        <f>Settings!$B$21*(Q142-I$6)^2</f>
        <v>8.548283987490489E-2</v>
      </c>
      <c r="Z142" s="31">
        <f>Settings!$B$22*(R142-J$6)^2</f>
        <v>1.4209939611916068E-2</v>
      </c>
      <c r="AA142" s="31">
        <f>Settings!$B$23*(S142-K$6)^2</f>
        <v>1.2036853432460568</v>
      </c>
      <c r="AB142" s="31">
        <f>Settings!$B$24*(T142-L$6)^2</f>
        <v>0.60330533136608366</v>
      </c>
      <c r="AC142" s="31">
        <f>Settings!$B$25*(U142-M$6)^2</f>
        <v>4.413524979334662</v>
      </c>
      <c r="AD142" s="19">
        <f t="shared" si="8"/>
        <v>2.6735650012278773</v>
      </c>
      <c r="AE142" s="15">
        <f t="shared" si="9"/>
        <v>1.0582454981287708</v>
      </c>
      <c r="AF142" s="33">
        <f t="shared" si="10"/>
        <v>0.57124232794626895</v>
      </c>
      <c r="AG142" s="47">
        <f t="shared" si="11"/>
        <v>3.367748483480757E-3</v>
      </c>
      <c r="AH142" s="18">
        <v>-0.64637731838263801</v>
      </c>
      <c r="AI142" s="46">
        <v>0</v>
      </c>
      <c r="AJ142" s="18">
        <v>-0.77518792370096645</v>
      </c>
      <c r="AK142" s="46">
        <v>1</v>
      </c>
      <c r="AL142" s="48"/>
      <c r="AM142" s="48"/>
      <c r="AN142" s="48"/>
      <c r="AO142" s="48"/>
      <c r="AP142" s="48"/>
      <c r="AQ142" s="48"/>
    </row>
    <row r="143" spans="1:43" ht="20" customHeight="1" x14ac:dyDescent="0.45">
      <c r="A143" s="26">
        <v>133</v>
      </c>
      <c r="B143" s="16" t="s">
        <v>411</v>
      </c>
      <c r="C143" s="16" t="s">
        <v>220</v>
      </c>
      <c r="D143" s="46">
        <v>29</v>
      </c>
      <c r="E143" s="46">
        <v>1</v>
      </c>
      <c r="F143" s="13">
        <v>0.1980008509912099</v>
      </c>
      <c r="G143" s="13">
        <v>-4.6502772674605057E-2</v>
      </c>
      <c r="H143" s="13">
        <v>0.1300152140038732</v>
      </c>
      <c r="I143" s="13">
        <v>2.0061666647486289E-2</v>
      </c>
      <c r="J143" s="13">
        <v>0.6054194956828256</v>
      </c>
      <c r="K143" s="13">
        <v>18.37507002801118</v>
      </c>
      <c r="L143" s="13">
        <v>1.757507123081425</v>
      </c>
      <c r="M143" s="13">
        <v>0.247906227118559</v>
      </c>
      <c r="N143" s="19">
        <f>(F143-Settings!$D$18)/Settings!$E$18</f>
        <v>2.0322634782460096E-2</v>
      </c>
      <c r="O143" s="19">
        <f>(G143-Settings!$D$19)/Settings!$E$19</f>
        <v>-0.16606549123154168</v>
      </c>
      <c r="P143" s="19">
        <f>(H143-Settings!$D$20)/Settings!$E$20</f>
        <v>0.69662022978789251</v>
      </c>
      <c r="Q143" s="19">
        <f>(I143-Settings!$D$21)/Settings!$E$21</f>
        <v>0.2829136090445889</v>
      </c>
      <c r="R143" s="19">
        <f>(J143-Settings!$D$22)/Settings!$E$22</f>
        <v>0.96202734974635362</v>
      </c>
      <c r="S143" s="19">
        <f>(K143-Settings!$D$23)/Settings!$E$23</f>
        <v>1.0834550697759333</v>
      </c>
      <c r="T143" s="19">
        <f>(L143-Settings!$D$24)/Settings!$E$24</f>
        <v>0.3105836351395731</v>
      </c>
      <c r="U143" s="19">
        <f>(M143-Settings!$D$25)/Settings!$E$25</f>
        <v>0.20316097863990029</v>
      </c>
      <c r="V143" s="31">
        <f>Settings!$B$18*(N143-F$6)^2</f>
        <v>9.8133375094719699E-2</v>
      </c>
      <c r="W143" s="31">
        <f>Settings!$B$19*(O143-G$6)^2</f>
        <v>1.8956555347608959E-3</v>
      </c>
      <c r="X143" s="31">
        <f>Settings!$B$20*(P143-H$6)^2</f>
        <v>6.7451604712707433E-2</v>
      </c>
      <c r="Y143" s="31">
        <f>Settings!$B$21*(Q143-I$6)^2</f>
        <v>4.3134804519861722E-3</v>
      </c>
      <c r="Z143" s="31">
        <f>Settings!$B$22*(R143-J$6)^2</f>
        <v>2.0917190794983834E-2</v>
      </c>
      <c r="AA143" s="31">
        <f>Settings!$B$23*(S143-K$6)^2</f>
        <v>3.9972745862793518E-3</v>
      </c>
      <c r="AB143" s="31">
        <f>Settings!$B$24*(T143-L$6)^2</f>
        <v>6.9376943545877388E-3</v>
      </c>
      <c r="AC143" s="31">
        <f>Settings!$B$25*(U143-M$6)^2</f>
        <v>7.0379606234553851</v>
      </c>
      <c r="AD143" s="19">
        <f t="shared" si="8"/>
        <v>2.6910233925005946</v>
      </c>
      <c r="AE143" s="15">
        <f t="shared" si="9"/>
        <v>1.0651558459080239</v>
      </c>
      <c r="AF143" s="33">
        <f t="shared" si="10"/>
        <v>0.56706661916618717</v>
      </c>
      <c r="AG143" s="47">
        <f t="shared" si="11"/>
        <v>3.3431306702978018E-3</v>
      </c>
      <c r="AH143" s="18">
        <v>-2.4071076351135261</v>
      </c>
      <c r="AI143" s="46">
        <v>1</v>
      </c>
      <c r="AJ143" s="18">
        <v>-2.0188788264519042</v>
      </c>
      <c r="AK143" s="46">
        <v>1</v>
      </c>
      <c r="AL143" s="48"/>
      <c r="AM143" s="48"/>
      <c r="AN143" s="48"/>
      <c r="AO143" s="48"/>
      <c r="AP143" s="48"/>
      <c r="AQ143" s="48"/>
    </row>
    <row r="144" spans="1:43" ht="20" customHeight="1" x14ac:dyDescent="0.45">
      <c r="A144" s="26">
        <v>134</v>
      </c>
      <c r="B144" s="16" t="s">
        <v>581</v>
      </c>
      <c r="C144" s="16" t="s">
        <v>227</v>
      </c>
      <c r="D144" s="46">
        <v>29</v>
      </c>
      <c r="E144" s="46">
        <v>0</v>
      </c>
      <c r="F144" s="13">
        <v>0.225497772104922</v>
      </c>
      <c r="G144" s="13">
        <v>-0.1195690615869064</v>
      </c>
      <c r="H144" s="13">
        <v>-5.4402906827208273E-3</v>
      </c>
      <c r="I144" s="13">
        <v>-8.1616204765963707E-2</v>
      </c>
      <c r="J144" s="13">
        <v>0.56787667085948701</v>
      </c>
      <c r="K144" s="13">
        <v>14.38771186440678</v>
      </c>
      <c r="L144" s="13">
        <v>0.3430941409098241</v>
      </c>
      <c r="M144" s="13">
        <v>-0.89425834664022885</v>
      </c>
      <c r="N144" s="19">
        <f>(F144-Settings!$D$18)/Settings!$E$18</f>
        <v>0.11873240133580053</v>
      </c>
      <c r="O144" s="19">
        <f>(G144-Settings!$D$19)/Settings!$E$19</f>
        <v>-0.47046896359833229</v>
      </c>
      <c r="P144" s="19">
        <f>(H144-Settings!$D$20)/Settings!$E$20</f>
        <v>-0.53063269051834094</v>
      </c>
      <c r="Q144" s="19">
        <f>(I144-Settings!$D$21)/Settings!$E$21</f>
        <v>-0.9674504462603829</v>
      </c>
      <c r="R144" s="19">
        <f>(J144-Settings!$D$22)/Settings!$E$22</f>
        <v>0.86101661202101065</v>
      </c>
      <c r="S144" s="19">
        <f>(K144-Settings!$D$23)/Settings!$E$23</f>
        <v>-0.30126270630204283</v>
      </c>
      <c r="T144" s="19">
        <f>(L144-Settings!$D$24)/Settings!$E$24</f>
        <v>-0.66727742553805658</v>
      </c>
      <c r="U144" s="19">
        <f>(M144-Settings!$D$25)/Settings!$E$25</f>
        <v>-0.5671275307640804</v>
      </c>
      <c r="V144" s="31">
        <f>Settings!$B$18*(N144-F$6)^2</f>
        <v>7.2496792677332958E-2</v>
      </c>
      <c r="W144" s="31">
        <f>Settings!$B$19*(O144-G$6)^2</f>
        <v>3.2282206480494721E-2</v>
      </c>
      <c r="X144" s="31">
        <f>Settings!$B$20*(P144-H$6)^2</f>
        <v>8.3595996962874397E-2</v>
      </c>
      <c r="Y144" s="31">
        <f>Settings!$B$21*(Q144-I$6)^2</f>
        <v>0.39044614191499838</v>
      </c>
      <c r="Z144" s="31">
        <f>Settings!$B$22*(R144-J$6)^2</f>
        <v>9.8911759155388169E-3</v>
      </c>
      <c r="AA144" s="31">
        <f>Settings!$B$23*(S144-K$6)^2</f>
        <v>2.0965353963079685</v>
      </c>
      <c r="AB144" s="31">
        <f>Settings!$B$24*(T144-L$6)^2</f>
        <v>1.126047564733003</v>
      </c>
      <c r="AC144" s="31">
        <f>Settings!$B$25*(U144-M$6)^2</f>
        <v>3.5442843667838559</v>
      </c>
      <c r="AD144" s="19">
        <f t="shared" si="8"/>
        <v>2.7121171880610295</v>
      </c>
      <c r="AE144" s="15">
        <f t="shared" si="9"/>
        <v>1.0735051526127521</v>
      </c>
      <c r="AF144" s="33">
        <f t="shared" si="10"/>
        <v>0.56202628689765499</v>
      </c>
      <c r="AG144" s="47">
        <f t="shared" si="11"/>
        <v>3.3134154854748995E-3</v>
      </c>
      <c r="AH144" s="18">
        <v>-0.31562283168101118</v>
      </c>
      <c r="AI144" s="46">
        <v>0</v>
      </c>
      <c r="AJ144" s="48"/>
      <c r="AK144" s="48"/>
      <c r="AL144" s="48"/>
      <c r="AM144" s="48"/>
      <c r="AN144" s="18">
        <v>1.6830290317149119</v>
      </c>
      <c r="AO144" s="46">
        <v>1</v>
      </c>
      <c r="AP144" s="18">
        <v>0.4558901412671853</v>
      </c>
      <c r="AQ144" s="46">
        <v>1</v>
      </c>
    </row>
    <row r="145" spans="1:43" ht="20" customHeight="1" x14ac:dyDescent="0.45">
      <c r="A145" s="26">
        <v>135</v>
      </c>
      <c r="B145" s="16" t="s">
        <v>256</v>
      </c>
      <c r="C145" s="16" t="s">
        <v>234</v>
      </c>
      <c r="D145" s="46">
        <v>29</v>
      </c>
      <c r="E145" s="46">
        <v>1</v>
      </c>
      <c r="F145" s="13">
        <v>4.6056455015871377E-2</v>
      </c>
      <c r="G145" s="13">
        <v>0.14593940582190831</v>
      </c>
      <c r="H145" s="13">
        <v>0.25429773936268479</v>
      </c>
      <c r="I145" s="13">
        <v>8.1176736634436849E-4</v>
      </c>
      <c r="J145" s="13">
        <v>0.55289463243319126</v>
      </c>
      <c r="K145" s="13">
        <v>17.07014388489209</v>
      </c>
      <c r="L145" s="13">
        <v>3.2351247433969479</v>
      </c>
      <c r="M145" s="13">
        <v>-0.30985323907956408</v>
      </c>
      <c r="N145" s="19">
        <f>(F145-Settings!$D$18)/Settings!$E$18</f>
        <v>-0.52347688645065527</v>
      </c>
      <c r="O145" s="19">
        <f>(G145-Settings!$D$19)/Settings!$E$19</f>
        <v>0.63567315235113431</v>
      </c>
      <c r="P145" s="19">
        <f>(H145-Settings!$D$20)/Settings!$E$20</f>
        <v>1.8226438088409369</v>
      </c>
      <c r="Q145" s="19">
        <f>(I145-Settings!$D$21)/Settings!$E$21</f>
        <v>4.6191677371686453E-2</v>
      </c>
      <c r="R145" s="19">
        <f>(J145-Settings!$D$22)/Settings!$E$22</f>
        <v>0.82070673227193025</v>
      </c>
      <c r="S145" s="19">
        <f>(K145-Settings!$D$23)/Settings!$E$23</f>
        <v>0.63028423517689935</v>
      </c>
      <c r="T145" s="19">
        <f>(L145-Settings!$D$24)/Settings!$E$24</f>
        <v>1.332141519357573</v>
      </c>
      <c r="U145" s="19">
        <f>(M145-Settings!$D$25)/Settings!$E$25</f>
        <v>-0.17299821741168933</v>
      </c>
      <c r="V145" s="31">
        <f>Settings!$B$18*(N145-F$6)^2</f>
        <v>0.30964440297276563</v>
      </c>
      <c r="W145" s="31">
        <f>Settings!$B$19*(O145-G$6)^2</f>
        <v>9.9230855915288865E-2</v>
      </c>
      <c r="X145" s="31">
        <f>Settings!$B$20*(P145-H$6)^2</f>
        <v>0.58260783981746778</v>
      </c>
      <c r="Y145" s="31">
        <f>Settings!$B$21*(Q145-I$6)^2</f>
        <v>2.9426780756156387E-2</v>
      </c>
      <c r="Z145" s="31">
        <f>Settings!$B$22*(R145-J$6)^2</f>
        <v>6.6303994651464443E-3</v>
      </c>
      <c r="AA145" s="31">
        <f>Settings!$B$23*(S145-K$6)^2</f>
        <v>0.2666636285516033</v>
      </c>
      <c r="AB145" s="31">
        <f>Settings!$B$24*(T145-L$6)^2</f>
        <v>0.88034132520066288</v>
      </c>
      <c r="AC145" s="31">
        <f>Settings!$B$25*(U145-M$6)^2</f>
        <v>5.1836192446676321</v>
      </c>
      <c r="AD145" s="19">
        <f t="shared" si="8"/>
        <v>2.7125936808425113</v>
      </c>
      <c r="AE145" s="15">
        <f t="shared" si="9"/>
        <v>1.0736937570942824</v>
      </c>
      <c r="AF145" s="33">
        <f t="shared" si="10"/>
        <v>0.56191249615009431</v>
      </c>
      <c r="AG145" s="47">
        <f t="shared" si="11"/>
        <v>3.3127446342462986E-3</v>
      </c>
      <c r="AH145" s="18">
        <v>-1.807267946897996</v>
      </c>
      <c r="AI145" s="46">
        <v>1</v>
      </c>
      <c r="AJ145" s="18">
        <v>-1.247110193984146</v>
      </c>
      <c r="AK145" s="46">
        <v>1</v>
      </c>
      <c r="AL145" s="18">
        <v>0.96498770505308873</v>
      </c>
      <c r="AM145" s="46">
        <v>1</v>
      </c>
      <c r="AN145" s="18">
        <v>0.79853298447673238</v>
      </c>
      <c r="AO145" s="46">
        <v>1</v>
      </c>
      <c r="AP145" s="18">
        <v>-0.1007852069291626</v>
      </c>
      <c r="AQ145" s="46">
        <v>1</v>
      </c>
    </row>
    <row r="146" spans="1:43" ht="20" customHeight="1" x14ac:dyDescent="0.45">
      <c r="A146" s="26">
        <v>136</v>
      </c>
      <c r="B146" s="16" t="s">
        <v>279</v>
      </c>
      <c r="C146" s="16" t="s">
        <v>260</v>
      </c>
      <c r="D146" s="46">
        <v>29</v>
      </c>
      <c r="E146" s="46">
        <v>1</v>
      </c>
      <c r="F146" s="13">
        <v>0.10080300157355269</v>
      </c>
      <c r="G146" s="13">
        <v>0.11282096370214879</v>
      </c>
      <c r="H146" s="13">
        <v>7.8151062396595541E-2</v>
      </c>
      <c r="I146" s="13">
        <v>1.3411459166701761E-2</v>
      </c>
      <c r="J146" s="13">
        <v>0.69481351316100137</v>
      </c>
      <c r="K146" s="13">
        <v>16.09583333333331</v>
      </c>
      <c r="L146" s="13">
        <v>1.6190152167963121</v>
      </c>
      <c r="M146" s="13">
        <v>5.5115255051840777E-2</v>
      </c>
      <c r="N146" s="19">
        <f>(F146-Settings!$D$18)/Settings!$E$18</f>
        <v>-0.32754240912998073</v>
      </c>
      <c r="O146" s="19">
        <f>(G146-Settings!$D$19)/Settings!$E$19</f>
        <v>0.49769750132643736</v>
      </c>
      <c r="P146" s="19">
        <f>(H146-Settings!$D$20)/Settings!$E$20</f>
        <v>0.22672104284450503</v>
      </c>
      <c r="Q146" s="19">
        <f>(I146-Settings!$D$21)/Settings!$E$21</f>
        <v>0.20113396241448384</v>
      </c>
      <c r="R146" s="19">
        <f>(J146-Settings!$D$22)/Settings!$E$22</f>
        <v>1.2025461624940126</v>
      </c>
      <c r="S146" s="19">
        <f>(K146-Settings!$D$23)/Settings!$E$23</f>
        <v>0.29192859096152973</v>
      </c>
      <c r="T146" s="19">
        <f>(L146-Settings!$D$24)/Settings!$E$24</f>
        <v>0.21483660504140259</v>
      </c>
      <c r="U146" s="19">
        <f>(M146-Settings!$D$25)/Settings!$E$25</f>
        <v>7.3140599868128514E-2</v>
      </c>
      <c r="V146" s="31">
        <f>Settings!$B$18*(N146-F$6)^2</f>
        <v>0.21980386337092692</v>
      </c>
      <c r="W146" s="31">
        <f>Settings!$B$19*(O146-G$6)^2</f>
        <v>6.4163275084981916E-2</v>
      </c>
      <c r="X146" s="31">
        <f>Settings!$B$20*(P146-H$6)^2</f>
        <v>2.4571018953455977E-3</v>
      </c>
      <c r="Y146" s="31">
        <f>Settings!$B$21*(Q146-I$6)^2</f>
        <v>1.0455075199572179E-2</v>
      </c>
      <c r="Z146" s="31">
        <f>Settings!$B$22*(R146-J$6)^2</f>
        <v>6.3600325381851633E-2</v>
      </c>
      <c r="AA146" s="31">
        <f>Settings!$B$23*(S146-K$6)^2</f>
        <v>0.73059838658018239</v>
      </c>
      <c r="AB146" s="31">
        <f>Settings!$B$24*(T146-L$6)^2</f>
        <v>3.2055268978667215E-2</v>
      </c>
      <c r="AC146" s="31">
        <f>Settings!$B$25*(U146-M$6)^2</f>
        <v>6.3649997673401666</v>
      </c>
      <c r="AD146" s="19">
        <f t="shared" si="8"/>
        <v>2.7364453336092236</v>
      </c>
      <c r="AE146" s="15">
        <f t="shared" si="9"/>
        <v>1.0831346736800813</v>
      </c>
      <c r="AF146" s="33">
        <f t="shared" si="10"/>
        <v>0.556220566719688</v>
      </c>
      <c r="AG146" s="47">
        <f t="shared" si="11"/>
        <v>3.2791879705161321E-3</v>
      </c>
      <c r="AH146" s="18">
        <v>-2.2226394487782301E-2</v>
      </c>
      <c r="AI146" s="46">
        <v>1</v>
      </c>
      <c r="AJ146" s="18">
        <v>-0.2786327930632968</v>
      </c>
      <c r="AK146" s="46">
        <v>1</v>
      </c>
      <c r="AL146" s="18">
        <v>0.14650867659250899</v>
      </c>
      <c r="AM146" s="46">
        <v>1</v>
      </c>
      <c r="AN146" s="18">
        <v>-0.1078986067167105</v>
      </c>
      <c r="AO146" s="46">
        <v>1</v>
      </c>
      <c r="AP146" s="18">
        <v>-1.052678481142016</v>
      </c>
      <c r="AQ146" s="46">
        <v>1</v>
      </c>
    </row>
    <row r="147" spans="1:43" ht="20" customHeight="1" x14ac:dyDescent="0.45">
      <c r="A147" s="26">
        <v>137</v>
      </c>
      <c r="B147" s="16" t="s">
        <v>247</v>
      </c>
      <c r="C147" s="16" t="s">
        <v>246</v>
      </c>
      <c r="D147" s="46">
        <v>29</v>
      </c>
      <c r="E147" s="46">
        <v>1</v>
      </c>
      <c r="F147" s="13">
        <v>9.2889344813251173E-2</v>
      </c>
      <c r="G147" s="13">
        <v>0.14789512654458009</v>
      </c>
      <c r="H147" s="13">
        <v>0.11506200050767409</v>
      </c>
      <c r="I147" s="13">
        <v>-1.9980074468611012E-2</v>
      </c>
      <c r="J147" s="13">
        <v>0.62417345366588362</v>
      </c>
      <c r="K147" s="13">
        <v>19.495859213250501</v>
      </c>
      <c r="L147" s="13">
        <v>5.5465111206997832</v>
      </c>
      <c r="M147" s="13">
        <v>-2.5410001770963331</v>
      </c>
      <c r="N147" s="19">
        <f>(F147-Settings!$D$18)/Settings!$E$18</f>
        <v>-0.3558648933508114</v>
      </c>
      <c r="O147" s="19">
        <f>(G147-Settings!$D$19)/Settings!$E$19</f>
        <v>0.64382093415069341</v>
      </c>
      <c r="P147" s="19">
        <f>(H147-Settings!$D$20)/Settings!$E$20</f>
        <v>0.56114124003673505</v>
      </c>
      <c r="Q147" s="19">
        <f>(I147-Settings!$D$21)/Settings!$E$21</f>
        <v>-0.20949199610237718</v>
      </c>
      <c r="R147" s="19">
        <f>(J147-Settings!$D$22)/Settings!$E$22</f>
        <v>1.0124857566470817</v>
      </c>
      <c r="S147" s="19">
        <f>(K147-Settings!$D$23)/Settings!$E$23</f>
        <v>1.4726793742798254</v>
      </c>
      <c r="T147" s="19">
        <f>(L147-Settings!$D$24)/Settings!$E$24</f>
        <v>2.9301293510833415</v>
      </c>
      <c r="U147" s="19">
        <f>(M147-Settings!$D$25)/Settings!$E$25</f>
        <v>-1.6777085618153036</v>
      </c>
      <c r="V147" s="31">
        <f>Settings!$B$18*(N147-F$6)^2</f>
        <v>0.23184094707586325</v>
      </c>
      <c r="W147" s="31">
        <f>Settings!$B$19*(O147-G$6)^2</f>
        <v>0.10153979416309081</v>
      </c>
      <c r="X147" s="31">
        <f>Settings!$B$20*(P147-H$6)^2</f>
        <v>3.9651331755407138E-2</v>
      </c>
      <c r="Y147" s="31">
        <f>Settings!$B$21*(Q147-I$6)^2</f>
        <v>8.1731704632842905E-2</v>
      </c>
      <c r="Z147" s="31">
        <f>Settings!$B$22*(R147-J$6)^2</f>
        <v>2.7953650360926442E-2</v>
      </c>
      <c r="AA147" s="31">
        <f>Settings!$B$23*(S147-K$6)^2</f>
        <v>0.10627619642111745</v>
      </c>
      <c r="AB147" s="31">
        <f>Settings!$B$24*(T147-L$6)^2</f>
        <v>6.4325787372312053</v>
      </c>
      <c r="AC147" s="31">
        <f>Settings!$B$25*(U147-M$6)^2</f>
        <v>0.59605495588367108</v>
      </c>
      <c r="AD147" s="19">
        <f t="shared" si="8"/>
        <v>2.7600049488223974</v>
      </c>
      <c r="AE147" s="15">
        <f t="shared" si="9"/>
        <v>1.092459996507668</v>
      </c>
      <c r="AF147" s="33">
        <f t="shared" si="10"/>
        <v>0.55060675275885673</v>
      </c>
      <c r="AG147" s="47">
        <f t="shared" si="11"/>
        <v>3.2460918350789994E-3</v>
      </c>
      <c r="AH147" s="18">
        <v>-2.7501518514947292</v>
      </c>
      <c r="AI147" s="46">
        <v>1</v>
      </c>
      <c r="AJ147" s="48"/>
      <c r="AK147" s="48"/>
      <c r="AL147" s="48"/>
      <c r="AM147" s="48"/>
      <c r="AN147" s="48"/>
      <c r="AO147" s="48"/>
      <c r="AP147" s="48"/>
      <c r="AQ147" s="48"/>
    </row>
    <row r="148" spans="1:43" ht="20" customHeight="1" x14ac:dyDescent="0.45">
      <c r="A148" s="26">
        <v>138</v>
      </c>
      <c r="B148" s="16" t="s">
        <v>341</v>
      </c>
      <c r="C148" s="16" t="s">
        <v>216</v>
      </c>
      <c r="D148" s="46">
        <v>29</v>
      </c>
      <c r="E148" s="46">
        <v>1</v>
      </c>
      <c r="F148" s="13">
        <v>-5.6198294204914123E-2</v>
      </c>
      <c r="G148" s="13">
        <v>0.45119924547899498</v>
      </c>
      <c r="H148" s="13">
        <v>0.26563877645767969</v>
      </c>
      <c r="I148" s="13">
        <v>-9.2598356374887281E-2</v>
      </c>
      <c r="J148" s="13">
        <v>0.13436532748352381</v>
      </c>
      <c r="K148" s="13">
        <v>17.309968847352032</v>
      </c>
      <c r="L148" s="13">
        <v>0.65026750114961551</v>
      </c>
      <c r="M148" s="13">
        <v>-0.66503741086998336</v>
      </c>
      <c r="N148" s="19">
        <f>(F148-Settings!$D$18)/Settings!$E$18</f>
        <v>-0.88944025951971295</v>
      </c>
      <c r="O148" s="19">
        <f>(G148-Settings!$D$19)/Settings!$E$19</f>
        <v>1.9074245516493495</v>
      </c>
      <c r="P148" s="19">
        <f>(H148-Settings!$D$20)/Settings!$E$20</f>
        <v>1.9253957857822719</v>
      </c>
      <c r="Q148" s="19">
        <f>(I148-Settings!$D$21)/Settings!$E$21</f>
        <v>-1.1025013421025167</v>
      </c>
      <c r="R148" s="19">
        <f>(J148-Settings!$D$22)/Settings!$E$22</f>
        <v>-0.30536606729961341</v>
      </c>
      <c r="S148" s="19">
        <f>(K148-Settings!$D$23)/Settings!$E$23</f>
        <v>0.71356992837013877</v>
      </c>
      <c r="T148" s="19">
        <f>(L148-Settings!$D$24)/Settings!$E$24</f>
        <v>-0.45491167971831697</v>
      </c>
      <c r="U148" s="19">
        <f>(M148-Settings!$D$25)/Settings!$E$25</f>
        <v>-0.41253837873182975</v>
      </c>
      <c r="V148" s="31">
        <f>Settings!$B$18*(N148-F$6)^2</f>
        <v>0.51857397377675896</v>
      </c>
      <c r="W148" s="31">
        <f>Settings!$B$19*(O148-G$6)^2</f>
        <v>0.78102079815434422</v>
      </c>
      <c r="X148" s="31">
        <f>Settings!$B$20*(P148-H$6)^2</f>
        <v>0.65486873363970444</v>
      </c>
      <c r="Y148" s="31">
        <f>Settings!$B$21*(Q148-I$6)^2</f>
        <v>0.46957235083953752</v>
      </c>
      <c r="Z148" s="31">
        <f>Settings!$B$22*(R148-J$6)^2</f>
        <v>0.17822565187639181</v>
      </c>
      <c r="AA148" s="31">
        <f>Settings!$B$23*(S148-K$6)^2</f>
        <v>0.18758353117983859</v>
      </c>
      <c r="AB148" s="31">
        <f>Settings!$B$24*(T148-L$6)^2</f>
        <v>0.72044130287938801</v>
      </c>
      <c r="AC148" s="31">
        <f>Settings!$B$25*(U148-M$6)^2</f>
        <v>4.1502495912934751</v>
      </c>
      <c r="AD148" s="19">
        <f t="shared" si="8"/>
        <v>2.7677673192736849</v>
      </c>
      <c r="AE148" s="15">
        <f t="shared" si="9"/>
        <v>1.0955324834608973</v>
      </c>
      <c r="AF148" s="33">
        <f t="shared" si="10"/>
        <v>0.54875911120991172</v>
      </c>
      <c r="AG148" s="47">
        <f t="shared" si="11"/>
        <v>3.2351990988091816E-3</v>
      </c>
      <c r="AH148" s="18">
        <v>1.415591066310746</v>
      </c>
      <c r="AI148" s="46">
        <v>1</v>
      </c>
      <c r="AJ148" s="18">
        <v>1.498714225733869</v>
      </c>
      <c r="AK148" s="46">
        <v>1</v>
      </c>
      <c r="AL148" s="48"/>
      <c r="AM148" s="48"/>
      <c r="AN148" s="48"/>
      <c r="AO148" s="48"/>
      <c r="AP148" s="48"/>
      <c r="AQ148" s="48"/>
    </row>
    <row r="149" spans="1:43" ht="20" customHeight="1" x14ac:dyDescent="0.45">
      <c r="A149" s="26">
        <v>139</v>
      </c>
      <c r="B149" s="16" t="s">
        <v>437</v>
      </c>
      <c r="C149" s="16" t="s">
        <v>220</v>
      </c>
      <c r="D149" s="46">
        <v>29</v>
      </c>
      <c r="E149" s="46">
        <v>1</v>
      </c>
      <c r="F149" s="13">
        <v>0.20561795785121331</v>
      </c>
      <c r="G149" s="13">
        <v>-0.124459517320826</v>
      </c>
      <c r="H149" s="13">
        <v>0.33259169989770671</v>
      </c>
      <c r="I149" s="13">
        <v>-2.859835169172582E-3</v>
      </c>
      <c r="J149" s="13">
        <v>0.33447098976108153</v>
      </c>
      <c r="K149" s="13">
        <v>18.59066091954017</v>
      </c>
      <c r="L149" s="13">
        <v>1.558869757008553</v>
      </c>
      <c r="M149" s="13">
        <v>2.7509159384173421E-2</v>
      </c>
      <c r="N149" s="19">
        <f>(F149-Settings!$D$18)/Settings!$E$18</f>
        <v>4.7583785396554716E-2</v>
      </c>
      <c r="O149" s="19">
        <f>(G149-Settings!$D$19)/Settings!$E$19</f>
        <v>-0.49084322550518789</v>
      </c>
      <c r="P149" s="19">
        <f>(H149-Settings!$D$20)/Settings!$E$20</f>
        <v>2.5320021470735821</v>
      </c>
      <c r="Q149" s="19">
        <f>(I149-Settings!$D$21)/Settings!$E$21</f>
        <v>1.0408518089700337E-3</v>
      </c>
      <c r="R149" s="19">
        <f>(J149-Settings!$D$22)/Settings!$E$22</f>
        <v>0.23302763814977201</v>
      </c>
      <c r="S149" s="19">
        <f>(K149-Settings!$D$23)/Settings!$E$23</f>
        <v>1.1583248275482902</v>
      </c>
      <c r="T149" s="19">
        <f>(L149-Settings!$D$24)/Settings!$E$24</f>
        <v>0.17325475883075578</v>
      </c>
      <c r="U149" s="19">
        <f>(M149-Settings!$D$25)/Settings!$E$25</f>
        <v>5.4522741486887884E-2</v>
      </c>
      <c r="V149" s="31">
        <f>Settings!$B$18*(N149-F$6)^2</f>
        <v>9.0643694528936225E-2</v>
      </c>
      <c r="W149" s="31">
        <f>Settings!$B$19*(O149-G$6)^2</f>
        <v>3.5639453314357632E-2</v>
      </c>
      <c r="X149" s="31">
        <f>Settings!$B$20*(P149-H$6)^2</f>
        <v>1.1675282549614243</v>
      </c>
      <c r="Y149" s="31">
        <f>Settings!$B$21*(Q149-I$6)^2</f>
        <v>3.6762088399152751E-2</v>
      </c>
      <c r="Z149" s="31">
        <f>Settings!$B$22*(R149-J$6)^2</f>
        <v>3.2902628059046687E-2</v>
      </c>
      <c r="AA149" s="31">
        <f>Settings!$B$23*(S149-K$6)^2</f>
        <v>1.3562359851963647E-4</v>
      </c>
      <c r="AB149" s="31">
        <f>Settings!$B$24*(T149-L$6)^2</f>
        <v>4.8673934182808909E-2</v>
      </c>
      <c r="AC149" s="31">
        <f>Settings!$B$25*(U149-M$6)^2</f>
        <v>6.2714045840226422</v>
      </c>
      <c r="AD149" s="19">
        <f t="shared" si="8"/>
        <v>2.7719470162805941</v>
      </c>
      <c r="AE149" s="15">
        <f t="shared" si="9"/>
        <v>1.0971868833124334</v>
      </c>
      <c r="AF149" s="33">
        <f t="shared" si="10"/>
        <v>0.54776466458676121</v>
      </c>
      <c r="AG149" s="47">
        <f t="shared" si="11"/>
        <v>3.2293363573014607E-3</v>
      </c>
      <c r="AH149" s="18">
        <v>-1.17008555670829</v>
      </c>
      <c r="AI149" s="46">
        <v>1</v>
      </c>
      <c r="AJ149" s="18">
        <v>0.17116243672306961</v>
      </c>
      <c r="AK149" s="46">
        <v>1</v>
      </c>
      <c r="AL149" s="18">
        <v>1.232541770868598</v>
      </c>
      <c r="AM149" s="46">
        <v>1</v>
      </c>
      <c r="AN149" s="18">
        <v>-0.40417837390667749</v>
      </c>
      <c r="AO149" s="46">
        <v>1</v>
      </c>
      <c r="AP149" s="48"/>
      <c r="AQ149" s="48"/>
    </row>
    <row r="150" spans="1:43" ht="20" customHeight="1" x14ac:dyDescent="0.45">
      <c r="A150" s="26">
        <v>140</v>
      </c>
      <c r="B150" s="16" t="s">
        <v>551</v>
      </c>
      <c r="C150" s="16" t="s">
        <v>260</v>
      </c>
      <c r="D150" s="46">
        <v>29</v>
      </c>
      <c r="E150" s="46">
        <v>1</v>
      </c>
      <c r="F150" s="13">
        <v>0.20599421108002791</v>
      </c>
      <c r="G150" s="13">
        <v>0.33677586347808119</v>
      </c>
      <c r="H150" s="13">
        <v>-3.3290607369795552E-5</v>
      </c>
      <c r="I150" s="13">
        <v>7.672492497424227E-2</v>
      </c>
      <c r="J150" s="13">
        <v>0.38047170986027889</v>
      </c>
      <c r="K150" s="13">
        <v>13.68301282051282</v>
      </c>
      <c r="L150" s="13">
        <v>1.511973770511305</v>
      </c>
      <c r="M150" s="13">
        <v>-0.67909230273625143</v>
      </c>
      <c r="N150" s="19">
        <f>(F150-Settings!$D$18)/Settings!$E$18</f>
        <v>4.8930372247477483E-2</v>
      </c>
      <c r="O150" s="19">
        <f>(G150-Settings!$D$19)/Settings!$E$19</f>
        <v>1.4307221582537297</v>
      </c>
      <c r="P150" s="19">
        <f>(H150-Settings!$D$20)/Settings!$E$20</f>
        <v>-0.48164423007944007</v>
      </c>
      <c r="Q150" s="19">
        <f>(I150-Settings!$D$21)/Settings!$E$21</f>
        <v>0.97971912319762999</v>
      </c>
      <c r="R150" s="19">
        <f>(J150-Settings!$D$22)/Settings!$E$22</f>
        <v>0.35679474131746935</v>
      </c>
      <c r="S150" s="19">
        <f>(K150-Settings!$D$23)/Settings!$E$23</f>
        <v>-0.54598847530169325</v>
      </c>
      <c r="T150" s="19">
        <f>(L150-Settings!$D$24)/Settings!$E$24</f>
        <v>0.14083299823059808</v>
      </c>
      <c r="U150" s="19">
        <f>(M150-Settings!$D$25)/Settings!$E$25</f>
        <v>-0.42201715434283743</v>
      </c>
      <c r="V150" s="31">
        <f>Settings!$B$18*(N150-F$6)^2</f>
        <v>9.0281440186858505E-2</v>
      </c>
      <c r="W150" s="31">
        <f>Settings!$B$19*(O150-G$6)^2</f>
        <v>0.44965878650118496</v>
      </c>
      <c r="X150" s="31">
        <f>Settings!$B$20*(P150-H$6)^2</f>
        <v>7.1407286176771417E-2</v>
      </c>
      <c r="Y150" s="31">
        <f>Settings!$B$21*(Q150-I$6)^2</f>
        <v>6.0488356229280144E-2</v>
      </c>
      <c r="Z150" s="31">
        <f>Settings!$B$22*(R150-J$6)^2</f>
        <v>1.5886203756824695E-2</v>
      </c>
      <c r="AA150" s="31">
        <f>Settings!$B$23*(S150-K$6)^2</f>
        <v>2.8651234291433423</v>
      </c>
      <c r="AB150" s="31">
        <f>Settings!$B$24*(T150-L$6)^2</f>
        <v>6.4030992576208867E-2</v>
      </c>
      <c r="AC150" s="31">
        <f>Settings!$B$25*(U150-M$6)^2</f>
        <v>4.1117188092017098</v>
      </c>
      <c r="AD150" s="19">
        <f t="shared" si="8"/>
        <v>2.7800351263558132</v>
      </c>
      <c r="AE150" s="15">
        <f t="shared" si="9"/>
        <v>1.1003883039143414</v>
      </c>
      <c r="AF150" s="33">
        <f t="shared" si="10"/>
        <v>0.54584118817446725</v>
      </c>
      <c r="AG150" s="47">
        <f t="shared" si="11"/>
        <v>3.2179965380100526E-3</v>
      </c>
      <c r="AH150" s="18">
        <v>-0.79918415901774698</v>
      </c>
      <c r="AI150" s="46">
        <v>1</v>
      </c>
      <c r="AJ150" s="18">
        <v>-1.3125067119309171</v>
      </c>
      <c r="AK150" s="46">
        <v>1</v>
      </c>
      <c r="AL150" s="18">
        <v>0.2993031045646376</v>
      </c>
      <c r="AM150" s="46">
        <v>1</v>
      </c>
      <c r="AN150" s="18">
        <v>0.63948860913046257</v>
      </c>
      <c r="AO150" s="46">
        <v>1</v>
      </c>
      <c r="AP150" s="18">
        <v>-0.48610150128252322</v>
      </c>
      <c r="AQ150" s="46">
        <v>1</v>
      </c>
    </row>
    <row r="151" spans="1:43" ht="20" customHeight="1" x14ac:dyDescent="0.45">
      <c r="A151" s="26">
        <v>141</v>
      </c>
      <c r="B151" s="16" t="s">
        <v>645</v>
      </c>
      <c r="C151" s="16" t="s">
        <v>260</v>
      </c>
      <c r="D151" s="46">
        <v>29</v>
      </c>
      <c r="E151" s="46">
        <v>1</v>
      </c>
      <c r="F151" s="13">
        <v>0.3322737895131983</v>
      </c>
      <c r="G151" s="13">
        <v>0.3030177174261145</v>
      </c>
      <c r="H151" s="13">
        <v>3.8183185195152011E-3</v>
      </c>
      <c r="I151" s="13">
        <v>2.914748671509973E-2</v>
      </c>
      <c r="J151" s="13">
        <v>0.3317426878260723</v>
      </c>
      <c r="K151" s="13">
        <v>15.67148760330581</v>
      </c>
      <c r="L151" s="13">
        <v>1.9870904640290541</v>
      </c>
      <c r="M151" s="13">
        <v>1.8920679761924349E-2</v>
      </c>
      <c r="N151" s="19">
        <f>(F151-Settings!$D$18)/Settings!$E$18</f>
        <v>0.50087711139949842</v>
      </c>
      <c r="O151" s="19">
        <f>(G151-Settings!$D$19)/Settings!$E$19</f>
        <v>1.2900814191131675</v>
      </c>
      <c r="P151" s="19">
        <f>(H151-Settings!$D$20)/Settings!$E$20</f>
        <v>-0.44674791073247461</v>
      </c>
      <c r="Q151" s="19">
        <f>(I151-Settings!$D$21)/Settings!$E$21</f>
        <v>0.3946447327157091</v>
      </c>
      <c r="R151" s="19">
        <f>(J151-Settings!$D$22)/Settings!$E$22</f>
        <v>0.22568701334357888</v>
      </c>
      <c r="S151" s="19">
        <f>(K151-Settings!$D$23)/Settings!$E$23</f>
        <v>0.14456307939667409</v>
      </c>
      <c r="T151" s="19">
        <f>(L151-Settings!$D$24)/Settings!$E$24</f>
        <v>0.46930715657408251</v>
      </c>
      <c r="U151" s="19">
        <f>(M151-Settings!$D$25)/Settings!$E$25</f>
        <v>4.8730575175427907E-2</v>
      </c>
      <c r="V151" s="31">
        <f>Settings!$B$18*(N151-F$6)^2</f>
        <v>9.6731109182044191E-3</v>
      </c>
      <c r="W151" s="31">
        <f>Settings!$B$19*(O151-G$6)^2</f>
        <v>0.36926230493070089</v>
      </c>
      <c r="X151" s="31">
        <f>Settings!$B$20*(P151-H$6)^2</f>
        <v>6.3310263944935774E-2</v>
      </c>
      <c r="Y151" s="31">
        <f>Settings!$B$21*(Q151-I$6)^2</f>
        <v>2.4678571166816241E-4</v>
      </c>
      <c r="Z151" s="31">
        <f>Settings!$B$22*(R151-J$6)^2</f>
        <v>3.4104354426118436E-2</v>
      </c>
      <c r="AA151" s="31">
        <f>Settings!$B$23*(S151-K$6)^2</f>
        <v>1.0042364646768323</v>
      </c>
      <c r="AB151" s="31">
        <f>Settings!$B$24*(T151-L$6)^2</f>
        <v>5.6897902742162471E-3</v>
      </c>
      <c r="AC151" s="31">
        <f>Settings!$B$25*(U151-M$6)^2</f>
        <v>6.2424277524786493</v>
      </c>
      <c r="AD151" s="19">
        <f t="shared" si="8"/>
        <v>2.7800990679041142</v>
      </c>
      <c r="AE151" s="15">
        <f t="shared" si="9"/>
        <v>1.100413613138393</v>
      </c>
      <c r="AF151" s="33">
        <f t="shared" si="10"/>
        <v>0.54582598654836345</v>
      </c>
      <c r="AG151" s="47">
        <f t="shared" si="11"/>
        <v>3.2179069171070608E-3</v>
      </c>
      <c r="AH151" s="18">
        <v>-0.27926990356184728</v>
      </c>
      <c r="AI151" s="46">
        <v>1</v>
      </c>
      <c r="AJ151" s="18">
        <v>-0.77081783694212058</v>
      </c>
      <c r="AK151" s="46">
        <v>1</v>
      </c>
      <c r="AL151" s="18">
        <v>0.6512806376375897</v>
      </c>
      <c r="AM151" s="46">
        <v>1</v>
      </c>
      <c r="AN151" s="18">
        <v>-0.40889490888520158</v>
      </c>
      <c r="AO151" s="46">
        <v>1</v>
      </c>
      <c r="AP151" s="18">
        <v>-8.3921191829593011E-2</v>
      </c>
      <c r="AQ151" s="46">
        <v>1</v>
      </c>
    </row>
    <row r="152" spans="1:43" ht="20" customHeight="1" x14ac:dyDescent="0.45">
      <c r="A152" s="26">
        <v>142</v>
      </c>
      <c r="B152" s="16" t="s">
        <v>367</v>
      </c>
      <c r="C152" s="16" t="s">
        <v>224</v>
      </c>
      <c r="D152" s="46">
        <v>29</v>
      </c>
      <c r="E152" s="46">
        <v>0</v>
      </c>
      <c r="F152" s="13">
        <v>5.6515262517867759E-2</v>
      </c>
      <c r="G152" s="13">
        <v>-0.29345846526486707</v>
      </c>
      <c r="H152" s="13">
        <v>5.2593472232866567E-3</v>
      </c>
      <c r="I152" s="13">
        <v>1.9164373505974722E-6</v>
      </c>
      <c r="J152" s="13">
        <v>0.64476500855662788</v>
      </c>
      <c r="K152" s="13">
        <v>15.99289044289044</v>
      </c>
      <c r="L152" s="13">
        <v>1.27456368151179</v>
      </c>
      <c r="M152" s="13">
        <v>-4.6004666257375426E-3</v>
      </c>
      <c r="N152" s="19">
        <f>(F152-Settings!$D$18)/Settings!$E$18</f>
        <v>-0.48604546638579116</v>
      </c>
      <c r="O152" s="19">
        <f>(G152-Settings!$D$19)/Settings!$E$19</f>
        <v>-1.1949143826190616</v>
      </c>
      <c r="P152" s="19">
        <f>(H152-Settings!$D$20)/Settings!$E$20</f>
        <v>-0.43369191356912229</v>
      </c>
      <c r="Q152" s="19">
        <f>(I152-Settings!$D$21)/Settings!$E$21</f>
        <v>3.6232691432144033E-2</v>
      </c>
      <c r="R152" s="19">
        <f>(J152-Settings!$D$22)/Settings!$E$22</f>
        <v>1.0678883045430769</v>
      </c>
      <c r="S152" s="19">
        <f>(K152-Settings!$D$23)/Settings!$E$23</f>
        <v>0.25617889292381096</v>
      </c>
      <c r="T152" s="19">
        <f>(L152-Settings!$D$24)/Settings!$E$24</f>
        <v>-2.3301582242639209E-2</v>
      </c>
      <c r="U152" s="19">
        <f>(M152-Settings!$D$25)/Settings!$E$25</f>
        <v>3.2867652084756706E-2</v>
      </c>
      <c r="V152" s="31">
        <f>Settings!$B$18*(N152-F$6)^2</f>
        <v>0.29129462266962441</v>
      </c>
      <c r="W152" s="31">
        <f>Settings!$B$19*(O152-G$6)^2</f>
        <v>0.25366769261425426</v>
      </c>
      <c r="X152" s="31">
        <f>Settings!$B$20*(P152-H$6)^2</f>
        <v>6.0406083039882312E-2</v>
      </c>
      <c r="Y152" s="31">
        <f>Settings!$B$21*(Q152-I$6)^2</f>
        <v>3.0974645659288522E-2</v>
      </c>
      <c r="Z152" s="31">
        <f>Settings!$B$22*(R152-J$6)^2</f>
        <v>3.6852567114724871E-2</v>
      </c>
      <c r="AA152" s="31">
        <f>Settings!$B$23*(S152-K$6)^2</f>
        <v>0.79299057075238177</v>
      </c>
      <c r="AB152" s="31">
        <f>Settings!$B$24*(T152-L$6)^2</f>
        <v>0.17403751733346007</v>
      </c>
      <c r="AC152" s="31">
        <f>Settings!$B$25*(U152-M$6)^2</f>
        <v>6.1634128311081273</v>
      </c>
      <c r="AD152" s="19">
        <f t="shared" si="8"/>
        <v>2.7934989762467684</v>
      </c>
      <c r="AE152" s="15">
        <f t="shared" si="9"/>
        <v>1.1057175397952872</v>
      </c>
      <c r="AF152" s="33">
        <f t="shared" si="10"/>
        <v>0.54264191196222133</v>
      </c>
      <c r="AG152" s="47">
        <f t="shared" si="11"/>
        <v>3.1991352648079018E-3</v>
      </c>
      <c r="AH152" s="18">
        <v>-0.42218266896409362</v>
      </c>
      <c r="AI152" s="46">
        <v>0</v>
      </c>
      <c r="AJ152" s="18">
        <v>-0.40474636486930488</v>
      </c>
      <c r="AK152" s="46">
        <v>1</v>
      </c>
      <c r="AL152" s="18">
        <v>-0.35666964070973511</v>
      </c>
      <c r="AM152" s="46">
        <v>1</v>
      </c>
      <c r="AN152" s="18">
        <v>9.0489526767154799E-2</v>
      </c>
      <c r="AO152" s="46">
        <v>1</v>
      </c>
      <c r="AP152" s="48"/>
      <c r="AQ152" s="48"/>
    </row>
    <row r="153" spans="1:43" ht="20" customHeight="1" x14ac:dyDescent="0.45">
      <c r="A153" s="26">
        <v>143</v>
      </c>
      <c r="B153" s="16" t="s">
        <v>331</v>
      </c>
      <c r="C153" s="16" t="s">
        <v>234</v>
      </c>
      <c r="D153" s="46">
        <v>29</v>
      </c>
      <c r="E153" s="46">
        <v>1</v>
      </c>
      <c r="F153" s="13">
        <v>1.377751836897077E-2</v>
      </c>
      <c r="G153" s="13">
        <v>0.14886318779200131</v>
      </c>
      <c r="H153" s="13">
        <v>4.2641196585872683E-2</v>
      </c>
      <c r="I153" s="13">
        <v>-4.2145142352268067E-3</v>
      </c>
      <c r="J153" s="13">
        <v>0.79050358301792845</v>
      </c>
      <c r="K153" s="13">
        <v>16.0263616557734</v>
      </c>
      <c r="L153" s="13">
        <v>1.6759599761310591</v>
      </c>
      <c r="M153" s="13">
        <v>6.6371755875418437E-2</v>
      </c>
      <c r="N153" s="19">
        <f>(F153-Settings!$D$18)/Settings!$E$18</f>
        <v>-0.6390011884943293</v>
      </c>
      <c r="O153" s="19">
        <f>(G153-Settings!$D$19)/Settings!$E$19</f>
        <v>0.64785400069294574</v>
      </c>
      <c r="P153" s="19">
        <f>(H153-Settings!$D$20)/Settings!$E$20</f>
        <v>-9.5005169882862672E-2</v>
      </c>
      <c r="Q153" s="19">
        <f>(I153-Settings!$D$21)/Settings!$E$21</f>
        <v>-1.5618053291242854E-2</v>
      </c>
      <c r="R153" s="19">
        <f>(J153-Settings!$D$22)/Settings!$E$22</f>
        <v>1.4600048005885302</v>
      </c>
      <c r="S153" s="19">
        <f>(K153-Settings!$D$23)/Settings!$E$23</f>
        <v>0.2678026752790002</v>
      </c>
      <c r="T153" s="19">
        <f>(L153-Settings!$D$24)/Settings!$E$24</f>
        <v>0.25420563195574425</v>
      </c>
      <c r="U153" s="19">
        <f>(M153-Settings!$D$25)/Settings!$E$25</f>
        <v>8.0732109392857895E-2</v>
      </c>
      <c r="V153" s="31">
        <f>Settings!$B$18*(N153-F$6)^2</f>
        <v>0.36981120851126015</v>
      </c>
      <c r="W153" s="31">
        <f>Settings!$B$19*(O153-G$6)^2</f>
        <v>0.10269251961552112</v>
      </c>
      <c r="X153" s="31">
        <f>Settings!$B$20*(P153-H$6)^2</f>
        <v>8.8945974685119677E-3</v>
      </c>
      <c r="Y153" s="31">
        <f>Settings!$B$21*(Q153-I$6)^2</f>
        <v>3.9674469173806515E-2</v>
      </c>
      <c r="Z153" s="31">
        <f>Settings!$B$22*(R153-J$6)^2</f>
        <v>0.1349313675459104</v>
      </c>
      <c r="AA153" s="31">
        <f>Settings!$B$23*(S153-K$6)^2</f>
        <v>0.77242372250721925</v>
      </c>
      <c r="AB153" s="31">
        <f>Settings!$B$24*(T153-L$6)^2</f>
        <v>1.9507939672248401E-2</v>
      </c>
      <c r="AC153" s="31">
        <f>Settings!$B$25*(U153-M$6)^2</f>
        <v>6.4033625629660635</v>
      </c>
      <c r="AD153" s="19">
        <f t="shared" si="8"/>
        <v>2.8020168428224235</v>
      </c>
      <c r="AE153" s="15">
        <f t="shared" si="9"/>
        <v>1.1090890658113777</v>
      </c>
      <c r="AF153" s="33">
        <f t="shared" si="10"/>
        <v>0.54061966045965959</v>
      </c>
      <c r="AG153" s="47">
        <f t="shared" si="11"/>
        <v>3.1872131188152302E-3</v>
      </c>
      <c r="AH153" s="18">
        <v>0.30951617453324198</v>
      </c>
      <c r="AI153" s="46">
        <v>1</v>
      </c>
      <c r="AJ153" s="18">
        <v>0.30373836194620057</v>
      </c>
      <c r="AK153" s="46">
        <v>1</v>
      </c>
      <c r="AL153" s="18">
        <v>3.7595490043483171E-2</v>
      </c>
      <c r="AM153" s="46">
        <v>1</v>
      </c>
      <c r="AN153" s="18">
        <v>-0.14665988549801501</v>
      </c>
      <c r="AO153" s="46">
        <v>1</v>
      </c>
      <c r="AP153" s="18">
        <v>-1.3295772521235909</v>
      </c>
      <c r="AQ153" s="46">
        <v>1</v>
      </c>
    </row>
    <row r="154" spans="1:43" ht="20" customHeight="1" x14ac:dyDescent="0.45">
      <c r="A154" s="26">
        <v>144</v>
      </c>
      <c r="B154" s="16" t="s">
        <v>351</v>
      </c>
      <c r="C154" s="16" t="s">
        <v>227</v>
      </c>
      <c r="D154" s="46">
        <v>29</v>
      </c>
      <c r="E154" s="46">
        <v>0</v>
      </c>
      <c r="F154" s="13">
        <v>6.3059454949118618E-2</v>
      </c>
      <c r="G154" s="13">
        <v>-4.9986379021112262E-2</v>
      </c>
      <c r="H154" s="13">
        <v>0.46284028523888882</v>
      </c>
      <c r="I154" s="13">
        <v>-3.6109340777269343E-2</v>
      </c>
      <c r="J154" s="13">
        <v>0.3880045400136109</v>
      </c>
      <c r="K154" s="13">
        <v>17.70894308943085</v>
      </c>
      <c r="L154" s="13">
        <v>1.677189010073155</v>
      </c>
      <c r="M154" s="13">
        <v>-0.46282914180710999</v>
      </c>
      <c r="N154" s="19">
        <f>(F154-Settings!$D$18)/Settings!$E$18</f>
        <v>-0.46262420962848894</v>
      </c>
      <c r="O154" s="19">
        <f>(G154-Settings!$D$19)/Settings!$E$19</f>
        <v>-0.1805786392786331</v>
      </c>
      <c r="P154" s="19">
        <f>(H154-Settings!$D$20)/Settings!$E$20</f>
        <v>3.7120793768293212</v>
      </c>
      <c r="Q154" s="19">
        <f>(I154-Settings!$D$21)/Settings!$E$21</f>
        <v>-0.40783854437718819</v>
      </c>
      <c r="R154" s="19">
        <f>(J154-Settings!$D$22)/Settings!$E$22</f>
        <v>0.37706217549505849</v>
      </c>
      <c r="S154" s="19">
        <f>(K154-Settings!$D$23)/Settings!$E$23</f>
        <v>0.85212450574584442</v>
      </c>
      <c r="T154" s="19">
        <f>(L154-Settings!$D$24)/Settings!$E$24</f>
        <v>0.25505533034608391</v>
      </c>
      <c r="U154" s="19">
        <f>(M154-Settings!$D$25)/Settings!$E$25</f>
        <v>-0.27616686998067996</v>
      </c>
      <c r="V154" s="31">
        <f>Settings!$B$18*(N154-F$6)^2</f>
        <v>0.28009800983500599</v>
      </c>
      <c r="W154" s="31">
        <f>Settings!$B$19*(O154-G$6)^2</f>
        <v>2.5029612365267042E-3</v>
      </c>
      <c r="X154" s="31">
        <f>Settings!$B$20*(P154-H$6)^2</f>
        <v>2.5865285166270815</v>
      </c>
      <c r="Y154" s="31">
        <f>Settings!$B$21*(Q154-I$6)^2</f>
        <v>0.14031830222427777</v>
      </c>
      <c r="Z154" s="31">
        <f>Settings!$B$22*(R154-J$6)^2</f>
        <v>1.3683527868328894E-2</v>
      </c>
      <c r="AA154" s="31">
        <f>Settings!$B$23*(S154-K$6)^2</f>
        <v>8.6762393102407923E-2</v>
      </c>
      <c r="AB154" s="31">
        <f>Settings!$B$24*(T154-L$6)^2</f>
        <v>1.9271305507320299E-2</v>
      </c>
      <c r="AC154" s="31">
        <f>Settings!$B$25*(U154-M$6)^2</f>
        <v>4.7244832563656498</v>
      </c>
      <c r="AD154" s="19">
        <f t="shared" si="8"/>
        <v>2.8024361317908029</v>
      </c>
      <c r="AE154" s="15">
        <f t="shared" si="9"/>
        <v>1.1092550279866</v>
      </c>
      <c r="AF154" s="33">
        <f t="shared" si="10"/>
        <v>0.54052015202423087</v>
      </c>
      <c r="AG154" s="47">
        <f t="shared" si="11"/>
        <v>3.1866264686912565E-3</v>
      </c>
      <c r="AH154" s="18">
        <v>-0.37028785064356518</v>
      </c>
      <c r="AI154" s="46">
        <v>0</v>
      </c>
      <c r="AJ154" s="18">
        <v>-0.70280076695599225</v>
      </c>
      <c r="AK154" s="46">
        <v>0</v>
      </c>
      <c r="AL154" s="18">
        <v>-0.77821229238600365</v>
      </c>
      <c r="AM154" s="46">
        <v>0</v>
      </c>
      <c r="AN154" s="18">
        <v>0.60942802004371588</v>
      </c>
      <c r="AO154" s="46">
        <v>1</v>
      </c>
      <c r="AP154" s="48"/>
      <c r="AQ154" s="48"/>
    </row>
    <row r="155" spans="1:43" ht="20" customHeight="1" x14ac:dyDescent="0.45">
      <c r="A155" s="26">
        <v>145</v>
      </c>
      <c r="B155" s="16" t="s">
        <v>438</v>
      </c>
      <c r="C155" s="16" t="s">
        <v>229</v>
      </c>
      <c r="D155" s="46">
        <v>29</v>
      </c>
      <c r="E155" s="46">
        <v>1</v>
      </c>
      <c r="F155" s="13">
        <v>0.33198491910497979</v>
      </c>
      <c r="G155" s="13">
        <v>-5.0939447987316776E-3</v>
      </c>
      <c r="H155" s="13">
        <v>0.2446381436104228</v>
      </c>
      <c r="I155" s="13">
        <v>1.3176046235671269E-2</v>
      </c>
      <c r="J155" s="13">
        <v>-0.40510694625019461</v>
      </c>
      <c r="K155" s="13">
        <v>17.97413087934564</v>
      </c>
      <c r="L155" s="13">
        <v>0.26321521523755609</v>
      </c>
      <c r="M155" s="13">
        <v>-0.33266205476871868</v>
      </c>
      <c r="N155" s="19">
        <f>(F155-Settings!$D$18)/Settings!$E$18</f>
        <v>0.49984326221618841</v>
      </c>
      <c r="O155" s="19">
        <f>(G155-Settings!$D$19)/Settings!$E$19</f>
        <v>6.4489635149406026E-3</v>
      </c>
      <c r="P155" s="19">
        <f>(H155-Settings!$D$20)/Settings!$E$20</f>
        <v>1.7351260138028552</v>
      </c>
      <c r="Q155" s="19">
        <f>(I155-Settings!$D$21)/Settings!$E$21</f>
        <v>0.19823901720150236</v>
      </c>
      <c r="R155" s="19">
        <f>(J155-Settings!$D$22)/Settings!$E$22</f>
        <v>-1.7568416184503528</v>
      </c>
      <c r="S155" s="19">
        <f>(K155-Settings!$D$23)/Settings!$E$23</f>
        <v>0.9442181255379275</v>
      </c>
      <c r="T155" s="19">
        <f>(L155-Settings!$D$24)/Settings!$E$24</f>
        <v>-0.7225020961033306</v>
      </c>
      <c r="U155" s="19">
        <f>(M155-Settings!$D$25)/Settings!$E$25</f>
        <v>-0.18838073674570213</v>
      </c>
      <c r="V155" s="31">
        <f>Settings!$B$18*(N155-F$6)^2</f>
        <v>9.7642710354386587E-3</v>
      </c>
      <c r="W155" s="31">
        <f>Settings!$B$19*(O155-G$6)^2</f>
        <v>1.129745240916822E-3</v>
      </c>
      <c r="X155" s="31">
        <f>Settings!$B$20*(P155-H$6)^2</f>
        <v>0.52439086652168865</v>
      </c>
      <c r="Y155" s="31">
        <f>Settings!$B$21*(Q155-I$6)^2</f>
        <v>1.0721509238280734E-2</v>
      </c>
      <c r="Z155" s="31">
        <f>Settings!$B$22*(R155-J$6)^2</f>
        <v>1.1476566947394617</v>
      </c>
      <c r="AA155" s="31">
        <f>Settings!$B$23*(S155-K$6)^2</f>
        <v>4.0990435255574192E-2</v>
      </c>
      <c r="AB155" s="31">
        <f>Settings!$B$24*(T155-L$6)^2</f>
        <v>1.2463010762565798</v>
      </c>
      <c r="AC155" s="31">
        <f>Settings!$B$25*(U155-M$6)^2</f>
        <v>5.1138113709947772</v>
      </c>
      <c r="AD155" s="19">
        <f t="shared" si="8"/>
        <v>2.8451302200923454</v>
      </c>
      <c r="AE155" s="15">
        <f t="shared" si="9"/>
        <v>1.1261541221627542</v>
      </c>
      <c r="AF155" s="33">
        <f t="shared" si="10"/>
        <v>0.5304065168942601</v>
      </c>
      <c r="AG155" s="47">
        <f t="shared" si="11"/>
        <v>3.1270017215302925E-3</v>
      </c>
      <c r="AH155" s="18">
        <v>0.85145490752728226</v>
      </c>
      <c r="AI155" s="46">
        <v>1</v>
      </c>
      <c r="AJ155" s="18">
        <v>0.44090580216841557</v>
      </c>
      <c r="AK155" s="46">
        <v>1</v>
      </c>
      <c r="AL155" s="18">
        <v>-1.3828762206727161</v>
      </c>
      <c r="AM155" s="46">
        <v>1</v>
      </c>
      <c r="AN155" s="48"/>
      <c r="AO155" s="48"/>
      <c r="AP155" s="48"/>
      <c r="AQ155" s="48"/>
    </row>
    <row r="156" spans="1:43" ht="20" customHeight="1" x14ac:dyDescent="0.45">
      <c r="A156" s="26">
        <v>146</v>
      </c>
      <c r="B156" s="16" t="s">
        <v>755</v>
      </c>
      <c r="C156" s="16" t="s">
        <v>214</v>
      </c>
      <c r="D156" s="46">
        <v>29</v>
      </c>
      <c r="E156" s="46">
        <v>1</v>
      </c>
      <c r="F156" s="13">
        <v>6.6991527464376338E-2</v>
      </c>
      <c r="G156" s="13">
        <v>1.6163728816670948E-2</v>
      </c>
      <c r="H156" s="13">
        <v>2.0290838577790231E-2</v>
      </c>
      <c r="I156" s="13">
        <v>4.2227642644040787E-5</v>
      </c>
      <c r="J156" s="13">
        <v>0.89651167749851834</v>
      </c>
      <c r="K156" s="13">
        <v>14.919517543859611</v>
      </c>
      <c r="L156" s="13">
        <v>1.7910968033584469</v>
      </c>
      <c r="M156" s="13">
        <v>-7.6310079129620512E-2</v>
      </c>
      <c r="N156" s="19">
        <f>(F156-Settings!$D$18)/Settings!$E$18</f>
        <v>-0.44855156721528611</v>
      </c>
      <c r="O156" s="19">
        <f>(G156-Settings!$D$19)/Settings!$E$19</f>
        <v>9.5011141220931003E-2</v>
      </c>
      <c r="P156" s="19">
        <f>(H156-Settings!$D$20)/Settings!$E$20</f>
        <v>-0.29750371136903747</v>
      </c>
      <c r="Q156" s="19">
        <f>(I156-Settings!$D$21)/Settings!$E$21</f>
        <v>3.6728410721152224E-2</v>
      </c>
      <c r="R156" s="19">
        <f>(J156-Settings!$D$22)/Settings!$E$22</f>
        <v>1.7452245697116466</v>
      </c>
      <c r="S156" s="19">
        <f>(K156-Settings!$D$23)/Settings!$E$23</f>
        <v>-0.11657882601277236</v>
      </c>
      <c r="T156" s="19">
        <f>(L156-Settings!$D$24)/Settings!$E$24</f>
        <v>0.33380601841626034</v>
      </c>
      <c r="U156" s="19">
        <f>(M156-Settings!$D$25)/Settings!$E$25</f>
        <v>-1.5494109253866739E-2</v>
      </c>
      <c r="V156" s="31">
        <f>Settings!$B$18*(N156-F$6)^2</f>
        <v>0.27347606208262371</v>
      </c>
      <c r="W156" s="31">
        <f>Settings!$B$19*(O156-G$6)^2</f>
        <v>5.3608598581006478E-3</v>
      </c>
      <c r="X156" s="31">
        <f>Settings!$B$20*(P156-H$6)^2</f>
        <v>3.4177388111538289E-2</v>
      </c>
      <c r="Y156" s="31">
        <f>Settings!$B$21*(Q156-I$6)^2</f>
        <v>3.0896660786009209E-2</v>
      </c>
      <c r="Z156" s="31">
        <f>Settings!$B$22*(R156-J$6)^2</f>
        <v>0.24491038235748497</v>
      </c>
      <c r="AA156" s="31">
        <f>Settings!$B$23*(S156-K$6)^2</f>
        <v>1.5958205194701642</v>
      </c>
      <c r="AB156" s="31">
        <f>Settings!$B$24*(T156-L$6)^2</f>
        <v>3.6084577222621765E-3</v>
      </c>
      <c r="AC156" s="31">
        <f>Settings!$B$25*(U156-M$6)^2</f>
        <v>5.925623729462127</v>
      </c>
      <c r="AD156" s="19">
        <f t="shared" si="8"/>
        <v>2.8484862751732383</v>
      </c>
      <c r="AE156" s="15">
        <f t="shared" si="9"/>
        <v>1.1274825096076813</v>
      </c>
      <c r="AF156" s="33">
        <f t="shared" si="10"/>
        <v>0.52961317111650241</v>
      </c>
      <c r="AG156" s="47">
        <f t="shared" si="11"/>
        <v>3.1223245663034994E-3</v>
      </c>
      <c r="AH156" s="48"/>
      <c r="AI156" s="48"/>
      <c r="AJ156" s="48"/>
      <c r="AK156" s="48"/>
      <c r="AL156" s="48"/>
      <c r="AM156" s="48"/>
      <c r="AN156" s="48"/>
      <c r="AO156" s="48"/>
      <c r="AP156" s="48"/>
      <c r="AQ156" s="48"/>
    </row>
    <row r="157" spans="1:43" ht="20" customHeight="1" x14ac:dyDescent="0.45">
      <c r="A157" s="26">
        <v>147</v>
      </c>
      <c r="B157" s="16" t="s">
        <v>618</v>
      </c>
      <c r="C157" s="16" t="s">
        <v>232</v>
      </c>
      <c r="D157" s="46">
        <v>29</v>
      </c>
      <c r="E157" s="46">
        <v>0</v>
      </c>
      <c r="F157" s="13">
        <v>0.11714388602937879</v>
      </c>
      <c r="G157" s="13">
        <v>0.36649771525604968</v>
      </c>
      <c r="H157" s="13">
        <v>-1.8660008168556929E-3</v>
      </c>
      <c r="I157" s="13">
        <v>-6.1346370071914798E-2</v>
      </c>
      <c r="J157" s="13">
        <v>-0.45314602782580088</v>
      </c>
      <c r="K157" s="13">
        <v>14.1475225225225</v>
      </c>
      <c r="L157" s="13">
        <v>0.1356467404889739</v>
      </c>
      <c r="M157" s="13">
        <v>-1.592199657648268</v>
      </c>
      <c r="N157" s="19">
        <f>(F157-Settings!$D$18)/Settings!$E$18</f>
        <v>-0.2690594023263197</v>
      </c>
      <c r="O157" s="19">
        <f>(G157-Settings!$D$19)/Settings!$E$19</f>
        <v>1.55454718099772</v>
      </c>
      <c r="P157" s="19">
        <f>(H157-Settings!$D$20)/Settings!$E$20</f>
        <v>-0.49824893700420203</v>
      </c>
      <c r="Q157" s="19">
        <f>(I157-Settings!$D$21)/Settings!$E$21</f>
        <v>-0.71818605513879819</v>
      </c>
      <c r="R157" s="19">
        <f>(J157-Settings!$D$22)/Settings!$E$22</f>
        <v>-1.886093029137579</v>
      </c>
      <c r="S157" s="19">
        <f>(K157-Settings!$D$23)/Settings!$E$23</f>
        <v>-0.38467494008817998</v>
      </c>
      <c r="T157" s="19">
        <f>(L157-Settings!$D$24)/Settings!$E$24</f>
        <v>-0.81069716048626039</v>
      </c>
      <c r="U157" s="19">
        <f>(M157-Settings!$D$25)/Settings!$E$25</f>
        <v>-1.0378269242311562</v>
      </c>
      <c r="V157" s="31">
        <f>Settings!$B$18*(N157-F$6)^2</f>
        <v>0.19596385707030051</v>
      </c>
      <c r="W157" s="31">
        <f>Settings!$B$19*(O157-G$6)^2</f>
        <v>0.52699215487810624</v>
      </c>
      <c r="X157" s="31">
        <f>Settings!$B$20*(P157-H$6)^2</f>
        <v>7.5431122133846173E-2</v>
      </c>
      <c r="Y157" s="31">
        <f>Settings!$B$21*(Q157-I$6)^2</f>
        <v>0.26356156313763718</v>
      </c>
      <c r="Z157" s="31">
        <f>Settings!$B$22*(R157-J$6)^2</f>
        <v>1.2748451059057961</v>
      </c>
      <c r="AA157" s="31">
        <f>Settings!$B$23*(S157-K$6)^2</f>
        <v>2.3450451134643102</v>
      </c>
      <c r="AB157" s="31">
        <f>Settings!$B$24*(T157-L$6)^2</f>
        <v>1.4509976025632041</v>
      </c>
      <c r="AC157" s="31">
        <f>Settings!$B$25*(U157-M$6)^2</f>
        <v>1.9935395253321648</v>
      </c>
      <c r="AD157" s="19">
        <f t="shared" si="8"/>
        <v>2.8506799266991316</v>
      </c>
      <c r="AE157" s="15">
        <f t="shared" si="9"/>
        <v>1.1283507966516371</v>
      </c>
      <c r="AF157" s="33">
        <f t="shared" si="10"/>
        <v>0.52909474549158897</v>
      </c>
      <c r="AG157" s="47">
        <f t="shared" si="11"/>
        <v>3.1192681977070462E-3</v>
      </c>
      <c r="AH157" s="18">
        <v>1.531930177548013E-2</v>
      </c>
      <c r="AI157" s="46">
        <v>0</v>
      </c>
      <c r="AJ157" s="18">
        <v>0.75483550160664326</v>
      </c>
      <c r="AK157" s="46">
        <v>0</v>
      </c>
      <c r="AL157" s="18">
        <v>-0.40454005646259578</v>
      </c>
      <c r="AM157" s="46">
        <v>1</v>
      </c>
      <c r="AN157" s="18">
        <v>-0.28067786921055138</v>
      </c>
      <c r="AO157" s="46">
        <v>1</v>
      </c>
      <c r="AP157" s="18">
        <v>3.6660257901136938E-2</v>
      </c>
      <c r="AQ157" s="46">
        <v>1</v>
      </c>
    </row>
    <row r="158" spans="1:43" ht="20" customHeight="1" x14ac:dyDescent="0.45">
      <c r="A158" s="26">
        <v>148</v>
      </c>
      <c r="B158" s="16" t="s">
        <v>285</v>
      </c>
      <c r="C158" s="16" t="s">
        <v>214</v>
      </c>
      <c r="D158" s="46">
        <v>29</v>
      </c>
      <c r="E158" s="46">
        <v>1</v>
      </c>
      <c r="F158" s="13">
        <v>0.37962270171575779</v>
      </c>
      <c r="G158" s="13">
        <v>9.7577354393160176E-3</v>
      </c>
      <c r="H158" s="13">
        <v>7.0112683403368611E-2</v>
      </c>
      <c r="I158" s="13">
        <v>-5.3264356514035257E-5</v>
      </c>
      <c r="J158" s="13">
        <v>0.54045361508504353</v>
      </c>
      <c r="K158" s="13">
        <v>15.719867549668869</v>
      </c>
      <c r="L158" s="13">
        <v>3.6679023374004771</v>
      </c>
      <c r="M158" s="13">
        <v>-0.1775388850650739</v>
      </c>
      <c r="N158" s="19">
        <f>(F158-Settings!$D$18)/Settings!$E$18</f>
        <v>0.6703359165194962</v>
      </c>
      <c r="O158" s="19">
        <f>(G158-Settings!$D$19)/Settings!$E$19</f>
        <v>6.8322956326717699E-2</v>
      </c>
      <c r="P158" s="19">
        <f>(H158-Settings!$D$20)/Settings!$E$20</f>
        <v>0.15389178340029747</v>
      </c>
      <c r="Q158" s="19">
        <f>(I158-Settings!$D$21)/Settings!$E$21</f>
        <v>3.5554116239406443E-2</v>
      </c>
      <c r="R158" s="19">
        <f>(J158-Settings!$D$22)/Settings!$E$22</f>
        <v>0.78723358936636567</v>
      </c>
      <c r="S158" s="19">
        <f>(K158-Settings!$D$23)/Settings!$E$23</f>
        <v>0.16136432197029565</v>
      </c>
      <c r="T158" s="19">
        <f>(L158-Settings!$D$24)/Settings!$E$24</f>
        <v>1.6313443423266147</v>
      </c>
      <c r="U158" s="19">
        <f>(M158-Settings!$D$25)/Settings!$E$25</f>
        <v>-8.376394341283859E-2</v>
      </c>
      <c r="V158" s="31">
        <f>Settings!$B$18*(N158-F$6)^2</f>
        <v>5.0930077305027122E-4</v>
      </c>
      <c r="W158" s="31">
        <f>Settings!$B$19*(O158-G$6)^2</f>
        <v>3.755553863172929E-3</v>
      </c>
      <c r="X158" s="31">
        <f>Settings!$B$20*(P158-H$6)^2</f>
        <v>2.8896354541191235E-4</v>
      </c>
      <c r="Y158" s="31">
        <f>Settings!$B$21*(Q158-I$6)^2</f>
        <v>3.1081556171119018E-2</v>
      </c>
      <c r="Z158" s="31">
        <f>Settings!$B$22*(R158-J$6)^2</f>
        <v>4.4166152938487531E-3</v>
      </c>
      <c r="AA158" s="31">
        <f>Settings!$B$23*(S158-K$6)^2</f>
        <v>0.97084515863728793</v>
      </c>
      <c r="AB158" s="31">
        <f>Settings!$B$24*(T158-L$6)^2</f>
        <v>1.5313267645239288</v>
      </c>
      <c r="AC158" s="31">
        <f>Settings!$B$25*(U158-M$6)^2</f>
        <v>5.5979113911364395</v>
      </c>
      <c r="AD158" s="19">
        <f t="shared" si="8"/>
        <v>2.8530922354428463</v>
      </c>
      <c r="AE158" s="15">
        <f t="shared" si="9"/>
        <v>1.1293056321865726</v>
      </c>
      <c r="AF158" s="33">
        <f t="shared" si="10"/>
        <v>0.52852477043880153</v>
      </c>
      <c r="AG158" s="47">
        <f t="shared" si="11"/>
        <v>3.1159079204206136E-3</v>
      </c>
      <c r="AH158" s="48"/>
      <c r="AI158" s="48"/>
      <c r="AJ158" s="48"/>
      <c r="AK158" s="48"/>
      <c r="AL158" s="48"/>
      <c r="AM158" s="48"/>
      <c r="AN158" s="48"/>
      <c r="AO158" s="48"/>
      <c r="AP158" s="48"/>
      <c r="AQ158" s="48"/>
    </row>
    <row r="159" spans="1:43" ht="20" customHeight="1" x14ac:dyDescent="0.45">
      <c r="A159" s="26">
        <v>149</v>
      </c>
      <c r="B159" s="16" t="s">
        <v>479</v>
      </c>
      <c r="C159" s="16" t="s">
        <v>271</v>
      </c>
      <c r="D159" s="46">
        <v>29</v>
      </c>
      <c r="E159" s="46">
        <v>1</v>
      </c>
      <c r="F159" s="13">
        <v>0.30901122021596011</v>
      </c>
      <c r="G159" s="13">
        <v>-9.3800298258792571E-3</v>
      </c>
      <c r="H159" s="13">
        <v>5.8650002116967713E-2</v>
      </c>
      <c r="I159" s="13">
        <v>-2.4728180754468251E-2</v>
      </c>
      <c r="J159" s="13">
        <v>0.59823056708672473</v>
      </c>
      <c r="K159" s="13">
        <v>15.20567632850244</v>
      </c>
      <c r="L159" s="13">
        <v>1.8570654926563379</v>
      </c>
      <c r="M159" s="13">
        <v>0.14230215165729709</v>
      </c>
      <c r="N159" s="19">
        <f>(F159-Settings!$D$18)/Settings!$E$18</f>
        <v>0.4176218260348214</v>
      </c>
      <c r="O159" s="19">
        <f>(G159-Settings!$D$19)/Settings!$E$19</f>
        <v>-1.1407412996654416E-2</v>
      </c>
      <c r="P159" s="19">
        <f>(H159-Settings!$D$20)/Settings!$E$20</f>
        <v>5.0037686692868635E-2</v>
      </c>
      <c r="Q159" s="19">
        <f>(I159-Settings!$D$21)/Settings!$E$21</f>
        <v>-0.26788091935650971</v>
      </c>
      <c r="R159" s="19">
        <f>(J159-Settings!$D$22)/Settings!$E$22</f>
        <v>0.94268519889958136</v>
      </c>
      <c r="S159" s="19">
        <f>(K159-Settings!$D$23)/Settings!$E$23</f>
        <v>-1.7202462110312455E-2</v>
      </c>
      <c r="T159" s="19">
        <f>(L159-Settings!$D$24)/Settings!$E$24</f>
        <v>0.37941378170849682</v>
      </c>
      <c r="U159" s="19">
        <f>(M159-Settings!$D$25)/Settings!$E$25</f>
        <v>0.1319404139831469</v>
      </c>
      <c r="V159" s="31">
        <f>Settings!$B$18*(N159-F$6)^2</f>
        <v>1.8383257017827379E-2</v>
      </c>
      <c r="W159" s="31">
        <f>Settings!$B$19*(O159-G$6)^2</f>
        <v>6.56695400049497E-4</v>
      </c>
      <c r="X159" s="31">
        <f>Settings!$B$20*(P159-H$6)^2</f>
        <v>8.6706904927630769E-4</v>
      </c>
      <c r="Y159" s="31">
        <f>Settings!$B$21*(Q159-I$6)^2</f>
        <v>9.7343933681523609E-2</v>
      </c>
      <c r="Z159" s="31">
        <f>Settings!$B$22*(R159-J$6)^2</f>
        <v>1.8489933132266583E-2</v>
      </c>
      <c r="AA159" s="31">
        <f>Settings!$B$23*(S159-K$6)^2</f>
        <v>1.3546202278186474</v>
      </c>
      <c r="AB159" s="31">
        <f>Settings!$B$24*(T159-L$6)^2</f>
        <v>2.0916900803562261E-4</v>
      </c>
      <c r="AC159" s="31">
        <f>Settings!$B$25*(U159-M$6)^2</f>
        <v>6.6651487132084926</v>
      </c>
      <c r="AD159" s="19">
        <f t="shared" si="8"/>
        <v>2.8558219479365516</v>
      </c>
      <c r="AE159" s="15">
        <f t="shared" si="9"/>
        <v>1.1303861018801551</v>
      </c>
      <c r="AF159" s="33">
        <f t="shared" si="10"/>
        <v>0.52787995997170678</v>
      </c>
      <c r="AG159" s="47">
        <f t="shared" si="11"/>
        <v>3.1121064523457636E-3</v>
      </c>
      <c r="AH159" s="18">
        <v>-0.23783375008886851</v>
      </c>
      <c r="AI159" s="46">
        <v>1</v>
      </c>
      <c r="AJ159" s="18">
        <v>-1.079411632053155</v>
      </c>
      <c r="AK159" s="46">
        <v>1</v>
      </c>
      <c r="AL159" s="18">
        <v>-0.91452578670104168</v>
      </c>
      <c r="AM159" s="46">
        <v>1</v>
      </c>
      <c r="AN159" s="48"/>
      <c r="AO159" s="48"/>
      <c r="AP159" s="48"/>
      <c r="AQ159" s="48"/>
    </row>
    <row r="160" spans="1:43" ht="20" customHeight="1" x14ac:dyDescent="0.45">
      <c r="A160" s="26">
        <v>150</v>
      </c>
      <c r="B160" s="16" t="s">
        <v>808</v>
      </c>
      <c r="C160" s="16" t="s">
        <v>229</v>
      </c>
      <c r="D160" s="46">
        <v>29</v>
      </c>
      <c r="E160" s="46">
        <v>1</v>
      </c>
      <c r="F160" s="13">
        <v>-0.37718204955532181</v>
      </c>
      <c r="G160" s="13">
        <v>2.9177335163472679E-2</v>
      </c>
      <c r="H160" s="13">
        <v>8.1442127065408196E-2</v>
      </c>
      <c r="I160" s="13">
        <v>-9.282590465131256E-2</v>
      </c>
      <c r="J160" s="13">
        <v>0.41937258356448481</v>
      </c>
      <c r="K160" s="13">
        <v>15.71561181434601</v>
      </c>
      <c r="L160" s="13">
        <v>0.37621395756774922</v>
      </c>
      <c r="M160" s="13">
        <v>-0.64329665660456803</v>
      </c>
      <c r="N160" s="19">
        <f>(F160-Settings!$D$18)/Settings!$E$18</f>
        <v>-2.0382211103218038</v>
      </c>
      <c r="O160" s="19">
        <f>(G160-Settings!$D$19)/Settings!$E$19</f>
        <v>0.14922748392769761</v>
      </c>
      <c r="P160" s="19">
        <f>(H160-Settings!$D$20)/Settings!$E$20</f>
        <v>0.25653872160966146</v>
      </c>
      <c r="Q160" s="19">
        <f>(I160-Settings!$D$21)/Settings!$E$21</f>
        <v>-1.1052995732390818</v>
      </c>
      <c r="R160" s="19">
        <f>(J160-Settings!$D$22)/Settings!$E$22</f>
        <v>0.46145937349452143</v>
      </c>
      <c r="S160" s="19">
        <f>(K160-Settings!$D$23)/Settings!$E$23</f>
        <v>0.15988640297981324</v>
      </c>
      <c r="T160" s="19">
        <f>(L160-Settings!$D$24)/Settings!$E$24</f>
        <v>-0.64437988468203089</v>
      </c>
      <c r="U160" s="19">
        <f>(M160-Settings!$D$25)/Settings!$E$25</f>
        <v>-0.39787617191752378</v>
      </c>
      <c r="V160" s="31">
        <f>Settings!$B$18*(N160-F$6)^2</f>
        <v>1.5224381868455181</v>
      </c>
      <c r="W160" s="31">
        <f>Settings!$B$19*(O160-G$6)^2</f>
        <v>9.4992661053912002E-3</v>
      </c>
      <c r="X160" s="31">
        <f>Settings!$B$20*(P160-H$6)^2</f>
        <v>3.9569175030459581E-3</v>
      </c>
      <c r="Y160" s="31">
        <f>Settings!$B$21*(Q160-I$6)^2</f>
        <v>0.47128897890745125</v>
      </c>
      <c r="Z160" s="31">
        <f>Settings!$B$22*(R160-J$6)^2</f>
        <v>6.2778743292425084E-3</v>
      </c>
      <c r="AA160" s="31">
        <f>Settings!$B$23*(S160-K$6)^2</f>
        <v>0.97375977364618949</v>
      </c>
      <c r="AB160" s="31">
        <f>Settings!$B$24*(T160-L$6)^2</f>
        <v>1.0779762333005765</v>
      </c>
      <c r="AC160" s="31">
        <f>Settings!$B$25*(U160-M$6)^2</f>
        <v>4.2102047402719736</v>
      </c>
      <c r="AD160" s="19">
        <f t="shared" si="8"/>
        <v>2.8766998402526096</v>
      </c>
      <c r="AE160" s="15">
        <f t="shared" si="9"/>
        <v>1.1386499501665213</v>
      </c>
      <c r="AF160" s="33">
        <f t="shared" si="10"/>
        <v>0.52295395732130312</v>
      </c>
      <c r="AG160" s="47">
        <f t="shared" si="11"/>
        <v>3.083065295652838E-3</v>
      </c>
      <c r="AH160" s="18">
        <v>-0.96011556212203319</v>
      </c>
      <c r="AI160" s="46">
        <v>1</v>
      </c>
      <c r="AJ160" s="18">
        <v>-0.14227859517713801</v>
      </c>
      <c r="AK160" s="46">
        <v>1</v>
      </c>
      <c r="AL160" s="18">
        <v>0.48833456400949932</v>
      </c>
      <c r="AM160" s="46">
        <v>1</v>
      </c>
      <c r="AN160" s="48"/>
      <c r="AO160" s="48"/>
      <c r="AP160" s="48"/>
      <c r="AQ160" s="48"/>
    </row>
    <row r="161" spans="1:43" ht="20" customHeight="1" x14ac:dyDescent="0.45">
      <c r="A161" s="26">
        <v>151</v>
      </c>
      <c r="B161" s="16" t="s">
        <v>809</v>
      </c>
      <c r="C161" s="16" t="s">
        <v>283</v>
      </c>
      <c r="D161" s="46">
        <v>29</v>
      </c>
      <c r="E161" s="46">
        <v>0</v>
      </c>
      <c r="F161" s="13">
        <v>0.34583902938477318</v>
      </c>
      <c r="G161" s="13">
        <v>-2.4496940679404371E-2</v>
      </c>
      <c r="H161" s="13">
        <v>0.19641054379462741</v>
      </c>
      <c r="I161" s="13">
        <v>2.2454360048893918E-3</v>
      </c>
      <c r="J161" s="13">
        <v>0.43100805013630572</v>
      </c>
      <c r="K161" s="13">
        <v>19.672392638036811</v>
      </c>
      <c r="L161" s="13">
        <v>5.2602616269716762</v>
      </c>
      <c r="M161" s="13">
        <v>-1.306289982102369</v>
      </c>
      <c r="N161" s="19">
        <f>(F161-Settings!$D$18)/Settings!$E$18</f>
        <v>0.54942625926522215</v>
      </c>
      <c r="O161" s="19">
        <f>(G161-Settings!$D$19)/Settings!$E$19</f>
        <v>-7.4386390357820797E-2</v>
      </c>
      <c r="P161" s="19">
        <f>(H161-Settings!$D$20)/Settings!$E$20</f>
        <v>1.2981746853925527</v>
      </c>
      <c r="Q161" s="19">
        <f>(I161-Settings!$D$21)/Settings!$E$21</f>
        <v>6.3821941537676716E-2</v>
      </c>
      <c r="R161" s="19">
        <f>(J161-Settings!$D$22)/Settings!$E$22</f>
        <v>0.49276514411057704</v>
      </c>
      <c r="S161" s="19">
        <f>(K161-Settings!$D$23)/Settings!$E$23</f>
        <v>1.5339853722222216</v>
      </c>
      <c r="T161" s="19">
        <f>(L161-Settings!$D$24)/Settings!$E$24</f>
        <v>2.7322294186847844</v>
      </c>
      <c r="U161" s="19">
        <f>(M161-Settings!$D$25)/Settings!$E$25</f>
        <v>-0.845006254723211</v>
      </c>
      <c r="V161" s="31">
        <f>Settings!$B$18*(N161-F$6)^2</f>
        <v>5.8737103967140348E-3</v>
      </c>
      <c r="W161" s="31">
        <f>Settings!$B$19*(O161-G$6)^2</f>
        <v>6.4464506568505843E-6</v>
      </c>
      <c r="X161" s="31">
        <f>Settings!$B$20*(P161-H$6)^2</f>
        <v>0.27956365971226077</v>
      </c>
      <c r="Y161" s="31">
        <f>Settings!$B$21*(Q161-I$6)^2</f>
        <v>2.6783896665810866E-2</v>
      </c>
      <c r="Z161" s="31">
        <f>Settings!$B$22*(R161-J$6)^2</f>
        <v>4.2553014805841371E-3</v>
      </c>
      <c r="AA161" s="31">
        <f>Settings!$B$23*(S161-K$6)^2</f>
        <v>0.15000616940126998</v>
      </c>
      <c r="AB161" s="31">
        <f>Settings!$B$24*(T161-L$6)^2</f>
        <v>5.4678945683354039</v>
      </c>
      <c r="AC161" s="31">
        <f>Settings!$B$25*(U161-M$6)^2</f>
        <v>2.5752169831324272</v>
      </c>
      <c r="AD161" s="19">
        <f t="shared" si="8"/>
        <v>2.9171219953192096</v>
      </c>
      <c r="AE161" s="15">
        <f t="shared" si="9"/>
        <v>1.1546497719790625</v>
      </c>
      <c r="AF161" s="33">
        <f t="shared" si="10"/>
        <v>0.51344721575929597</v>
      </c>
      <c r="AG161" s="47">
        <f t="shared" si="11"/>
        <v>3.0270184781955286E-3</v>
      </c>
      <c r="AH161" s="18">
        <v>-1.184844962792037</v>
      </c>
      <c r="AI161" s="46">
        <v>0</v>
      </c>
      <c r="AJ161" s="18">
        <v>-0.8525958747568616</v>
      </c>
      <c r="AK161" s="46">
        <v>0</v>
      </c>
      <c r="AL161" s="18">
        <v>-0.24883577158295281</v>
      </c>
      <c r="AM161" s="46">
        <v>0</v>
      </c>
      <c r="AN161" s="18">
        <v>-0.73169444866130817</v>
      </c>
      <c r="AO161" s="46">
        <v>0</v>
      </c>
      <c r="AP161" s="18">
        <v>3.6945123509224409E-2</v>
      </c>
      <c r="AQ161" s="46">
        <v>0</v>
      </c>
    </row>
    <row r="162" spans="1:43" ht="20" customHeight="1" x14ac:dyDescent="0.45">
      <c r="A162" s="26">
        <v>152</v>
      </c>
      <c r="B162" s="16" t="s">
        <v>539</v>
      </c>
      <c r="C162" s="16" t="s">
        <v>220</v>
      </c>
      <c r="D162" s="46">
        <v>29</v>
      </c>
      <c r="E162" s="46">
        <v>1</v>
      </c>
      <c r="F162" s="13">
        <v>-0.18134320179850119</v>
      </c>
      <c r="G162" s="13">
        <v>-0.29931797510042629</v>
      </c>
      <c r="H162" s="13">
        <v>-7.4859219245891742E-2</v>
      </c>
      <c r="I162" s="13">
        <v>-0.12574652473191389</v>
      </c>
      <c r="J162" s="13">
        <v>0.31873307912326698</v>
      </c>
      <c r="K162" s="13">
        <v>15.394037940379411</v>
      </c>
      <c r="L162" s="13">
        <v>0.30623483505978011</v>
      </c>
      <c r="M162" s="13">
        <v>-0.75955234373475933</v>
      </c>
      <c r="N162" s="19">
        <f>(F162-Settings!$D$18)/Settings!$E$18</f>
        <v>-1.3373260824703705</v>
      </c>
      <c r="O162" s="19">
        <f>(G162-Settings!$D$19)/Settings!$E$19</f>
        <v>-1.2193258474253887</v>
      </c>
      <c r="P162" s="19">
        <f>(H162-Settings!$D$20)/Settings!$E$20</f>
        <v>-1.1595815324336078</v>
      </c>
      <c r="Q162" s="19">
        <f>(I162-Settings!$D$21)/Settings!$E$21</f>
        <v>-1.5101345629464875</v>
      </c>
      <c r="R162" s="19">
        <f>(J162-Settings!$D$22)/Settings!$E$22</f>
        <v>0.19068404862869445</v>
      </c>
      <c r="S162" s="19">
        <f>(K162-Settings!$D$23)/Settings!$E$23</f>
        <v>4.8211193145819592E-2</v>
      </c>
      <c r="T162" s="19">
        <f>(L162-Settings!$D$24)/Settings!$E$24</f>
        <v>-0.69276027981660437</v>
      </c>
      <c r="U162" s="19">
        <f>(M162-Settings!$D$25)/Settings!$E$25</f>
        <v>-0.47628030211615713</v>
      </c>
      <c r="V162" s="31">
        <f>Settings!$B$18*(N162-F$6)^2</f>
        <v>0.84717561661459584</v>
      </c>
      <c r="W162" s="31">
        <f>Settings!$B$19*(O162-G$6)^2</f>
        <v>0.26478380532520263</v>
      </c>
      <c r="X162" s="31">
        <f>Settings!$B$20*(P162-H$6)^2</f>
        <v>0.32536094726492742</v>
      </c>
      <c r="Y162" s="31">
        <f>Settings!$B$21*(Q162-I$6)^2</f>
        <v>0.75264753492319214</v>
      </c>
      <c r="Z162" s="31">
        <f>Settings!$B$22*(R162-J$6)^2</f>
        <v>4.0131085109193942E-2</v>
      </c>
      <c r="AA162" s="31">
        <f>Settings!$B$23*(S162-K$6)^2</f>
        <v>1.2066316831165556</v>
      </c>
      <c r="AB162" s="31">
        <f>Settings!$B$24*(T162-L$6)^2</f>
        <v>1.1807794001622605</v>
      </c>
      <c r="AC162" s="31">
        <f>Settings!$B$25*(U162-M$6)^2</f>
        <v>3.8946004741699163</v>
      </c>
      <c r="AD162" s="19">
        <f t="shared" si="8"/>
        <v>2.9175521497799908</v>
      </c>
      <c r="AE162" s="15">
        <f t="shared" si="9"/>
        <v>1.1548200349131645</v>
      </c>
      <c r="AF162" s="33">
        <f t="shared" si="10"/>
        <v>0.51334627756826234</v>
      </c>
      <c r="AG162" s="47">
        <f t="shared" si="11"/>
        <v>3.0264233989740694E-3</v>
      </c>
      <c r="AH162" s="18">
        <v>-0.3293101156471327</v>
      </c>
      <c r="AI162" s="46">
        <v>1</v>
      </c>
      <c r="AJ162" s="18">
        <v>-0.28108642917539067</v>
      </c>
      <c r="AK162" s="46">
        <v>1</v>
      </c>
      <c r="AL162" s="18">
        <v>-0.62093631026657259</v>
      </c>
      <c r="AM162" s="46">
        <v>1</v>
      </c>
      <c r="AN162" s="18">
        <v>-0.37579303511964413</v>
      </c>
      <c r="AO162" s="46">
        <v>1</v>
      </c>
      <c r="AP162" s="48"/>
      <c r="AQ162" s="48"/>
    </row>
    <row r="163" spans="1:43" ht="20" customHeight="1" x14ac:dyDescent="0.45">
      <c r="A163" s="26">
        <v>153</v>
      </c>
      <c r="B163" s="16" t="s">
        <v>491</v>
      </c>
      <c r="C163" s="16" t="s">
        <v>271</v>
      </c>
      <c r="D163" s="46">
        <v>29</v>
      </c>
      <c r="E163" s="46">
        <v>1</v>
      </c>
      <c r="F163" s="13">
        <v>0.15480513982308949</v>
      </c>
      <c r="G163" s="13">
        <v>0.75972692704851918</v>
      </c>
      <c r="H163" s="13">
        <v>2.4539564249493081E-3</v>
      </c>
      <c r="I163" s="13">
        <v>-2.6384580426883179E-2</v>
      </c>
      <c r="J163" s="13">
        <v>5.6629396276558927E-2</v>
      </c>
      <c r="K163" s="13">
        <v>12.90313852813853</v>
      </c>
      <c r="L163" s="13">
        <v>1.005538086378795</v>
      </c>
      <c r="M163" s="13">
        <v>-1.8164428202758389</v>
      </c>
      <c r="N163" s="19">
        <f>(F163-Settings!$D$18)/Settings!$E$18</f>
        <v>-0.13427212273897127</v>
      </c>
      <c r="O163" s="19">
        <f>(G163-Settings!$D$19)/Settings!$E$19</f>
        <v>3.1927901968617878</v>
      </c>
      <c r="P163" s="19">
        <f>(H163-Settings!$D$20)/Settings!$E$20</f>
        <v>-0.45910929367357589</v>
      </c>
      <c r="Q163" s="19">
        <f>(I163-Settings!$D$21)/Settings!$E$21</f>
        <v>-0.28825017554584209</v>
      </c>
      <c r="R163" s="19">
        <f>(J163-Settings!$D$22)/Settings!$E$22</f>
        <v>-0.51451825006505925</v>
      </c>
      <c r="S163" s="19">
        <f>(K163-Settings!$D$23)/Settings!$E$23</f>
        <v>-0.81682087897538858</v>
      </c>
      <c r="T163" s="19">
        <f>(L163-Settings!$D$24)/Settings!$E$24</f>
        <v>-0.20929369142300064</v>
      </c>
      <c r="U163" s="19">
        <f>(M163-Settings!$D$25)/Settings!$E$25</f>
        <v>-1.1890590106160253</v>
      </c>
      <c r="V163" s="31">
        <f>Settings!$B$18*(N163-F$6)^2</f>
        <v>0.14622926083949217</v>
      </c>
      <c r="W163" s="31">
        <f>Settings!$B$19*(O163-G$6)^2</f>
        <v>2.1274754605915018</v>
      </c>
      <c r="X163" s="31">
        <f>Settings!$B$20*(P163-H$6)^2</f>
        <v>6.612277339567546E-2</v>
      </c>
      <c r="Y163" s="31">
        <f>Settings!$B$21*(Q163-I$6)^2</f>
        <v>0.10311118384278475</v>
      </c>
      <c r="Z163" s="31">
        <f>Settings!$B$22*(R163-J$6)^2</f>
        <v>0.26595010019747262</v>
      </c>
      <c r="AA163" s="31">
        <f>Settings!$B$23*(S163-K$6)^2</f>
        <v>3.8553320614881788</v>
      </c>
      <c r="AB163" s="31">
        <f>Settings!$B$24*(T163-L$6)^2</f>
        <v>0.36381422926017964</v>
      </c>
      <c r="AC163" s="31">
        <f>Settings!$B$25*(U163-M$6)^2</f>
        <v>1.5893531581293125</v>
      </c>
      <c r="AD163" s="19">
        <f t="shared" si="8"/>
        <v>2.9184564803581701</v>
      </c>
      <c r="AE163" s="15">
        <f t="shared" si="9"/>
        <v>1.1551779853511526</v>
      </c>
      <c r="AF163" s="33">
        <f t="shared" si="10"/>
        <v>0.51313408745005684</v>
      </c>
      <c r="AG163" s="47">
        <f t="shared" si="11"/>
        <v>3.0251724360922301E-3</v>
      </c>
      <c r="AH163" s="18">
        <v>-0.65684456535254609</v>
      </c>
      <c r="AI163" s="46">
        <v>1</v>
      </c>
      <c r="AJ163" s="18">
        <v>5.9033404767379671E-2</v>
      </c>
      <c r="AK163" s="46">
        <v>1</v>
      </c>
      <c r="AL163" s="18">
        <v>-0.84388351552247221</v>
      </c>
      <c r="AM163" s="46">
        <v>1</v>
      </c>
      <c r="AN163" s="48"/>
      <c r="AO163" s="48"/>
      <c r="AP163" s="48"/>
      <c r="AQ163" s="48"/>
    </row>
    <row r="164" spans="1:43" ht="20" customHeight="1" x14ac:dyDescent="0.45">
      <c r="A164" s="26">
        <v>154</v>
      </c>
      <c r="B164" s="16" t="s">
        <v>287</v>
      </c>
      <c r="C164" s="16" t="s">
        <v>224</v>
      </c>
      <c r="D164" s="46">
        <v>29</v>
      </c>
      <c r="E164" s="46">
        <v>0</v>
      </c>
      <c r="F164" s="13">
        <v>9.2309402764861308E-3</v>
      </c>
      <c r="G164" s="13">
        <v>0.18108854668192759</v>
      </c>
      <c r="H164" s="13">
        <v>0.1210418952175847</v>
      </c>
      <c r="I164" s="13">
        <v>-1.8671136744391251E-2</v>
      </c>
      <c r="J164" s="13">
        <v>0.66996748107961035</v>
      </c>
      <c r="K164" s="13">
        <v>18.17027600849255</v>
      </c>
      <c r="L164" s="13">
        <v>2.192299726559904</v>
      </c>
      <c r="M164" s="13">
        <v>0.44534300474753308</v>
      </c>
      <c r="N164" s="19">
        <f>(F164-Settings!$D$18)/Settings!$E$18</f>
        <v>-0.65527310806116479</v>
      </c>
      <c r="O164" s="19">
        <f>(G164-Settings!$D$19)/Settings!$E$19</f>
        <v>0.78210895315308182</v>
      </c>
      <c r="P164" s="19">
        <f>(H164-Settings!$D$20)/Settings!$E$20</f>
        <v>0.61532023603133568</v>
      </c>
      <c r="Q164" s="19">
        <f>(I164-Settings!$D$21)/Settings!$E$21</f>
        <v>-0.19339558635022944</v>
      </c>
      <c r="R164" s="19">
        <f>(J164-Settings!$D$22)/Settings!$E$22</f>
        <v>1.1356967434133078</v>
      </c>
      <c r="S164" s="19">
        <f>(K164-Settings!$D$23)/Settings!$E$23</f>
        <v>1.012334817311439</v>
      </c>
      <c r="T164" s="19">
        <f>(L164-Settings!$D$24)/Settings!$E$24</f>
        <v>0.61117954437640665</v>
      </c>
      <c r="U164" s="19">
        <f>(M164-Settings!$D$25)/Settings!$E$25</f>
        <v>0.33631454042552955</v>
      </c>
      <c r="V164" s="31">
        <f>Settings!$B$18*(N164-F$6)^2</f>
        <v>0.37871478608144932</v>
      </c>
      <c r="W164" s="31">
        <f>Settings!$B$19*(O164-G$6)^2</f>
        <v>0.14477825310715708</v>
      </c>
      <c r="X164" s="31">
        <f>Settings!$B$20*(P164-H$6)^2</f>
        <v>4.988790503188862E-2</v>
      </c>
      <c r="Y164" s="31">
        <f>Settings!$B$21*(Q164-I$6)^2</f>
        <v>7.7667581091156956E-2</v>
      </c>
      <c r="Z164" s="31">
        <f>Settings!$B$22*(R164-J$6)^2</f>
        <v>4.9415102727745394E-2</v>
      </c>
      <c r="AA164" s="31">
        <f>Settings!$B$23*(S164-K$6)^2</f>
        <v>1.8048379042043598E-2</v>
      </c>
      <c r="AB164" s="31">
        <f>Settings!$B$24*(T164-L$6)^2</f>
        <v>4.7220631310806518E-2</v>
      </c>
      <c r="AC164" s="31">
        <f>Settings!$B$25*(U164-M$6)^2</f>
        <v>7.76218078901484</v>
      </c>
      <c r="AD164" s="19">
        <f t="shared" si="8"/>
        <v>2.9202591370299809</v>
      </c>
      <c r="AE164" s="15">
        <f t="shared" si="9"/>
        <v>1.1558915095432851</v>
      </c>
      <c r="AF164" s="33">
        <f t="shared" si="10"/>
        <v>0.51271118173740671</v>
      </c>
      <c r="AG164" s="47">
        <f t="shared" si="11"/>
        <v>3.0226792033558655E-3</v>
      </c>
      <c r="AH164" s="18">
        <v>-0.28057055641071171</v>
      </c>
      <c r="AI164" s="46">
        <v>0</v>
      </c>
      <c r="AJ164" s="18">
        <v>-0.28685099790861163</v>
      </c>
      <c r="AK164" s="46">
        <v>1</v>
      </c>
      <c r="AL164" s="18">
        <v>-0.28785097408725518</v>
      </c>
      <c r="AM164" s="46">
        <v>1</v>
      </c>
      <c r="AN164" s="18">
        <v>0.70674274837072004</v>
      </c>
      <c r="AO164" s="46">
        <v>1</v>
      </c>
      <c r="AP164" s="18">
        <v>-0.53325124919079281</v>
      </c>
      <c r="AQ164" s="46">
        <v>1</v>
      </c>
    </row>
    <row r="165" spans="1:43" ht="20" customHeight="1" x14ac:dyDescent="0.45">
      <c r="A165" s="26">
        <v>155</v>
      </c>
      <c r="B165" s="16" t="s">
        <v>335</v>
      </c>
      <c r="C165" s="16" t="s">
        <v>271</v>
      </c>
      <c r="D165" s="46">
        <v>29</v>
      </c>
      <c r="E165" s="46">
        <v>1</v>
      </c>
      <c r="F165" s="13">
        <v>0.36009484597218561</v>
      </c>
      <c r="G165" s="13">
        <v>0.2391254273015167</v>
      </c>
      <c r="H165" s="13">
        <v>8.5364238937655976E-2</v>
      </c>
      <c r="I165" s="13">
        <v>0.1218497906199788</v>
      </c>
      <c r="J165" s="13">
        <v>0.19356569716866309</v>
      </c>
      <c r="K165" s="13">
        <v>15.369817073170729</v>
      </c>
      <c r="L165" s="13">
        <v>1.3326559371452149</v>
      </c>
      <c r="M165" s="13">
        <v>0.15072830091819009</v>
      </c>
      <c r="N165" s="19">
        <f>(F165-Settings!$D$18)/Settings!$E$18</f>
        <v>0.60044693814751693</v>
      </c>
      <c r="O165" s="19">
        <f>(G165-Settings!$D$19)/Settings!$E$19</f>
        <v>1.0238979949798044</v>
      </c>
      <c r="P165" s="19">
        <f>(H165-Settings!$D$20)/Settings!$E$20</f>
        <v>0.2920738093871626</v>
      </c>
      <c r="Q165" s="19">
        <f>(I165-Settings!$D$21)/Settings!$E$21</f>
        <v>1.5346334739757439</v>
      </c>
      <c r="R165" s="19">
        <f>(J165-Settings!$D$22)/Settings!$E$22</f>
        <v>-0.14608468547371672</v>
      </c>
      <c r="S165" s="19">
        <f>(K165-Settings!$D$23)/Settings!$E$23</f>
        <v>3.9799843073979678E-2</v>
      </c>
      <c r="T165" s="19">
        <f>(L165-Settings!$D$24)/Settings!$E$24</f>
        <v>1.6860771629170056E-2</v>
      </c>
      <c r="U165" s="19">
        <f>(M165-Settings!$D$25)/Settings!$E$25</f>
        <v>0.1376231028909535</v>
      </c>
      <c r="V165" s="31">
        <f>Settings!$B$18*(N165-F$6)^2</f>
        <v>2.8969147294135452E-3</v>
      </c>
      <c r="W165" s="31">
        <f>Settings!$B$19*(O165-G$6)^2</f>
        <v>0.23875802864828263</v>
      </c>
      <c r="X165" s="31">
        <f>Settings!$B$20*(P165-H$6)^2</f>
        <v>6.2087794288909239E-3</v>
      </c>
      <c r="Y165" s="31">
        <f>Settings!$B$21*(Q165-I$6)^2</f>
        <v>0.24414375236512212</v>
      </c>
      <c r="Z165" s="31">
        <f>Settings!$B$22*(R165-J$6)^2</f>
        <v>0.12315537503409968</v>
      </c>
      <c r="AA165" s="31">
        <f>Settings!$B$23*(S165-K$6)^2</f>
        <v>1.2251816296871834</v>
      </c>
      <c r="AB165" s="31">
        <f>Settings!$B$24*(T165-L$6)^2</f>
        <v>0.14214082783543319</v>
      </c>
      <c r="AC165" s="31">
        <f>Settings!$B$25*(U165-M$6)^2</f>
        <v>6.6945229444493854</v>
      </c>
      <c r="AD165" s="19">
        <f t="shared" si="8"/>
        <v>2.9456761960843236</v>
      </c>
      <c r="AE165" s="15">
        <f t="shared" si="9"/>
        <v>1.1659520423179057</v>
      </c>
      <c r="AF165" s="33">
        <f t="shared" si="10"/>
        <v>0.50675780966418016</v>
      </c>
      <c r="AG165" s="47">
        <f t="shared" si="11"/>
        <v>2.9875812094041789E-3</v>
      </c>
      <c r="AH165" s="18">
        <v>1.100298913045398</v>
      </c>
      <c r="AI165" s="46">
        <v>1</v>
      </c>
      <c r="AJ165" s="18">
        <v>9.6626033035558834E-2</v>
      </c>
      <c r="AK165" s="46">
        <v>1</v>
      </c>
      <c r="AL165" s="18">
        <v>-1.5833875094759631</v>
      </c>
      <c r="AM165" s="46">
        <v>1</v>
      </c>
      <c r="AN165" s="18">
        <v>0.1244263862398212</v>
      </c>
      <c r="AO165" s="46">
        <v>1</v>
      </c>
      <c r="AP165" s="18">
        <v>0.12144298201732021</v>
      </c>
      <c r="AQ165" s="46">
        <v>1</v>
      </c>
    </row>
    <row r="166" spans="1:43" ht="20" customHeight="1" x14ac:dyDescent="0.45">
      <c r="A166" s="26">
        <v>156</v>
      </c>
      <c r="B166" s="16" t="s">
        <v>404</v>
      </c>
      <c r="C166" s="16" t="s">
        <v>216</v>
      </c>
      <c r="D166" s="46">
        <v>29</v>
      </c>
      <c r="E166" s="46">
        <v>1</v>
      </c>
      <c r="F166" s="13">
        <v>-0.16247503649748971</v>
      </c>
      <c r="G166" s="13">
        <v>-0.32427902464482178</v>
      </c>
      <c r="H166" s="13">
        <v>0.16262367367277611</v>
      </c>
      <c r="I166" s="13">
        <v>-8.4745057531996751E-2</v>
      </c>
      <c r="J166" s="13">
        <v>0.2658772076529155</v>
      </c>
      <c r="K166" s="13">
        <v>18.083440170940129</v>
      </c>
      <c r="L166" s="13">
        <v>0.27986137328338412</v>
      </c>
      <c r="M166" s="13">
        <v>-0.13782491335985289</v>
      </c>
      <c r="N166" s="19">
        <f>(F166-Settings!$D$18)/Settings!$E$18</f>
        <v>-1.2697980950683039</v>
      </c>
      <c r="O166" s="19">
        <f>(G166-Settings!$D$19)/Settings!$E$19</f>
        <v>-1.3233167612701215</v>
      </c>
      <c r="P166" s="19">
        <f>(H166-Settings!$D$20)/Settings!$E$20</f>
        <v>0.99205914493527947</v>
      </c>
      <c r="Q166" s="19">
        <f>(I166-Settings!$D$21)/Settings!$E$21</f>
        <v>-1.0059269109877096</v>
      </c>
      <c r="R166" s="19">
        <f>(J166-Settings!$D$22)/Settings!$E$22</f>
        <v>4.8472837952371027E-2</v>
      </c>
      <c r="S166" s="19">
        <f>(K166-Settings!$D$23)/Settings!$E$23</f>
        <v>0.98217872826054675</v>
      </c>
      <c r="T166" s="19">
        <f>(L166-Settings!$D$24)/Settings!$E$24</f>
        <v>-0.71099369652832878</v>
      </c>
      <c r="U166" s="19">
        <f>(M166-Settings!$D$25)/Settings!$E$25</f>
        <v>-5.6980398580369407E-2</v>
      </c>
      <c r="V166" s="31">
        <f>Settings!$B$18*(N166-F$6)^2</f>
        <v>0.79249520964080389</v>
      </c>
      <c r="W166" s="31">
        <f>Settings!$B$19*(O166-G$6)^2</f>
        <v>0.31480810447627194</v>
      </c>
      <c r="X166" s="31">
        <f>Settings!$B$20*(P166-H$6)^2</f>
        <v>0.15353761944570021</v>
      </c>
      <c r="Y166" s="31">
        <f>Settings!$B$21*(Q166-I$6)^2</f>
        <v>0.41224630245041266</v>
      </c>
      <c r="Z166" s="31">
        <f>Settings!$B$22*(R166-J$6)^2</f>
        <v>6.9657055710651089E-2</v>
      </c>
      <c r="AA166" s="31">
        <f>Settings!$B$23*(S166-K$6)^2</f>
        <v>2.7060363426170467E-2</v>
      </c>
      <c r="AB166" s="31">
        <f>Settings!$B$24*(T166-L$6)^2</f>
        <v>1.2207380585601824</v>
      </c>
      <c r="AC166" s="31">
        <f>Settings!$B$25*(U166-M$6)^2</f>
        <v>5.7253679785761253</v>
      </c>
      <c r="AD166" s="19">
        <f t="shared" si="8"/>
        <v>2.9522721236847929</v>
      </c>
      <c r="AE166" s="15">
        <f t="shared" si="9"/>
        <v>1.1685628300436479</v>
      </c>
      <c r="AF166" s="33">
        <f t="shared" si="10"/>
        <v>0.50521583555322924</v>
      </c>
      <c r="AG166" s="47">
        <f t="shared" si="11"/>
        <v>2.9784905298104744E-3</v>
      </c>
      <c r="AH166" s="18">
        <v>-0.38837149881362087</v>
      </c>
      <c r="AI166" s="46">
        <v>1</v>
      </c>
      <c r="AJ166" s="18">
        <v>-0.32882774728810499</v>
      </c>
      <c r="AK166" s="46">
        <v>1</v>
      </c>
      <c r="AL166" s="48"/>
      <c r="AM166" s="48"/>
      <c r="AN166" s="48"/>
      <c r="AO166" s="48"/>
      <c r="AP166" s="48"/>
      <c r="AQ166" s="48"/>
    </row>
    <row r="167" spans="1:43" ht="20" customHeight="1" x14ac:dyDescent="0.45">
      <c r="A167" s="26">
        <v>157</v>
      </c>
      <c r="B167" s="16" t="s">
        <v>628</v>
      </c>
      <c r="C167" s="16" t="s">
        <v>220</v>
      </c>
      <c r="D167" s="46">
        <v>29</v>
      </c>
      <c r="E167" s="46">
        <v>1</v>
      </c>
      <c r="F167" s="13">
        <v>0.4348520785291497</v>
      </c>
      <c r="G167" s="13">
        <v>-0.15662862474473649</v>
      </c>
      <c r="H167" s="13">
        <v>1.3096586845237951E-3</v>
      </c>
      <c r="I167" s="13">
        <v>-0.1100546087195351</v>
      </c>
      <c r="J167" s="13">
        <v>-0.29715502932205501</v>
      </c>
      <c r="K167" s="13">
        <v>12.93126843657817</v>
      </c>
      <c r="L167" s="13">
        <v>1.3995300826275149E-2</v>
      </c>
      <c r="M167" s="13">
        <v>-1.786275131929143</v>
      </c>
      <c r="N167" s="19">
        <f>(F167-Settings!$D$18)/Settings!$E$18</f>
        <v>0.86799841322651849</v>
      </c>
      <c r="O167" s="19">
        <f>(G167-Settings!$D$19)/Settings!$E$19</f>
        <v>-0.62486382718829903</v>
      </c>
      <c r="P167" s="19">
        <f>(H167-Settings!$D$20)/Settings!$E$20</f>
        <v>-0.46947685124819261</v>
      </c>
      <c r="Q167" s="19">
        <f>(I167-Settings!$D$21)/Settings!$E$21</f>
        <v>-1.317166245769978</v>
      </c>
      <c r="R167" s="19">
        <f>(J167-Settings!$D$22)/Settings!$E$22</f>
        <v>-1.466391903515806</v>
      </c>
      <c r="S167" s="19">
        <f>(K167-Settings!$D$23)/Settings!$E$23</f>
        <v>-0.80705200879679295</v>
      </c>
      <c r="T167" s="19">
        <f>(L167-Settings!$D$24)/Settings!$E$24</f>
        <v>-0.89480145486207008</v>
      </c>
      <c r="U167" s="19">
        <f>(M167-Settings!$D$25)/Settings!$E$25</f>
        <v>-1.1687135856023023</v>
      </c>
      <c r="V167" s="31">
        <f>Settings!$B$18*(N167-F$6)^2</f>
        <v>4.3335444940108556E-3</v>
      </c>
      <c r="W167" s="31">
        <f>Settings!$B$19*(O167-G$6)^2</f>
        <v>6.1861628408416053E-2</v>
      </c>
      <c r="X167" s="31">
        <f>Settings!$B$20*(P167-H$6)^2</f>
        <v>6.8528768740644924E-2</v>
      </c>
      <c r="Y167" s="31">
        <f>Settings!$B$21*(Q167-I$6)^2</f>
        <v>0.61035868322559117</v>
      </c>
      <c r="Z167" s="31">
        <f>Settings!$B$22*(R167-J$6)^2</f>
        <v>0.88622330206218014</v>
      </c>
      <c r="AA167" s="31">
        <f>Settings!$B$23*(S167-K$6)^2</f>
        <v>3.8170651400592903</v>
      </c>
      <c r="AB167" s="31">
        <f>Settings!$B$24*(T167-L$6)^2</f>
        <v>1.6606907633233334</v>
      </c>
      <c r="AC167" s="31">
        <f>Settings!$B$25*(U167-M$6)^2</f>
        <v>1.6410658662016147</v>
      </c>
      <c r="AD167" s="19">
        <f t="shared" si="8"/>
        <v>2.9580614761216646</v>
      </c>
      <c r="AE167" s="15">
        <f t="shared" si="9"/>
        <v>1.1708543606967596</v>
      </c>
      <c r="AF167" s="33">
        <f t="shared" si="10"/>
        <v>0.50386345663990906</v>
      </c>
      <c r="AG167" s="47">
        <f t="shared" si="11"/>
        <v>2.9705176051660425E-3</v>
      </c>
      <c r="AH167" s="18">
        <v>-0.71961916508252721</v>
      </c>
      <c r="AI167" s="46">
        <v>1</v>
      </c>
      <c r="AJ167" s="18">
        <v>-0.1042194880249598</v>
      </c>
      <c r="AK167" s="46">
        <v>1</v>
      </c>
      <c r="AL167" s="18">
        <v>-7.4656248065674391E-2</v>
      </c>
      <c r="AM167" s="46">
        <v>1</v>
      </c>
      <c r="AN167" s="18">
        <v>0.1178404942945781</v>
      </c>
      <c r="AO167" s="46">
        <v>1</v>
      </c>
      <c r="AP167" s="48"/>
      <c r="AQ167" s="48"/>
    </row>
    <row r="168" spans="1:43" ht="20" customHeight="1" x14ac:dyDescent="0.45">
      <c r="A168" s="26">
        <v>158</v>
      </c>
      <c r="B168" s="16" t="s">
        <v>270</v>
      </c>
      <c r="C168" s="16" t="s">
        <v>220</v>
      </c>
      <c r="D168" s="46">
        <v>29</v>
      </c>
      <c r="E168" s="46">
        <v>1</v>
      </c>
      <c r="F168" s="13">
        <v>0.45528604199427858</v>
      </c>
      <c r="G168" s="13">
        <v>-0.25792103500500257</v>
      </c>
      <c r="H168" s="13">
        <v>-0.1040210507085565</v>
      </c>
      <c r="I168" s="13">
        <v>-6.9153234874234068E-2</v>
      </c>
      <c r="J168" s="13">
        <v>0.1136186374179281</v>
      </c>
      <c r="K168" s="13">
        <v>17.20566343042071</v>
      </c>
      <c r="L168" s="13">
        <v>0.35486192236313291</v>
      </c>
      <c r="M168" s="13">
        <v>6.9325342595000228E-2</v>
      </c>
      <c r="N168" s="19">
        <f>(F168-Settings!$D$18)/Settings!$E$18</f>
        <v>0.9411302946486908</v>
      </c>
      <c r="O168" s="19">
        <f>(G168-Settings!$D$19)/Settings!$E$19</f>
        <v>-1.0468609186874323</v>
      </c>
      <c r="P168" s="19">
        <f>(H168-Settings!$D$20)/Settings!$E$20</f>
        <v>-1.4237933332521799</v>
      </c>
      <c r="Q168" s="19">
        <f>(I168-Settings!$D$21)/Settings!$E$21</f>
        <v>-0.81418947257613761</v>
      </c>
      <c r="R168" s="19">
        <f>(J168-Settings!$D$22)/Settings!$E$22</f>
        <v>-0.36118601368740111</v>
      </c>
      <c r="S168" s="19">
        <f>(K168-Settings!$D$23)/Settings!$E$23</f>
        <v>0.67734705622276592</v>
      </c>
      <c r="T168" s="19">
        <f>(L168-Settings!$D$24)/Settings!$E$24</f>
        <v>-0.65914171454077242</v>
      </c>
      <c r="U168" s="19">
        <f>(M168-Settings!$D$25)/Settings!$E$25</f>
        <v>8.2724041172124008E-2</v>
      </c>
      <c r="V168" s="31">
        <f>Settings!$B$18*(N168-F$6)^2</f>
        <v>9.7091924099599377E-3</v>
      </c>
      <c r="W168" s="31">
        <f>Settings!$B$19*(O168-G$6)^2</f>
        <v>0.19135621770206604</v>
      </c>
      <c r="X168" s="31">
        <f>Settings!$B$20*(P168-H$6)^2</f>
        <v>0.47411942611144692</v>
      </c>
      <c r="Y168" s="31">
        <f>Settings!$B$21*(Q168-I$6)^2</f>
        <v>0.30948805491269454</v>
      </c>
      <c r="Z168" s="31">
        <f>Settings!$B$22*(R168-J$6)^2</f>
        <v>0.19992634537260859</v>
      </c>
      <c r="AA168" s="31">
        <f>Settings!$B$23*(S168-K$6)^2</f>
        <v>0.22027254199150553</v>
      </c>
      <c r="AB168" s="31">
        <f>Settings!$B$24*(T168-L$6)^2</f>
        <v>1.1088472718847926</v>
      </c>
      <c r="AC168" s="31">
        <f>Settings!$B$25*(U168-M$6)^2</f>
        <v>6.4134476442118524</v>
      </c>
      <c r="AD168" s="19">
        <f t="shared" si="8"/>
        <v>2.9878364571369911</v>
      </c>
      <c r="AE168" s="15">
        <f t="shared" si="9"/>
        <v>1.1826398379908849</v>
      </c>
      <c r="AF168" s="33">
        <f t="shared" si="10"/>
        <v>0.49692384539805234</v>
      </c>
      <c r="AG168" s="47">
        <f t="shared" si="11"/>
        <v>2.9296052566015864E-3</v>
      </c>
      <c r="AH168" s="18">
        <v>0.1495650316741011</v>
      </c>
      <c r="AI168" s="46">
        <v>1</v>
      </c>
      <c r="AJ168" s="18">
        <v>0.53371929446397037</v>
      </c>
      <c r="AK168" s="46">
        <v>1</v>
      </c>
      <c r="AL168" s="18">
        <v>0.52241369611481447</v>
      </c>
      <c r="AM168" s="46">
        <v>1</v>
      </c>
      <c r="AN168" s="18">
        <v>-0.41682621457653729</v>
      </c>
      <c r="AO168" s="46">
        <v>1</v>
      </c>
      <c r="AP168" s="48"/>
      <c r="AQ168" s="48"/>
    </row>
    <row r="169" spans="1:43" ht="20" customHeight="1" x14ac:dyDescent="0.45">
      <c r="A169" s="26">
        <v>159</v>
      </c>
      <c r="B169" s="16" t="s">
        <v>544</v>
      </c>
      <c r="C169" s="16" t="s">
        <v>229</v>
      </c>
      <c r="D169" s="46">
        <v>29</v>
      </c>
      <c r="E169" s="46">
        <v>1</v>
      </c>
      <c r="F169" s="13">
        <v>0.39064058131660578</v>
      </c>
      <c r="G169" s="13">
        <v>0.27188681001982962</v>
      </c>
      <c r="H169" s="13">
        <v>1.2727083860353251E-2</v>
      </c>
      <c r="I169" s="13">
        <v>-0.1404081280027841</v>
      </c>
      <c r="J169" s="13">
        <v>-0.18433739680042721</v>
      </c>
      <c r="K169" s="13">
        <v>15.245520833333311</v>
      </c>
      <c r="L169" s="13">
        <v>0.808080834909221</v>
      </c>
      <c r="M169" s="13">
        <v>-0.30995196751661191</v>
      </c>
      <c r="N169" s="19">
        <f>(F169-Settings!$D$18)/Settings!$E$18</f>
        <v>0.70976822077451929</v>
      </c>
      <c r="O169" s="19">
        <f>(G169-Settings!$D$19)/Settings!$E$19</f>
        <v>1.1603860910286077</v>
      </c>
      <c r="P169" s="19">
        <f>(H169-Settings!$D$20)/Settings!$E$20</f>
        <v>-0.36603278360520836</v>
      </c>
      <c r="Q169" s="19">
        <f>(I169-Settings!$D$21)/Settings!$E$21</f>
        <v>-1.6904328074730042</v>
      </c>
      <c r="R169" s="19">
        <f>(J169-Settings!$D$22)/Settings!$E$22</f>
        <v>-1.1628507516962434</v>
      </c>
      <c r="S169" s="19">
        <f>(K169-Settings!$D$23)/Settings!$E$23</f>
        <v>-3.3653820551670407E-3</v>
      </c>
      <c r="T169" s="19">
        <f>(L169-Settings!$D$24)/Settings!$E$24</f>
        <v>-0.34580668995619807</v>
      </c>
      <c r="U169" s="19">
        <f>(M169-Settings!$D$25)/Settings!$E$25</f>
        <v>-0.17306480096922264</v>
      </c>
      <c r="V169" s="31">
        <f>Settings!$B$18*(N169-F$6)^2</f>
        <v>2.4334790522935514E-5</v>
      </c>
      <c r="W169" s="31">
        <f>Settings!$B$19*(O169-G$6)^2</f>
        <v>0.30213497055314176</v>
      </c>
      <c r="X169" s="31">
        <f>Settings!$B$20*(P169-H$6)^2</f>
        <v>4.6448183853607931E-2</v>
      </c>
      <c r="Y169" s="31">
        <f>Settings!$B$21*(Q169-I$6)^2</f>
        <v>0.89905372920534588</v>
      </c>
      <c r="Z169" s="31">
        <f>Settings!$B$22*(R169-J$6)^2</f>
        <v>0.64906645925463746</v>
      </c>
      <c r="AA169" s="31">
        <f>Settings!$B$23*(S169-K$6)^2</f>
        <v>1.3226022486504767</v>
      </c>
      <c r="AB169" s="31">
        <f>Settings!$B$24*(T169-L$6)^2</f>
        <v>0.54713115949941837</v>
      </c>
      <c r="AC169" s="31">
        <f>Settings!$B$25*(U169-M$6)^2</f>
        <v>5.1833160600329657</v>
      </c>
      <c r="AD169" s="19">
        <f t="shared" si="8"/>
        <v>2.9916178141333689</v>
      </c>
      <c r="AE169" s="15">
        <f t="shared" si="9"/>
        <v>1.184136567644511</v>
      </c>
      <c r="AF169" s="33">
        <f t="shared" si="10"/>
        <v>0.4960444668261364</v>
      </c>
      <c r="AG169" s="47">
        <f t="shared" si="11"/>
        <v>2.9244208966424383E-3</v>
      </c>
      <c r="AH169" s="18">
        <v>0.29592138152437658</v>
      </c>
      <c r="AI169" s="46">
        <v>1</v>
      </c>
      <c r="AJ169" s="18">
        <v>0.53188532787706766</v>
      </c>
      <c r="AK169" s="46">
        <v>1</v>
      </c>
      <c r="AL169" s="18">
        <v>-0.80543150723420343</v>
      </c>
      <c r="AM169" s="46">
        <v>1</v>
      </c>
      <c r="AN169" s="48"/>
      <c r="AO169" s="48"/>
      <c r="AP169" s="48"/>
      <c r="AQ169" s="48"/>
    </row>
    <row r="170" spans="1:43" ht="20" customHeight="1" x14ac:dyDescent="0.45">
      <c r="A170" s="26">
        <v>160</v>
      </c>
      <c r="B170" s="16" t="s">
        <v>669</v>
      </c>
      <c r="C170" s="16" t="s">
        <v>214</v>
      </c>
      <c r="D170" s="46">
        <v>29</v>
      </c>
      <c r="E170" s="46">
        <v>1</v>
      </c>
      <c r="F170" s="13">
        <v>0.29705827241663818</v>
      </c>
      <c r="G170" s="13">
        <v>0.34555170405139712</v>
      </c>
      <c r="H170" s="13">
        <v>-5.1571992264648502E-4</v>
      </c>
      <c r="I170" s="13">
        <v>6.7386804795085048E-2</v>
      </c>
      <c r="J170" s="13">
        <v>0.28948749881423319</v>
      </c>
      <c r="K170" s="13">
        <v>11.505256410256409</v>
      </c>
      <c r="L170" s="13">
        <v>1.260712450114567</v>
      </c>
      <c r="M170" s="13">
        <v>-1.4888733432708161</v>
      </c>
      <c r="N170" s="19">
        <f>(F170-Settings!$D$18)/Settings!$E$18</f>
        <v>0.37484297098806679</v>
      </c>
      <c r="O170" s="19">
        <f>(G170-Settings!$D$19)/Settings!$E$19</f>
        <v>1.4672834286182492</v>
      </c>
      <c r="P170" s="19">
        <f>(H170-Settings!$D$20)/Settings!$E$20</f>
        <v>-0.48601513244612138</v>
      </c>
      <c r="Q170" s="19">
        <f>(I170-Settings!$D$21)/Settings!$E$21</f>
        <v>0.86488538746118637</v>
      </c>
      <c r="R170" s="19">
        <f>(J170-Settings!$D$22)/Settings!$E$22</f>
        <v>0.11199743790821315</v>
      </c>
      <c r="S170" s="19">
        <f>(K170-Settings!$D$23)/Settings!$E$23</f>
        <v>-1.3022731855078766</v>
      </c>
      <c r="T170" s="19">
        <f>(L170-Settings!$D$24)/Settings!$E$24</f>
        <v>-3.2877696147493411E-2</v>
      </c>
      <c r="U170" s="19">
        <f>(M170-Settings!$D$25)/Settings!$E$25</f>
        <v>-0.96814250701789462</v>
      </c>
      <c r="V170" s="31">
        <f>Settings!$B$18*(N170-F$6)^2</f>
        <v>2.3937088847721499E-2</v>
      </c>
      <c r="W170" s="31">
        <f>Settings!$B$19*(O170-G$6)^2</f>
        <v>0.47185457564155275</v>
      </c>
      <c r="X170" s="31">
        <f>Settings!$B$20*(P170-H$6)^2</f>
        <v>7.2455796955526036E-2</v>
      </c>
      <c r="Y170" s="31">
        <f>Settings!$B$21*(Q170-I$6)^2</f>
        <v>3.7864722943591188E-2</v>
      </c>
      <c r="Z170" s="31">
        <f>Settings!$B$22*(R170-J$6)^2</f>
        <v>5.5468335867334462E-2</v>
      </c>
      <c r="AA170" s="31">
        <f>Settings!$B$23*(S170-K$6)^2</f>
        <v>5.9973671645516378</v>
      </c>
      <c r="AB170" s="31">
        <f>Settings!$B$24*(T170-L$6)^2</f>
        <v>0.18211910815658394</v>
      </c>
      <c r="AC170" s="31">
        <f>Settings!$B$25*(U170-M$6)^2</f>
        <v>2.1951741461400851</v>
      </c>
      <c r="AD170" s="19">
        <f t="shared" si="8"/>
        <v>3.006034088147377</v>
      </c>
      <c r="AE170" s="15">
        <f t="shared" si="9"/>
        <v>1.1898427902604221</v>
      </c>
      <c r="AF170" s="33">
        <f t="shared" si="10"/>
        <v>0.49269599764903582</v>
      </c>
      <c r="AG170" s="47">
        <f t="shared" si="11"/>
        <v>2.9046800591003307E-3</v>
      </c>
      <c r="AH170" s="48"/>
      <c r="AI170" s="48"/>
      <c r="AJ170" s="48"/>
      <c r="AK170" s="48"/>
      <c r="AL170" s="48"/>
      <c r="AM170" s="48"/>
      <c r="AN170" s="48"/>
      <c r="AO170" s="48"/>
      <c r="AP170" s="48"/>
      <c r="AQ170" s="48"/>
    </row>
    <row r="171" spans="1:43" ht="20" customHeight="1" x14ac:dyDescent="0.45">
      <c r="A171" s="26">
        <v>161</v>
      </c>
      <c r="B171" s="16" t="s">
        <v>511</v>
      </c>
      <c r="C171" s="16" t="s">
        <v>232</v>
      </c>
      <c r="D171" s="46">
        <v>29</v>
      </c>
      <c r="E171" s="46">
        <v>0</v>
      </c>
      <c r="F171" s="13">
        <v>0.55143461475754552</v>
      </c>
      <c r="G171" s="13">
        <v>0.1471387366815762</v>
      </c>
      <c r="H171" s="13">
        <v>0.24404277523066639</v>
      </c>
      <c r="I171" s="13">
        <v>-6.0701714169006802E-6</v>
      </c>
      <c r="J171" s="13">
        <v>5.7377803158795038E-2</v>
      </c>
      <c r="K171" s="13">
        <v>16.785958904109592</v>
      </c>
      <c r="L171" s="13">
        <v>2.5566297677297389</v>
      </c>
      <c r="M171" s="13">
        <v>0.36658980167638239</v>
      </c>
      <c r="N171" s="19">
        <f>(F171-Settings!$D$18)/Settings!$E$18</f>
        <v>1.285240042825242</v>
      </c>
      <c r="O171" s="19">
        <f>(G171-Settings!$D$19)/Settings!$E$19</f>
        <v>0.64066971757477309</v>
      </c>
      <c r="P171" s="19">
        <f>(H171-Settings!$D$20)/Settings!$E$20</f>
        <v>1.7297318617940125</v>
      </c>
      <c r="Q171" s="19">
        <f>(I171-Settings!$D$21)/Settings!$E$21</f>
        <v>3.6134477647887513E-2</v>
      </c>
      <c r="R171" s="19">
        <f>(J171-Settings!$D$22)/Settings!$E$22</f>
        <v>-0.51250462611296932</v>
      </c>
      <c r="S171" s="19">
        <f>(K171-Settings!$D$23)/Settings!$E$23</f>
        <v>0.53159332795521597</v>
      </c>
      <c r="T171" s="19">
        <f>(L171-Settings!$D$24)/Settings!$E$24</f>
        <v>0.86306083010108481</v>
      </c>
      <c r="U171" s="19">
        <f>(M171-Settings!$D$25)/Settings!$E$25</f>
        <v>0.28320250316033158</v>
      </c>
      <c r="V171" s="31">
        <f>Settings!$B$18*(N171-F$6)^2</f>
        <v>6.3718780510491055E-2</v>
      </c>
      <c r="W171" s="31">
        <f>Settings!$B$19*(O171-G$6)^2</f>
        <v>0.10064364568414648</v>
      </c>
      <c r="X171" s="31">
        <f>Settings!$B$20*(P171-H$6)^2</f>
        <v>0.52090290445397314</v>
      </c>
      <c r="Y171" s="31">
        <f>Settings!$B$21*(Q171-I$6)^2</f>
        <v>3.0990107984419119E-2</v>
      </c>
      <c r="Z171" s="31">
        <f>Settings!$B$22*(R171-J$6)^2</f>
        <v>0.26502210849378099</v>
      </c>
      <c r="AA171" s="31">
        <f>Settings!$B$23*(S171-K$6)^2</f>
        <v>0.37833047378261647</v>
      </c>
      <c r="AB171" s="31">
        <f>Settings!$B$24*(T171-L$6)^2</f>
        <v>0.22013397494204645</v>
      </c>
      <c r="AC171" s="31">
        <f>Settings!$B$25*(U171-M$6)^2</f>
        <v>7.4690540703855905</v>
      </c>
      <c r="AD171" s="19">
        <f t="shared" si="8"/>
        <v>3.0081216840807929</v>
      </c>
      <c r="AE171" s="15">
        <f t="shared" si="9"/>
        <v>1.1906690985781307</v>
      </c>
      <c r="AF171" s="33">
        <f t="shared" si="10"/>
        <v>0.49221166029249924</v>
      </c>
      <c r="AG171" s="47">
        <f t="shared" si="11"/>
        <v>2.901824657253914E-3</v>
      </c>
      <c r="AH171" s="18">
        <v>0.21853071823737749</v>
      </c>
      <c r="AI171" s="46">
        <v>0</v>
      </c>
      <c r="AJ171" s="18">
        <v>0.171630602340509</v>
      </c>
      <c r="AK171" s="46">
        <v>0</v>
      </c>
      <c r="AL171" s="18">
        <v>-0.51730104064214411</v>
      </c>
      <c r="AM171" s="46">
        <v>1</v>
      </c>
      <c r="AN171" s="18">
        <v>-0.71651066594891866</v>
      </c>
      <c r="AO171" s="46">
        <v>1</v>
      </c>
      <c r="AP171" s="18">
        <v>-0.64270582980846802</v>
      </c>
      <c r="AQ171" s="46">
        <v>1</v>
      </c>
    </row>
    <row r="172" spans="1:43" ht="20" customHeight="1" x14ac:dyDescent="0.45">
      <c r="A172" s="26">
        <v>162</v>
      </c>
      <c r="B172" s="16" t="s">
        <v>562</v>
      </c>
      <c r="C172" s="16" t="s">
        <v>214</v>
      </c>
      <c r="D172" s="46">
        <v>29</v>
      </c>
      <c r="E172" s="46">
        <v>1</v>
      </c>
      <c r="F172" s="13">
        <v>0.40046306380524871</v>
      </c>
      <c r="G172" s="13">
        <v>0.14417698761963019</v>
      </c>
      <c r="H172" s="13">
        <v>-6.4665527336256662E-2</v>
      </c>
      <c r="I172" s="13">
        <v>-3.3070750975519409E-3</v>
      </c>
      <c r="J172" s="13">
        <v>-0.38738734614131248</v>
      </c>
      <c r="K172" s="13">
        <v>13.11865671641791</v>
      </c>
      <c r="L172" s="13">
        <v>0.44844340870103039</v>
      </c>
      <c r="M172" s="13">
        <v>-1.115531091827983</v>
      </c>
      <c r="N172" s="19">
        <f>(F172-Settings!$D$18)/Settings!$E$18</f>
        <v>0.74492227328404148</v>
      </c>
      <c r="O172" s="19">
        <f>(G172-Settings!$D$19)/Settings!$E$19</f>
        <v>0.62833069348915727</v>
      </c>
      <c r="P172" s="19">
        <f>(H172-Settings!$D$20)/Settings!$E$20</f>
        <v>-1.0672247235040124</v>
      </c>
      <c r="Q172" s="19">
        <f>(I172-Settings!$D$21)/Settings!$E$21</f>
        <v>-4.4589951367710774E-3</v>
      </c>
      <c r="R172" s="19">
        <f>(J172-Settings!$D$22)/Settings!$E$22</f>
        <v>-1.7091662001082688</v>
      </c>
      <c r="S172" s="19">
        <f>(K172-Settings!$D$23)/Settings!$E$23</f>
        <v>-0.7419763693693574</v>
      </c>
      <c r="T172" s="19">
        <f>(L172-Settings!$D$24)/Settings!$E$24</f>
        <v>-0.5944437142794432</v>
      </c>
      <c r="U172" s="19">
        <f>(M172-Settings!$D$25)/Settings!$E$25</f>
        <v>-0.71635633454450465</v>
      </c>
      <c r="V172" s="31">
        <f>Settings!$B$18*(N172-F$6)^2</f>
        <v>1.1638827256451798E-4</v>
      </c>
      <c r="W172" s="31">
        <f>Settings!$B$19*(O172-G$6)^2</f>
        <v>9.7172879333621759E-2</v>
      </c>
      <c r="X172" s="31">
        <f>Settings!$B$20*(P172-H$6)^2</f>
        <v>0.27994784259738709</v>
      </c>
      <c r="Y172" s="31">
        <f>Settings!$B$21*(Q172-I$6)^2</f>
        <v>3.7711320455148779E-2</v>
      </c>
      <c r="Z172" s="31">
        <f>Settings!$B$22*(R172-J$6)^2</f>
        <v>1.10242924241656</v>
      </c>
      <c r="AA172" s="31">
        <f>Settings!$B$23*(S172-K$6)^2</f>
        <v>3.5670193800691372</v>
      </c>
      <c r="AB172" s="31">
        <f>Settings!$B$24*(T172-L$6)^2</f>
        <v>0.97677676310686701</v>
      </c>
      <c r="AC172" s="31">
        <f>Settings!$B$25*(U172-M$6)^2</f>
        <v>3.0046692566198705</v>
      </c>
      <c r="AD172" s="19">
        <f t="shared" si="8"/>
        <v>3.0109538476820195</v>
      </c>
      <c r="AE172" s="15">
        <f t="shared" si="9"/>
        <v>1.1917901202774668</v>
      </c>
      <c r="AF172" s="33">
        <f t="shared" si="10"/>
        <v>0.49155480235572818</v>
      </c>
      <c r="AG172" s="47">
        <f t="shared" si="11"/>
        <v>2.8979521635464256E-3</v>
      </c>
      <c r="AH172" s="48"/>
      <c r="AI172" s="48"/>
      <c r="AJ172" s="48"/>
      <c r="AK172" s="48"/>
      <c r="AL172" s="48"/>
      <c r="AM172" s="48"/>
      <c r="AN172" s="48"/>
      <c r="AO172" s="48"/>
      <c r="AP172" s="48"/>
      <c r="AQ172" s="48"/>
    </row>
    <row r="173" spans="1:43" ht="20" customHeight="1" x14ac:dyDescent="0.45">
      <c r="A173" s="26">
        <v>163</v>
      </c>
      <c r="B173" s="16" t="s">
        <v>523</v>
      </c>
      <c r="C173" s="16" t="s">
        <v>214</v>
      </c>
      <c r="D173" s="46">
        <v>29</v>
      </c>
      <c r="E173" s="46">
        <v>1</v>
      </c>
      <c r="F173" s="13">
        <v>0.31819085575160272</v>
      </c>
      <c r="G173" s="13">
        <v>0.36756754964440352</v>
      </c>
      <c r="H173" s="13">
        <v>-1.400429384486134E-2</v>
      </c>
      <c r="I173" s="13">
        <v>3.7414391723779969E-3</v>
      </c>
      <c r="J173" s="13">
        <v>0.29649586158675451</v>
      </c>
      <c r="K173" s="13">
        <v>12.642424242424241</v>
      </c>
      <c r="L173" s="13">
        <v>0.72049967241062096</v>
      </c>
      <c r="M173" s="13">
        <v>-0.90799866266091422</v>
      </c>
      <c r="N173" s="19">
        <f>(F173-Settings!$D$18)/Settings!$E$18</f>
        <v>0.45047516937357246</v>
      </c>
      <c r="O173" s="19">
        <f>(G173-Settings!$D$19)/Settings!$E$19</f>
        <v>1.5590042474167247</v>
      </c>
      <c r="P173" s="19">
        <f>(H173-Settings!$D$20)/Settings!$E$20</f>
        <v>-0.60822420600947147</v>
      </c>
      <c r="Q173" s="19">
        <f>(I173-Settings!$D$21)/Settings!$E$21</f>
        <v>8.2218752576766765E-2</v>
      </c>
      <c r="R173" s="19">
        <f>(J173-Settings!$D$22)/Settings!$E$22</f>
        <v>0.13085376790550007</v>
      </c>
      <c r="S173" s="19">
        <f>(K173-Settings!$D$23)/Settings!$E$23</f>
        <v>-0.90736095365473635</v>
      </c>
      <c r="T173" s="19">
        <f>(L173-Settings!$D$24)/Settings!$E$24</f>
        <v>-0.40635633813941197</v>
      </c>
      <c r="U173" s="19">
        <f>(M173-Settings!$D$25)/Settings!$E$25</f>
        <v>-0.57639415292123775</v>
      </c>
      <c r="V173" s="31">
        <f>Settings!$B$18*(N173-F$6)^2</f>
        <v>1.4614974400749346E-2</v>
      </c>
      <c r="W173" s="31">
        <f>Settings!$B$19*(O173-G$6)^2</f>
        <v>0.52989011229158611</v>
      </c>
      <c r="X173" s="31">
        <f>Settings!$B$20*(P173-H$6)^2</f>
        <v>0.10486567721833076</v>
      </c>
      <c r="Y173" s="31">
        <f>Settings!$B$21*(Q173-I$6)^2</f>
        <v>2.4158659184512987E-2</v>
      </c>
      <c r="Z173" s="31">
        <f>Settings!$B$22*(R173-J$6)^2</f>
        <v>5.1567306413482922E-2</v>
      </c>
      <c r="AA173" s="31">
        <f>Settings!$B$23*(S173-K$6)^2</f>
        <v>4.2190804311843433</v>
      </c>
      <c r="AB173" s="31">
        <f>Settings!$B$24*(T173-L$6)^2</f>
        <v>0.64037252815669121</v>
      </c>
      <c r="AC173" s="31">
        <f>Settings!$B$25*(U173-M$6)^2</f>
        <v>3.5094790511938303</v>
      </c>
      <c r="AD173" s="19">
        <f t="shared" si="8"/>
        <v>3.015630736685698</v>
      </c>
      <c r="AE173" s="15">
        <f t="shared" si="9"/>
        <v>1.1936413177352125</v>
      </c>
      <c r="AF173" s="33">
        <f t="shared" si="10"/>
        <v>0.49047067009252887</v>
      </c>
      <c r="AG173" s="47">
        <f t="shared" si="11"/>
        <v>2.8915606820215734E-3</v>
      </c>
      <c r="AH173" s="48"/>
      <c r="AI173" s="48"/>
      <c r="AJ173" s="48"/>
      <c r="AK173" s="48"/>
      <c r="AL173" s="48"/>
      <c r="AM173" s="48"/>
      <c r="AN173" s="48"/>
      <c r="AO173" s="48"/>
      <c r="AP173" s="48"/>
      <c r="AQ173" s="48"/>
    </row>
    <row r="174" spans="1:43" ht="20" customHeight="1" x14ac:dyDescent="0.45">
      <c r="A174" s="26">
        <v>164</v>
      </c>
      <c r="B174" s="16" t="s">
        <v>659</v>
      </c>
      <c r="C174" s="16" t="s">
        <v>216</v>
      </c>
      <c r="D174" s="46">
        <v>29</v>
      </c>
      <c r="E174" s="46">
        <v>1</v>
      </c>
      <c r="F174" s="13">
        <v>0.50974842387435526</v>
      </c>
      <c r="G174" s="13">
        <v>0.25998889440441358</v>
      </c>
      <c r="H174" s="13">
        <v>6.2060706622466188E-3</v>
      </c>
      <c r="I174" s="13">
        <v>-4.1328752716284483E-3</v>
      </c>
      <c r="J174" s="13">
        <v>0.219923735787356</v>
      </c>
      <c r="K174" s="13">
        <v>11.913684210526309</v>
      </c>
      <c r="L174" s="13">
        <v>2.396172653717517</v>
      </c>
      <c r="M174" s="13">
        <v>-1.0278724349006061</v>
      </c>
      <c r="N174" s="19">
        <f>(F174-Settings!$D$18)/Settings!$E$18</f>
        <v>1.136047764302575</v>
      </c>
      <c r="O174" s="19">
        <f>(G174-Settings!$D$19)/Settings!$E$19</f>
        <v>1.1108178581105959</v>
      </c>
      <c r="P174" s="19">
        <f>(H174-Settings!$D$20)/Settings!$E$20</f>
        <v>-0.42511441715896009</v>
      </c>
      <c r="Q174" s="19">
        <f>(I174-Settings!$D$21)/Settings!$E$21</f>
        <v>-1.4614113848208493E-2</v>
      </c>
      <c r="R174" s="19">
        <f>(J174-Settings!$D$22)/Settings!$E$22</f>
        <v>-7.5167141618249195E-2</v>
      </c>
      <c r="S174" s="19">
        <f>(K174-Settings!$D$23)/Settings!$E$23</f>
        <v>-1.1604356048158739</v>
      </c>
      <c r="T174" s="19">
        <f>(L174-Settings!$D$24)/Settings!$E$24</f>
        <v>0.75212805043982844</v>
      </c>
      <c r="U174" s="19">
        <f>(M174-Settings!$D$25)/Settings!$E$25</f>
        <v>-0.65723836001415115</v>
      </c>
      <c r="V174" s="31">
        <f>Settings!$B$18*(N174-F$6)^2</f>
        <v>3.4486338403659042E-2</v>
      </c>
      <c r="W174" s="31">
        <f>Settings!$B$19*(O174-G$6)^2</f>
        <v>0.27825674290883012</v>
      </c>
      <c r="X174" s="31">
        <f>Settings!$B$20*(P174-H$6)^2</f>
        <v>5.8535213764512664E-2</v>
      </c>
      <c r="Y174" s="31">
        <f>Settings!$B$21*(Q174-I$6)^2</f>
        <v>3.9495812875001986E-2</v>
      </c>
      <c r="Z174" s="31">
        <f>Settings!$B$22*(R174-J$6)^2</f>
        <v>0.10190122413426315</v>
      </c>
      <c r="AA174" s="31">
        <f>Settings!$B$23*(S174-K$6)^2</f>
        <v>5.322778136688413</v>
      </c>
      <c r="AB174" s="31">
        <f>Settings!$B$24*(T174-L$6)^2</f>
        <v>0.1283442034231809</v>
      </c>
      <c r="AC174" s="31">
        <f>Settings!$B$25*(U174-M$6)^2</f>
        <v>3.2131141706560435</v>
      </c>
      <c r="AD174" s="19">
        <f t="shared" si="8"/>
        <v>3.0293418167737203</v>
      </c>
      <c r="AE174" s="15">
        <f t="shared" si="9"/>
        <v>1.1990684118103401</v>
      </c>
      <c r="AF174" s="33">
        <f t="shared" si="10"/>
        <v>0.48729649195551622</v>
      </c>
      <c r="AG174" s="47">
        <f t="shared" si="11"/>
        <v>2.8728473740535624E-3</v>
      </c>
      <c r="AH174" s="18">
        <v>-1.396478786882019</v>
      </c>
      <c r="AI174" s="46">
        <v>1</v>
      </c>
      <c r="AJ174" s="18">
        <v>-0.44496861050887698</v>
      </c>
      <c r="AK174" s="46">
        <v>1</v>
      </c>
      <c r="AL174" s="48"/>
      <c r="AM174" s="48"/>
      <c r="AN174" s="48"/>
      <c r="AO174" s="48"/>
      <c r="AP174" s="48"/>
      <c r="AQ174" s="48"/>
    </row>
    <row r="175" spans="1:43" ht="20" customHeight="1" x14ac:dyDescent="0.45">
      <c r="A175" s="26">
        <v>165</v>
      </c>
      <c r="B175" s="16" t="s">
        <v>565</v>
      </c>
      <c r="C175" s="16" t="s">
        <v>271</v>
      </c>
      <c r="D175" s="46">
        <v>29</v>
      </c>
      <c r="E175" s="46">
        <v>1</v>
      </c>
      <c r="F175" s="13">
        <v>-7.191806929745985E-2</v>
      </c>
      <c r="G175" s="13">
        <v>0.32016753956988381</v>
      </c>
      <c r="H175" s="13">
        <v>2.7809805229606389E-3</v>
      </c>
      <c r="I175" s="13">
        <v>-0.27689311546727019</v>
      </c>
      <c r="J175" s="13">
        <v>0.32824029514242548</v>
      </c>
      <c r="K175" s="13">
        <v>14.253514739229029</v>
      </c>
      <c r="L175" s="13">
        <v>0.50680933956314556</v>
      </c>
      <c r="M175" s="13">
        <v>-1.51644495094325</v>
      </c>
      <c r="N175" s="19">
        <f>(F175-Settings!$D$18)/Settings!$E$18</f>
        <v>-0.94570035463112512</v>
      </c>
      <c r="O175" s="19">
        <f>(G175-Settings!$D$19)/Settings!$E$19</f>
        <v>1.3615297640168231</v>
      </c>
      <c r="P175" s="19">
        <f>(H175-Settings!$D$20)/Settings!$E$20</f>
        <v>-0.45614639245945759</v>
      </c>
      <c r="Q175" s="19">
        <f>(I175-Settings!$D$21)/Settings!$E$21</f>
        <v>-3.368830673616459</v>
      </c>
      <c r="R175" s="19">
        <f>(J175-Settings!$D$22)/Settings!$E$22</f>
        <v>0.21626366093353108</v>
      </c>
      <c r="S175" s="19">
        <f>(K175-Settings!$D$23)/Settings!$E$23</f>
        <v>-0.34786628117734708</v>
      </c>
      <c r="T175" s="19">
        <f>(L175-Settings!$D$24)/Settings!$E$24</f>
        <v>-0.55409215375244802</v>
      </c>
      <c r="U175" s="19">
        <f>(M175-Settings!$D$25)/Settings!$E$25</f>
        <v>-0.98673710631103961</v>
      </c>
      <c r="V175" s="31">
        <f>Settings!$B$18*(N175-F$6)^2</f>
        <v>0.55544389477350076</v>
      </c>
      <c r="W175" s="31">
        <f>Settings!$B$19*(O175-G$6)^2</f>
        <v>0.40911661001381638</v>
      </c>
      <c r="X175" s="31">
        <f>Settings!$B$20*(P175-H$6)^2</f>
        <v>6.5443073346652142E-2</v>
      </c>
      <c r="Y175" s="31">
        <f>Settings!$B$21*(Q175-I$6)^2</f>
        <v>2.8858765333741005</v>
      </c>
      <c r="Z175" s="31">
        <f>Settings!$B$22*(R175-J$6)^2</f>
        <v>3.5678636625376098E-2</v>
      </c>
      <c r="AA175" s="31">
        <f>Settings!$B$23*(S175-K$6)^2</f>
        <v>2.2336658157546139</v>
      </c>
      <c r="AB175" s="31">
        <f>Settings!$B$24*(T175-L$6)^2</f>
        <v>0.89864448903322369</v>
      </c>
      <c r="AC175" s="31">
        <f>Settings!$B$25*(U175-M$6)^2</f>
        <v>2.1404199420207894</v>
      </c>
      <c r="AD175" s="19">
        <f t="shared" si="8"/>
        <v>3.0371514606522463</v>
      </c>
      <c r="AE175" s="15">
        <f t="shared" si="9"/>
        <v>1.2021596104431183</v>
      </c>
      <c r="AF175" s="33">
        <f t="shared" si="10"/>
        <v>0.48549132261971234</v>
      </c>
      <c r="AG175" s="47">
        <f t="shared" si="11"/>
        <v>2.8622050319236716E-3</v>
      </c>
      <c r="AH175" s="18">
        <v>-1.301312199339876</v>
      </c>
      <c r="AI175" s="46">
        <v>1</v>
      </c>
      <c r="AJ175" s="18">
        <v>-0.2911902491487246</v>
      </c>
      <c r="AK175" s="46">
        <v>1</v>
      </c>
      <c r="AL175" s="18">
        <v>0.65801340834164379</v>
      </c>
      <c r="AM175" s="46">
        <v>1</v>
      </c>
      <c r="AN175" s="18">
        <v>7.3332962779027899E-2</v>
      </c>
      <c r="AO175" s="46">
        <v>1</v>
      </c>
      <c r="AP175" s="18">
        <v>-2.5511075155841171E-2</v>
      </c>
      <c r="AQ175" s="46">
        <v>1</v>
      </c>
    </row>
    <row r="176" spans="1:43" ht="20" customHeight="1" x14ac:dyDescent="0.45">
      <c r="A176" s="26">
        <v>166</v>
      </c>
      <c r="B176" s="16" t="s">
        <v>482</v>
      </c>
      <c r="C176" s="16" t="s">
        <v>216</v>
      </c>
      <c r="D176" s="46">
        <v>29</v>
      </c>
      <c r="E176" s="46">
        <v>1</v>
      </c>
      <c r="F176" s="13">
        <v>0.27577898930236222</v>
      </c>
      <c r="G176" s="13">
        <v>-0.64551139446496864</v>
      </c>
      <c r="H176" s="13">
        <v>-3.1605365097245389E-2</v>
      </c>
      <c r="I176" s="13">
        <v>-3.4504926144034429E-3</v>
      </c>
      <c r="J176" s="13">
        <v>4.3653758521020478E-2</v>
      </c>
      <c r="K176" s="13">
        <v>14.95366972477064</v>
      </c>
      <c r="L176" s="13">
        <v>-0.33136001696813749</v>
      </c>
      <c r="M176" s="13">
        <v>-0.91483882393298077</v>
      </c>
      <c r="N176" s="19">
        <f>(F176-Settings!$D$18)/Settings!$E$18</f>
        <v>0.29868574323742747</v>
      </c>
      <c r="O176" s="19">
        <f>(G176-Settings!$D$19)/Settings!$E$19</f>
        <v>-2.6616117570270896</v>
      </c>
      <c r="P176" s="19">
        <f>(H176-Settings!$D$20)/Settings!$E$20</f>
        <v>-0.76769329620986604</v>
      </c>
      <c r="Q176" s="19">
        <f>(I176-Settings!$D$21)/Settings!$E$21</f>
        <v>-6.2226444488522915E-3</v>
      </c>
      <c r="R176" s="19">
        <f>(J176-Settings!$D$22)/Settings!$E$22</f>
        <v>-0.54942981434695004</v>
      </c>
      <c r="S176" s="19">
        <f>(K176-Settings!$D$23)/Settings!$E$23</f>
        <v>-0.10471855912453686</v>
      </c>
      <c r="T176" s="19">
        <f>(L176-Settings!$D$24)/Settings!$E$24</f>
        <v>-1.1335644764306407</v>
      </c>
      <c r="U176" s="19">
        <f>(M176-Settings!$D$25)/Settings!$E$25</f>
        <v>-0.58100723386543429</v>
      </c>
      <c r="V176" s="31">
        <f>Settings!$B$18*(N176-F$6)^2</f>
        <v>3.5635888639272993E-2</v>
      </c>
      <c r="W176" s="31">
        <f>Settings!$B$19*(O176-G$6)^2</f>
        <v>1.3446288950789822</v>
      </c>
      <c r="X176" s="31">
        <f>Settings!$B$20*(P176-H$6)^2</f>
        <v>0.15614071634631399</v>
      </c>
      <c r="Y176" s="31">
        <f>Settings!$B$21*(Q176-I$6)^2</f>
        <v>3.801827506193714E-2</v>
      </c>
      <c r="Z176" s="31">
        <f>Settings!$B$22*(R176-J$6)^2</f>
        <v>0.28229714503001796</v>
      </c>
      <c r="AA176" s="31">
        <f>Settings!$B$23*(S176-K$6)^2</f>
        <v>1.56599603373841</v>
      </c>
      <c r="AB176" s="31">
        <f>Settings!$B$24*(T176-L$6)^2</f>
        <v>2.3330758084407899</v>
      </c>
      <c r="AC176" s="31">
        <f>Settings!$B$25*(U176-M$6)^2</f>
        <v>3.4922164057215133</v>
      </c>
      <c r="AD176" s="19">
        <f t="shared" si="8"/>
        <v>3.0410539567816346</v>
      </c>
      <c r="AE176" s="15">
        <f t="shared" si="9"/>
        <v>1.2037042891617931</v>
      </c>
      <c r="AF176" s="33">
        <f t="shared" si="10"/>
        <v>0.48459004773944053</v>
      </c>
      <c r="AG176" s="47">
        <f t="shared" si="11"/>
        <v>2.8568915826872555E-3</v>
      </c>
      <c r="AH176" s="48"/>
      <c r="AI176" s="48"/>
      <c r="AJ176" s="48"/>
      <c r="AK176" s="48"/>
      <c r="AL176" s="48"/>
      <c r="AM176" s="48"/>
      <c r="AN176" s="48"/>
      <c r="AO176" s="48"/>
      <c r="AP176" s="48"/>
      <c r="AQ176" s="48"/>
    </row>
    <row r="177" spans="1:43" ht="20" customHeight="1" x14ac:dyDescent="0.45">
      <c r="A177" s="26">
        <v>167</v>
      </c>
      <c r="B177" s="16" t="s">
        <v>311</v>
      </c>
      <c r="C177" s="16" t="s">
        <v>234</v>
      </c>
      <c r="D177" s="46">
        <v>29</v>
      </c>
      <c r="E177" s="46">
        <v>1</v>
      </c>
      <c r="F177" s="13">
        <v>0.1130649852881926</v>
      </c>
      <c r="G177" s="13">
        <v>0.15238219800842201</v>
      </c>
      <c r="H177" s="13">
        <v>0.1028173281645684</v>
      </c>
      <c r="I177" s="13">
        <v>5.9439678879636181E-3</v>
      </c>
      <c r="J177" s="13">
        <v>0.62579152065085353</v>
      </c>
      <c r="K177" s="13">
        <v>16.723980815347769</v>
      </c>
      <c r="L177" s="13">
        <v>2.6576597018729271</v>
      </c>
      <c r="M177" s="13">
        <v>0.58641329386598473</v>
      </c>
      <c r="N177" s="19">
        <f>(F177-Settings!$D$18)/Settings!$E$18</f>
        <v>-0.28365753380709152</v>
      </c>
      <c r="O177" s="19">
        <f>(G177-Settings!$D$19)/Settings!$E$19</f>
        <v>0.66251464577454267</v>
      </c>
      <c r="P177" s="19">
        <f>(H177-Settings!$D$20)/Settings!$E$20</f>
        <v>0.45020215398011143</v>
      </c>
      <c r="Q177" s="19">
        <f>(I177-Settings!$D$21)/Settings!$E$21</f>
        <v>0.10930392556929454</v>
      </c>
      <c r="R177" s="19">
        <f>(J177-Settings!$D$22)/Settings!$E$22</f>
        <v>1.0168392420496832</v>
      </c>
      <c r="S177" s="19">
        <f>(K177-Settings!$D$23)/Settings!$E$23</f>
        <v>0.51006976330050358</v>
      </c>
      <c r="T177" s="19">
        <f>(L177-Settings!$D$24)/Settings!$E$24</f>
        <v>0.93290834974825898</v>
      </c>
      <c r="U177" s="19">
        <f>(M177-Settings!$D$25)/Settings!$E$25</f>
        <v>0.43145391457774301</v>
      </c>
      <c r="V177" s="31">
        <f>Settings!$B$18*(N177-F$6)^2</f>
        <v>0.20178651030547159</v>
      </c>
      <c r="W177" s="31">
        <f>Settings!$B$19*(O177-G$6)^2</f>
        <v>0.10693761711342471</v>
      </c>
      <c r="X177" s="31">
        <f>Settings!$B$20*(P177-H$6)^2</f>
        <v>2.2354123408825064E-2</v>
      </c>
      <c r="Y177" s="31">
        <f>Settings!$B$21*(Q177-I$6)^2</f>
        <v>2.0539964008390556E-2</v>
      </c>
      <c r="Z177" s="31">
        <f>Settings!$B$22*(R177-J$6)^2</f>
        <v>2.8608471450835463E-2</v>
      </c>
      <c r="AA177" s="31">
        <f>Settings!$B$23*(S177-K$6)^2</f>
        <v>0.40527141322227478</v>
      </c>
      <c r="AB177" s="31">
        <f>Settings!$B$24*(T177-L$6)^2</f>
        <v>0.29055538022768007</v>
      </c>
      <c r="AC177" s="31">
        <f>Settings!$B$25*(U177-M$6)^2</f>
        <v>8.3013620223381981</v>
      </c>
      <c r="AD177" s="19">
        <f t="shared" si="8"/>
        <v>3.0622566029115035</v>
      </c>
      <c r="AE177" s="15">
        <f t="shared" si="9"/>
        <v>1.2120966808953197</v>
      </c>
      <c r="AF177" s="33">
        <f t="shared" si="10"/>
        <v>0.47970248895647938</v>
      </c>
      <c r="AG177" s="47">
        <f t="shared" si="11"/>
        <v>2.8280770710973706E-3</v>
      </c>
      <c r="AH177" s="18">
        <v>-0.97633231905197926</v>
      </c>
      <c r="AI177" s="46">
        <v>1</v>
      </c>
      <c r="AJ177" s="18">
        <v>-1.9212485984453329</v>
      </c>
      <c r="AK177" s="46">
        <v>1</v>
      </c>
      <c r="AL177" s="18">
        <v>-0.17846592213811521</v>
      </c>
      <c r="AM177" s="46">
        <v>1</v>
      </c>
      <c r="AN177" s="18">
        <v>0.58843156528421781</v>
      </c>
      <c r="AO177" s="46">
        <v>1</v>
      </c>
      <c r="AP177" s="48"/>
      <c r="AQ177" s="48"/>
    </row>
    <row r="178" spans="1:43" ht="20" customHeight="1" x14ac:dyDescent="0.45">
      <c r="A178" s="26">
        <v>168</v>
      </c>
      <c r="B178" s="16" t="s">
        <v>395</v>
      </c>
      <c r="C178" s="16" t="s">
        <v>220</v>
      </c>
      <c r="D178" s="46">
        <v>29</v>
      </c>
      <c r="E178" s="46">
        <v>1</v>
      </c>
      <c r="F178" s="13">
        <v>0.54124859777157341</v>
      </c>
      <c r="G178" s="13">
        <v>3.5494639645005877E-2</v>
      </c>
      <c r="H178" s="13">
        <v>-6.3027582499564673E-3</v>
      </c>
      <c r="I178" s="13">
        <v>-2.129047292306649E-4</v>
      </c>
      <c r="J178" s="13">
        <v>0.41674109960423339</v>
      </c>
      <c r="K178" s="13">
        <v>14.907760814249331</v>
      </c>
      <c r="L178" s="13">
        <v>2.8244440669320121</v>
      </c>
      <c r="M178" s="13">
        <v>0.29217327821363609</v>
      </c>
      <c r="N178" s="19">
        <f>(F178-Settings!$D$18)/Settings!$E$18</f>
        <v>1.2487849230119188</v>
      </c>
      <c r="O178" s="19">
        <f>(G178-Settings!$D$19)/Settings!$E$19</f>
        <v>0.1755461795779599</v>
      </c>
      <c r="P178" s="19">
        <f>(H178-Settings!$D$20)/Settings!$E$20</f>
        <v>-0.53844681252843085</v>
      </c>
      <c r="Q178" s="19">
        <f>(I178-Settings!$D$21)/Settings!$E$21</f>
        <v>3.3590969479491507E-2</v>
      </c>
      <c r="R178" s="19">
        <f>(J178-Settings!$D$22)/Settings!$E$22</f>
        <v>0.45437924200766105</v>
      </c>
      <c r="S178" s="19">
        <f>(K178-Settings!$D$23)/Settings!$E$23</f>
        <v>-0.12066166778718186</v>
      </c>
      <c r="T178" s="19">
        <f>(L178-Settings!$D$24)/Settings!$E$24</f>
        <v>1.0482155041486101</v>
      </c>
      <c r="U178" s="19">
        <f>(M178-Settings!$D$25)/Settings!$E$25</f>
        <v>0.23301517092282253</v>
      </c>
      <c r="V178" s="31">
        <f>Settings!$B$18*(N178-F$6)^2</f>
        <v>5.5753866590184421E-2</v>
      </c>
      <c r="W178" s="31">
        <f>Settings!$B$19*(O178-G$6)^2</f>
        <v>1.1932122921150742E-2</v>
      </c>
      <c r="X178" s="31">
        <f>Settings!$B$20*(P178-H$6)^2</f>
        <v>8.5628983886249344E-2</v>
      </c>
      <c r="Y178" s="31">
        <f>Settings!$B$21*(Q178-I$6)^2</f>
        <v>3.1391890025455053E-2</v>
      </c>
      <c r="Z178" s="31">
        <f>Settings!$B$22*(R178-J$6)^2</f>
        <v>6.7896560405704678E-3</v>
      </c>
      <c r="AA178" s="31">
        <f>Settings!$B$23*(S178-K$6)^2</f>
        <v>1.6061525533111718</v>
      </c>
      <c r="AB178" s="31">
        <f>Settings!$B$24*(T178-L$6)^2</f>
        <v>0.42815958720053254</v>
      </c>
      <c r="AC178" s="31">
        <f>Settings!$B$25*(U178-M$6)^2</f>
        <v>7.1972531948466463</v>
      </c>
      <c r="AD178" s="19">
        <f t="shared" si="8"/>
        <v>3.0697006132230484</v>
      </c>
      <c r="AE178" s="15">
        <f t="shared" si="9"/>
        <v>1.2150431551334993</v>
      </c>
      <c r="AF178" s="33">
        <f t="shared" si="10"/>
        <v>0.47799025466990164</v>
      </c>
      <c r="AG178" s="47">
        <f t="shared" si="11"/>
        <v>2.8179826258157735E-3</v>
      </c>
      <c r="AH178" s="18">
        <v>-0.16436245997257301</v>
      </c>
      <c r="AI178" s="46">
        <v>1</v>
      </c>
      <c r="AJ178" s="18">
        <v>-1.0756290249850311</v>
      </c>
      <c r="AK178" s="46">
        <v>1</v>
      </c>
      <c r="AL178" s="18">
        <v>-1.1148930560035211</v>
      </c>
      <c r="AM178" s="46">
        <v>1</v>
      </c>
      <c r="AN178" s="18">
        <v>-0.18543946947619541</v>
      </c>
      <c r="AO178" s="46">
        <v>1</v>
      </c>
      <c r="AP178" s="48"/>
      <c r="AQ178" s="48"/>
    </row>
    <row r="179" spans="1:43" ht="20" customHeight="1" x14ac:dyDescent="0.45">
      <c r="A179" s="26">
        <v>169</v>
      </c>
      <c r="B179" s="16" t="s">
        <v>295</v>
      </c>
      <c r="C179" s="16" t="s">
        <v>246</v>
      </c>
      <c r="D179" s="46">
        <v>29</v>
      </c>
      <c r="E179" s="46">
        <v>1</v>
      </c>
      <c r="F179" s="13">
        <v>0.34484686367339251</v>
      </c>
      <c r="G179" s="13">
        <v>0.11949514838918129</v>
      </c>
      <c r="H179" s="13">
        <v>4.758058252567509E-2</v>
      </c>
      <c r="I179" s="13">
        <v>-5.0803671416775897E-6</v>
      </c>
      <c r="J179" s="13">
        <v>0.48807232504460951</v>
      </c>
      <c r="K179" s="13">
        <v>15.13198757763975</v>
      </c>
      <c r="L179" s="13">
        <v>2.601952830685998</v>
      </c>
      <c r="M179" s="13">
        <v>0.42710831575269559</v>
      </c>
      <c r="N179" s="19">
        <f>(F179-Settings!$D$18)/Settings!$E$18</f>
        <v>0.54587536003416204</v>
      </c>
      <c r="O179" s="19">
        <f>(G179-Settings!$D$19)/Settings!$E$19</f>
        <v>0.52550300539943684</v>
      </c>
      <c r="P179" s="19">
        <f>(H179-Settings!$D$20)/Settings!$E$20</f>
        <v>-5.0253383433374849E-2</v>
      </c>
      <c r="Q179" s="19">
        <f>(I179-Settings!$D$21)/Settings!$E$21</f>
        <v>3.6146649575469411E-2</v>
      </c>
      <c r="R179" s="19">
        <f>(J179-Settings!$D$22)/Settings!$E$22</f>
        <v>0.64629926237080637</v>
      </c>
      <c r="S179" s="19">
        <f>(K179-Settings!$D$23)/Settings!$E$23</f>
        <v>-4.2792870353024738E-2</v>
      </c>
      <c r="T179" s="19">
        <f>(L179-Settings!$D$24)/Settings!$E$24</f>
        <v>0.8943951426209833</v>
      </c>
      <c r="U179" s="19">
        <f>(M179-Settings!$D$25)/Settings!$E$25</f>
        <v>0.32401686307851274</v>
      </c>
      <c r="V179" s="31">
        <f>Settings!$B$18*(N179-F$6)^2</f>
        <v>6.1196428407091046E-3</v>
      </c>
      <c r="W179" s="31">
        <f>Settings!$B$19*(O179-G$6)^2</f>
        <v>7.0617592105762544E-2</v>
      </c>
      <c r="X179" s="31">
        <f>Settings!$B$20*(P179-H$6)^2</f>
        <v>5.5201283567962297E-3</v>
      </c>
      <c r="Y179" s="31">
        <f>Settings!$B$21*(Q179-I$6)^2</f>
        <v>3.0988191482830996E-2</v>
      </c>
      <c r="Z179" s="31">
        <f>Settings!$B$22*(R179-J$6)^2</f>
        <v>1.1764030025554566E-5</v>
      </c>
      <c r="AA179" s="31">
        <f>Settings!$B$23*(S179-K$6)^2</f>
        <v>1.4148435040729848</v>
      </c>
      <c r="AB179" s="31">
        <f>Settings!$B$24*(T179-L$6)^2</f>
        <v>0.25051895356741083</v>
      </c>
      <c r="AC179" s="31">
        <f>Settings!$B$25*(U179-M$6)^2</f>
        <v>7.6938076652299809</v>
      </c>
      <c r="AD179" s="19">
        <f t="shared" si="8"/>
        <v>3.0777308916938302</v>
      </c>
      <c r="AE179" s="15">
        <f t="shared" si="9"/>
        <v>1.2182216849379075</v>
      </c>
      <c r="AF179" s="33">
        <f t="shared" si="10"/>
        <v>0.47614538685050256</v>
      </c>
      <c r="AG179" s="47">
        <f t="shared" si="11"/>
        <v>2.807106242016728E-3</v>
      </c>
      <c r="AH179" s="18">
        <v>-1.088448444570757</v>
      </c>
      <c r="AI179" s="46">
        <v>1</v>
      </c>
      <c r="AJ179" s="48"/>
      <c r="AK179" s="48"/>
      <c r="AL179" s="48"/>
      <c r="AM179" s="48"/>
      <c r="AN179" s="48"/>
      <c r="AO179" s="48"/>
      <c r="AP179" s="48"/>
      <c r="AQ179" s="48"/>
    </row>
    <row r="180" spans="1:43" ht="20" customHeight="1" x14ac:dyDescent="0.45">
      <c r="A180" s="26">
        <v>170</v>
      </c>
      <c r="B180" s="16" t="s">
        <v>264</v>
      </c>
      <c r="C180" s="16" t="s">
        <v>271</v>
      </c>
      <c r="D180" s="46">
        <v>29</v>
      </c>
      <c r="E180" s="46">
        <v>1</v>
      </c>
      <c r="F180" s="13">
        <v>0.31834846244875231</v>
      </c>
      <c r="G180" s="13">
        <v>-0.3360275947117361</v>
      </c>
      <c r="H180" s="13">
        <v>0.30790846689524748</v>
      </c>
      <c r="I180" s="13">
        <v>-4.2627668510853401E-5</v>
      </c>
      <c r="J180" s="13">
        <v>-3.7672848275753318E-2</v>
      </c>
      <c r="K180" s="13">
        <v>18.366145833333309</v>
      </c>
      <c r="L180" s="13">
        <v>0.95132873075837421</v>
      </c>
      <c r="M180" s="13">
        <v>0.34836880862100628</v>
      </c>
      <c r="N180" s="19">
        <f>(F180-Settings!$D$18)/Settings!$E$18</f>
        <v>0.45103923391772971</v>
      </c>
      <c r="O180" s="19">
        <f>(G180-Settings!$D$19)/Settings!$E$19</f>
        <v>-1.3722628015980458</v>
      </c>
      <c r="P180" s="19">
        <f>(H180-Settings!$D$20)/Settings!$E$20</f>
        <v>2.3083673095307611</v>
      </c>
      <c r="Q180" s="19">
        <f>(I180-Settings!$D$21)/Settings!$E$21</f>
        <v>3.5684918863043126E-2</v>
      </c>
      <c r="R180" s="19">
        <f>(J180-Settings!$D$22)/Settings!$E$22</f>
        <v>-0.76824287883788378</v>
      </c>
      <c r="S180" s="19">
        <f>(K180-Settings!$D$23)/Settings!$E$23</f>
        <v>1.0803559022317624</v>
      </c>
      <c r="T180" s="19">
        <f>(L180-Settings!$D$24)/Settings!$E$24</f>
        <v>-0.24677158412746983</v>
      </c>
      <c r="U180" s="19">
        <f>(M180-Settings!$D$25)/Settings!$E$25</f>
        <v>0.27091406250742617</v>
      </c>
      <c r="V180" s="31">
        <f>Settings!$B$18*(N180-F$6)^2</f>
        <v>1.4554046041509595E-2</v>
      </c>
      <c r="W180" s="31">
        <f>Settings!$B$19*(O180-G$6)^2</f>
        <v>0.33985047940466639</v>
      </c>
      <c r="X180" s="31">
        <f>Settings!$B$20*(P180-H$6)^2</f>
        <v>0.96139922125839927</v>
      </c>
      <c r="Y180" s="31">
        <f>Settings!$B$21*(Q180-I$6)^2</f>
        <v>3.1060933696872753E-2</v>
      </c>
      <c r="Z180" s="31">
        <f>Settings!$B$22*(R180-J$6)^2</f>
        <v>0.39585816534343465</v>
      </c>
      <c r="AA180" s="31">
        <f>Settings!$B$23*(S180-K$6)^2</f>
        <v>4.3987629834829414E-3</v>
      </c>
      <c r="AB180" s="31">
        <f>Settings!$B$24*(T180-L$6)^2</f>
        <v>0.41042991399351259</v>
      </c>
      <c r="AC180" s="31">
        <f>Settings!$B$25*(U180-M$6)^2</f>
        <v>7.4020375158773568</v>
      </c>
      <c r="AD180" s="19">
        <f t="shared" si="8"/>
        <v>3.0918585088259189</v>
      </c>
      <c r="AE180" s="15">
        <f t="shared" si="9"/>
        <v>1.2238136519267233</v>
      </c>
      <c r="AF180" s="33">
        <f t="shared" si="10"/>
        <v>0.47290539204183435</v>
      </c>
      <c r="AG180" s="47">
        <f t="shared" si="11"/>
        <v>2.7880049130892888E-3</v>
      </c>
      <c r="AH180" s="18">
        <v>5.6177373492665827E-2</v>
      </c>
      <c r="AI180" s="46">
        <v>1</v>
      </c>
      <c r="AJ180" s="18">
        <v>-0.29674904685726278</v>
      </c>
      <c r="AK180" s="46">
        <v>1</v>
      </c>
      <c r="AL180" s="18">
        <v>-0.77547878454780617</v>
      </c>
      <c r="AM180" s="46">
        <v>1</v>
      </c>
      <c r="AN180" s="48"/>
      <c r="AO180" s="48"/>
      <c r="AP180" s="48"/>
      <c r="AQ180" s="48"/>
    </row>
    <row r="181" spans="1:43" ht="20" customHeight="1" x14ac:dyDescent="0.45">
      <c r="A181" s="26">
        <v>171</v>
      </c>
      <c r="B181" s="16" t="s">
        <v>293</v>
      </c>
      <c r="C181" s="16" t="s">
        <v>246</v>
      </c>
      <c r="D181" s="46">
        <v>29</v>
      </c>
      <c r="E181" s="46">
        <v>1</v>
      </c>
      <c r="F181" s="13">
        <v>0.34404655571486159</v>
      </c>
      <c r="G181" s="13">
        <v>0.20673494887864091</v>
      </c>
      <c r="H181" s="13">
        <v>0.33782939649286481</v>
      </c>
      <c r="I181" s="13">
        <v>1.7688054448252881E-2</v>
      </c>
      <c r="J181" s="13">
        <v>9.3701044465379635E-2</v>
      </c>
      <c r="K181" s="13">
        <v>19.074999999999999</v>
      </c>
      <c r="L181" s="13">
        <v>3.9775097117954399</v>
      </c>
      <c r="M181" s="13">
        <v>-0.1009521120882622</v>
      </c>
      <c r="N181" s="19">
        <f>(F181-Settings!$D$18)/Settings!$E$18</f>
        <v>0.5430111077404558</v>
      </c>
      <c r="O181" s="19">
        <f>(G181-Settings!$D$19)/Settings!$E$19</f>
        <v>0.88895513349987743</v>
      </c>
      <c r="P181" s="19">
        <f>(H181-Settings!$D$20)/Settings!$E$20</f>
        <v>2.5794566854251859</v>
      </c>
      <c r="Q181" s="19">
        <f>(I181-Settings!$D$21)/Settings!$E$21</f>
        <v>0.25372456983775277</v>
      </c>
      <c r="R181" s="19">
        <f>(J181-Settings!$D$22)/Settings!$E$22</f>
        <v>-0.41477523525815824</v>
      </c>
      <c r="S181" s="19">
        <f>(K181-Settings!$D$23)/Settings!$E$23</f>
        <v>1.3265246497974477</v>
      </c>
      <c r="T181" s="19">
        <f>(L181-Settings!$D$24)/Settings!$E$24</f>
        <v>1.8453928552684618</v>
      </c>
      <c r="U181" s="19">
        <f>(M181-Settings!$D$25)/Settings!$E$25</f>
        <v>-3.2112970731883954E-2</v>
      </c>
      <c r="V181" s="31">
        <f>Settings!$B$18*(N181-F$6)^2</f>
        <v>6.3216935888665247E-3</v>
      </c>
      <c r="W181" s="31">
        <f>Settings!$B$19*(O181-G$6)^2</f>
        <v>0.18342413565609508</v>
      </c>
      <c r="X181" s="31">
        <f>Settings!$B$20*(P181-H$6)^2</f>
        <v>1.2138410065765133</v>
      </c>
      <c r="Y181" s="31">
        <f>Settings!$B$21*(Q181-I$6)^2</f>
        <v>6.1985431933695321E-3</v>
      </c>
      <c r="Z181" s="31">
        <f>Settings!$B$22*(R181-J$6)^2</f>
        <v>0.2219324474770073</v>
      </c>
      <c r="AA181" s="31">
        <f>Settings!$B$23*(S181-K$6)^2</f>
        <v>3.2344431486203473E-2</v>
      </c>
      <c r="AB181" s="31">
        <f>Settings!$B$24*(T181-L$6)^2</f>
        <v>2.106899851286018</v>
      </c>
      <c r="AC181" s="31">
        <f>Settings!$B$25*(U181-M$6)^2</f>
        <v>5.8449906430056879</v>
      </c>
      <c r="AD181" s="19">
        <f t="shared" si="8"/>
        <v>3.100959972697126</v>
      </c>
      <c r="AE181" s="15">
        <f t="shared" si="9"/>
        <v>1.227416176332774</v>
      </c>
      <c r="AF181" s="33">
        <f t="shared" si="10"/>
        <v>0.47082197210574345</v>
      </c>
      <c r="AG181" s="47">
        <f t="shared" si="11"/>
        <v>2.7757221497383142E-3</v>
      </c>
      <c r="AH181" s="48"/>
      <c r="AI181" s="48"/>
      <c r="AJ181" s="48"/>
      <c r="AK181" s="48"/>
      <c r="AL181" s="48"/>
      <c r="AM181" s="48"/>
      <c r="AN181" s="48"/>
      <c r="AO181" s="48"/>
      <c r="AP181" s="48"/>
      <c r="AQ181" s="48"/>
    </row>
    <row r="182" spans="1:43" ht="20" customHeight="1" x14ac:dyDescent="0.45">
      <c r="A182" s="26">
        <v>172</v>
      </c>
      <c r="B182" s="16" t="s">
        <v>400</v>
      </c>
      <c r="C182" s="16" t="s">
        <v>220</v>
      </c>
      <c r="D182" s="46">
        <v>29</v>
      </c>
      <c r="E182" s="46">
        <v>1</v>
      </c>
      <c r="F182" s="13">
        <v>-9.3405255985503532E-2</v>
      </c>
      <c r="G182" s="13">
        <v>0.1209170051579689</v>
      </c>
      <c r="H182" s="13">
        <v>-3.8765390900818951E-2</v>
      </c>
      <c r="I182" s="13">
        <v>3.6812682272996058E-4</v>
      </c>
      <c r="J182" s="13">
        <v>0.74654422113297869</v>
      </c>
      <c r="K182" s="13">
        <v>12.977083333333329</v>
      </c>
      <c r="L182" s="13">
        <v>0.81498307292279182</v>
      </c>
      <c r="M182" s="13">
        <v>-0.58826616821353772</v>
      </c>
      <c r="N182" s="19">
        <f>(F182-Settings!$D$18)/Settings!$E$18</f>
        <v>-1.0226016563119138</v>
      </c>
      <c r="O182" s="19">
        <f>(G182-Settings!$D$19)/Settings!$E$19</f>
        <v>0.53142664192279532</v>
      </c>
      <c r="P182" s="19">
        <f>(H182-Settings!$D$20)/Settings!$E$20</f>
        <v>-0.83256450685010286</v>
      </c>
      <c r="Q182" s="19">
        <f>(I182-Settings!$D$21)/Settings!$E$21</f>
        <v>4.0736093167373186E-2</v>
      </c>
      <c r="R182" s="19">
        <f>(J182-Settings!$D$22)/Settings!$E$22</f>
        <v>1.3417300678046047</v>
      </c>
      <c r="S182" s="19">
        <f>(K182-Settings!$D$23)/Settings!$E$23</f>
        <v>-0.7911415489526995</v>
      </c>
      <c r="T182" s="19">
        <f>(L182-Settings!$D$24)/Settings!$E$24</f>
        <v>-0.34103479527616115</v>
      </c>
      <c r="U182" s="19">
        <f>(M182-Settings!$D$25)/Settings!$E$25</f>
        <v>-0.36076299764439845</v>
      </c>
      <c r="V182" s="31">
        <f>Settings!$B$18*(N182-F$6)^2</f>
        <v>0.60788903889280155</v>
      </c>
      <c r="W182" s="31">
        <f>Settings!$B$19*(O182-G$6)^2</f>
        <v>7.2032568480820805E-2</v>
      </c>
      <c r="X182" s="31">
        <f>Settings!$B$20*(P182-H$6)^2</f>
        <v>0.17990978551255596</v>
      </c>
      <c r="Y182" s="31">
        <f>Settings!$B$21*(Q182-I$6)^2</f>
        <v>3.0269795449066508E-2</v>
      </c>
      <c r="Z182" s="31">
        <f>Settings!$B$22*(R182-J$6)^2</f>
        <v>9.8869988096120326E-2</v>
      </c>
      <c r="AA182" s="31">
        <f>Settings!$B$23*(S182-K$6)^2</f>
        <v>3.7551487629449163</v>
      </c>
      <c r="AB182" s="31">
        <f>Settings!$B$24*(T182-L$6)^2</f>
        <v>0.54009455032013298</v>
      </c>
      <c r="AC182" s="31">
        <f>Settings!$B$25*(U182-M$6)^2</f>
        <v>4.3638855651435211</v>
      </c>
      <c r="AD182" s="19">
        <f t="shared" si="8"/>
        <v>3.1061390913543998</v>
      </c>
      <c r="AE182" s="15">
        <f t="shared" si="9"/>
        <v>1.2294661653926313</v>
      </c>
      <c r="AF182" s="33">
        <f t="shared" si="10"/>
        <v>0.46963779706364234</v>
      </c>
      <c r="AG182" s="47">
        <f t="shared" si="11"/>
        <v>2.7687408678775155E-3</v>
      </c>
      <c r="AH182" s="48"/>
      <c r="AI182" s="48"/>
      <c r="AJ182" s="48"/>
      <c r="AK182" s="48"/>
      <c r="AL182" s="48"/>
      <c r="AM182" s="48"/>
      <c r="AN182" s="48"/>
      <c r="AO182" s="48"/>
      <c r="AP182" s="48"/>
      <c r="AQ182" s="48"/>
    </row>
    <row r="183" spans="1:43" ht="20" customHeight="1" x14ac:dyDescent="0.45">
      <c r="A183" s="26">
        <v>173</v>
      </c>
      <c r="B183" s="16" t="s">
        <v>414</v>
      </c>
      <c r="C183" s="16" t="s">
        <v>214</v>
      </c>
      <c r="D183" s="46">
        <v>29</v>
      </c>
      <c r="E183" s="46">
        <v>1</v>
      </c>
      <c r="F183" s="13">
        <v>0.36010065388140949</v>
      </c>
      <c r="G183" s="13">
        <v>-0.2294281035684331</v>
      </c>
      <c r="H183" s="13">
        <v>0.24003493817385901</v>
      </c>
      <c r="I183" s="13">
        <v>-3.1344195364022351E-4</v>
      </c>
      <c r="J183" s="13">
        <v>0.17012286242265789</v>
      </c>
      <c r="K183" s="13">
        <v>17.30186403508776</v>
      </c>
      <c r="L183" s="13">
        <v>0.78924379152499768</v>
      </c>
      <c r="M183" s="13">
        <v>0.53104686202660634</v>
      </c>
      <c r="N183" s="19">
        <f>(F183-Settings!$D$18)/Settings!$E$18</f>
        <v>0.60046772429257367</v>
      </c>
      <c r="O183" s="19">
        <f>(G183-Settings!$D$19)/Settings!$E$19</f>
        <v>-0.9281557347193381</v>
      </c>
      <c r="P183" s="19">
        <f>(H183-Settings!$D$20)/Settings!$E$20</f>
        <v>1.693420087359605</v>
      </c>
      <c r="Q183" s="19">
        <f>(I183-Settings!$D$21)/Settings!$E$21</f>
        <v>3.2354632311193815E-2</v>
      </c>
      <c r="R183" s="19">
        <f>(J183-Settings!$D$22)/Settings!$E$22</f>
        <v>-0.20915873606021462</v>
      </c>
      <c r="S183" s="19">
        <f>(K183-Settings!$D$23)/Settings!$E$23</f>
        <v>0.71075531349140753</v>
      </c>
      <c r="T183" s="19">
        <f>(L183-Settings!$D$24)/Settings!$E$24</f>
        <v>-0.35882976840351705</v>
      </c>
      <c r="U183" s="19">
        <f>(M183-Settings!$D$25)/Settings!$E$25</f>
        <v>0.39411417630148066</v>
      </c>
      <c r="V183" s="31">
        <f>Settings!$B$18*(N183-F$6)^2</f>
        <v>2.895914155219506E-3</v>
      </c>
      <c r="W183" s="31">
        <f>Settings!$B$19*(O183-G$6)^2</f>
        <v>0.14772972258389555</v>
      </c>
      <c r="X183" s="31">
        <f>Settings!$B$20*(P183-H$6)^2</f>
        <v>0.49772589842908954</v>
      </c>
      <c r="Y183" s="31">
        <f>Settings!$B$21*(Q183-I$6)^2</f>
        <v>3.1588121090440013E-2</v>
      </c>
      <c r="Z183" s="31">
        <f>Settings!$B$22*(R183-J$6)^2</f>
        <v>0.14374909149389334</v>
      </c>
      <c r="AA183" s="31">
        <f>Settings!$B$23*(S183-K$6)^2</f>
        <v>0.19002952412204957</v>
      </c>
      <c r="AB183" s="31">
        <f>Settings!$B$24*(T183-L$6)^2</f>
        <v>0.56656666339792183</v>
      </c>
      <c r="AC183" s="31">
        <f>Settings!$B$25*(U183-M$6)^2</f>
        <v>8.087589140933769</v>
      </c>
      <c r="AD183" s="19">
        <f t="shared" si="8"/>
        <v>3.1093205168020677</v>
      </c>
      <c r="AE183" s="15">
        <f t="shared" si="9"/>
        <v>1.2307254312627638</v>
      </c>
      <c r="AF183" s="33">
        <f t="shared" si="10"/>
        <v>0.46891088297087868</v>
      </c>
      <c r="AG183" s="47">
        <f t="shared" si="11"/>
        <v>2.7644553594098099E-3</v>
      </c>
      <c r="AH183" s="48"/>
      <c r="AI183" s="48"/>
      <c r="AJ183" s="48"/>
      <c r="AK183" s="48"/>
      <c r="AL183" s="48"/>
      <c r="AM183" s="48"/>
      <c r="AN183" s="48"/>
      <c r="AO183" s="48"/>
      <c r="AP183" s="48"/>
      <c r="AQ183" s="48"/>
    </row>
    <row r="184" spans="1:43" ht="20" customHeight="1" x14ac:dyDescent="0.45">
      <c r="A184" s="26">
        <v>174</v>
      </c>
      <c r="B184" s="16" t="s">
        <v>429</v>
      </c>
      <c r="C184" s="16" t="s">
        <v>227</v>
      </c>
      <c r="D184" s="46">
        <v>29</v>
      </c>
      <c r="E184" s="46">
        <v>0</v>
      </c>
      <c r="F184" s="13">
        <v>0.12069143988860009</v>
      </c>
      <c r="G184" s="13">
        <v>-0.2279667769563494</v>
      </c>
      <c r="H184" s="13">
        <v>0.1204647827458126</v>
      </c>
      <c r="I184" s="13">
        <v>-7.2090960840592216E-2</v>
      </c>
      <c r="J184" s="13">
        <v>0.45878603956864572</v>
      </c>
      <c r="K184" s="13">
        <v>17.09337899543376</v>
      </c>
      <c r="L184" s="13">
        <v>0.9785358512989154</v>
      </c>
      <c r="M184" s="13">
        <v>0.59140870551222391</v>
      </c>
      <c r="N184" s="19">
        <f>(F184-Settings!$D$18)/Settings!$E$18</f>
        <v>-0.25636292821281337</v>
      </c>
      <c r="O184" s="19">
        <f>(G184-Settings!$D$19)/Settings!$E$19</f>
        <v>-0.92206766179812827</v>
      </c>
      <c r="P184" s="19">
        <f>(H184-Settings!$D$20)/Settings!$E$20</f>
        <v>0.61009148605940811</v>
      </c>
      <c r="Q184" s="19">
        <f>(I184-Settings!$D$21)/Settings!$E$21</f>
        <v>-0.85031559226774633</v>
      </c>
      <c r="R184" s="19">
        <f>(J184-Settings!$D$22)/Settings!$E$22</f>
        <v>0.56750313248227691</v>
      </c>
      <c r="S184" s="19">
        <f>(K184-Settings!$D$23)/Settings!$E$23</f>
        <v>0.63835325463190185</v>
      </c>
      <c r="T184" s="19">
        <f>(L184-Settings!$D$24)/Settings!$E$24</f>
        <v>-0.22796181351230593</v>
      </c>
      <c r="U184" s="19">
        <f>(M184-Settings!$D$25)/Settings!$E$25</f>
        <v>0.43482287582837753</v>
      </c>
      <c r="V184" s="31">
        <f>Settings!$B$18*(N184-F$6)^2</f>
        <v>0.19096901348132603</v>
      </c>
      <c r="W184" s="31">
        <f>Settings!$B$19*(O184-G$6)^2</f>
        <v>0.14564418586207539</v>
      </c>
      <c r="X184" s="31">
        <f>Settings!$B$20*(P184-H$6)^2</f>
        <v>4.8848795893624307E-2</v>
      </c>
      <c r="Y184" s="31">
        <f>Settings!$B$21*(Q184-I$6)^2</f>
        <v>0.32772487538856443</v>
      </c>
      <c r="Z184" s="31">
        <f>Settings!$B$22*(R184-J$6)^2</f>
        <v>1.011801499272047E-3</v>
      </c>
      <c r="AA184" s="31">
        <f>Settings!$B$23*(S184-K$6)^2</f>
        <v>0.25839513764052147</v>
      </c>
      <c r="AB184" s="31">
        <f>Settings!$B$24*(T184-L$6)^2</f>
        <v>0.38668283602588349</v>
      </c>
      <c r="AC184" s="31">
        <f>Settings!$B$25*(U184-M$6)^2</f>
        <v>8.3207867313555681</v>
      </c>
      <c r="AD184" s="19">
        <f t="shared" si="8"/>
        <v>3.1112800222973882</v>
      </c>
      <c r="AE184" s="15">
        <f t="shared" si="9"/>
        <v>1.2315010390628469</v>
      </c>
      <c r="AF184" s="33">
        <f t="shared" si="10"/>
        <v>0.46846335194210764</v>
      </c>
      <c r="AG184" s="47">
        <f t="shared" si="11"/>
        <v>2.7618169485818292E-3</v>
      </c>
      <c r="AH184" s="18">
        <v>4.6977323239775333E-2</v>
      </c>
      <c r="AI184" s="46">
        <v>0</v>
      </c>
      <c r="AJ184" s="18">
        <v>-0.79610743483883517</v>
      </c>
      <c r="AK184" s="46">
        <v>0</v>
      </c>
      <c r="AL184" s="18">
        <v>-0.61587238670674838</v>
      </c>
      <c r="AM184" s="46">
        <v>0</v>
      </c>
      <c r="AN184" s="18">
        <v>-7.264335503618069E-2</v>
      </c>
      <c r="AO184" s="46">
        <v>1</v>
      </c>
      <c r="AP184" s="48"/>
      <c r="AQ184" s="48"/>
    </row>
    <row r="185" spans="1:43" ht="20" customHeight="1" x14ac:dyDescent="0.45">
      <c r="A185" s="26">
        <v>175</v>
      </c>
      <c r="B185" s="16" t="s">
        <v>440</v>
      </c>
      <c r="C185" s="16" t="s">
        <v>224</v>
      </c>
      <c r="D185" s="46">
        <v>29</v>
      </c>
      <c r="E185" s="46">
        <v>0</v>
      </c>
      <c r="F185" s="13">
        <v>-0.11464216672920791</v>
      </c>
      <c r="G185" s="13">
        <v>-0.38798246992141611</v>
      </c>
      <c r="H185" s="13">
        <v>0.25871426966108529</v>
      </c>
      <c r="I185" s="13">
        <v>0.16238340135839471</v>
      </c>
      <c r="J185" s="13">
        <v>7.6277692329895896E-2</v>
      </c>
      <c r="K185" s="13">
        <v>17.083789954337881</v>
      </c>
      <c r="L185" s="13">
        <v>0.186527509734044</v>
      </c>
      <c r="M185" s="13">
        <v>-0.18583883470956999</v>
      </c>
      <c r="N185" s="19">
        <f>(F185-Settings!$D$18)/Settings!$E$18</f>
        <v>-1.098607235989701</v>
      </c>
      <c r="O185" s="19">
        <f>(G185-Settings!$D$19)/Settings!$E$19</f>
        <v>-1.5887134336972388</v>
      </c>
      <c r="P185" s="19">
        <f>(H185-Settings!$D$20)/Settings!$E$20</f>
        <v>1.8626584226351404</v>
      </c>
      <c r="Q185" s="19">
        <f>(I185-Settings!$D$21)/Settings!$E$21</f>
        <v>2.0330877511404668</v>
      </c>
      <c r="R185" s="19">
        <f>(J185-Settings!$D$22)/Settings!$E$22</f>
        <v>-0.46165358448028621</v>
      </c>
      <c r="S185" s="19">
        <f>(K185-Settings!$D$23)/Settings!$E$23</f>
        <v>0.63502320121904199</v>
      </c>
      <c r="T185" s="19">
        <f>(L185-Settings!$D$24)/Settings!$E$24</f>
        <v>-0.7755205016113621</v>
      </c>
      <c r="U185" s="19">
        <f>(M185-Settings!$D$25)/Settings!$E$25</f>
        <v>-8.9361521893798562E-2</v>
      </c>
      <c r="V185" s="31">
        <f>Settings!$B$18*(N185-F$6)^2</f>
        <v>0.66204767381660989</v>
      </c>
      <c r="W185" s="31">
        <f>Settings!$B$19*(O185-G$6)^2</f>
        <v>0.46208266849092816</v>
      </c>
      <c r="X185" s="31">
        <f>Settings!$B$20*(P185-H$6)^2</f>
        <v>0.61024625512866637</v>
      </c>
      <c r="Y185" s="31">
        <f>Settings!$B$21*(Q185-I$6)^2</f>
        <v>0.51412424623812036</v>
      </c>
      <c r="Z185" s="31">
        <f>Settings!$B$22*(R185-J$6)^2</f>
        <v>0.24212471966305388</v>
      </c>
      <c r="AA185" s="31">
        <f>Settings!$B$23*(S185-K$6)^2</f>
        <v>0.26179173114899396</v>
      </c>
      <c r="AB185" s="31">
        <f>Settings!$B$24*(T185-L$6)^2</f>
        <v>1.367489249352283</v>
      </c>
      <c r="AC185" s="31">
        <f>Settings!$B$25*(U185-M$6)^2</f>
        <v>5.5714550881870508</v>
      </c>
      <c r="AD185" s="19">
        <f t="shared" si="8"/>
        <v>3.1130951851855908</v>
      </c>
      <c r="AE185" s="15">
        <f t="shared" si="9"/>
        <v>1.2322195134421603</v>
      </c>
      <c r="AF185" s="33">
        <f t="shared" si="10"/>
        <v>0.46804891717252312</v>
      </c>
      <c r="AG185" s="47">
        <f t="shared" si="11"/>
        <v>2.759373656132217E-3</v>
      </c>
      <c r="AH185" s="18">
        <v>-9.9872687358712131E-2</v>
      </c>
      <c r="AI185" s="46">
        <v>0</v>
      </c>
      <c r="AJ185" s="18">
        <v>-0.75138744373328925</v>
      </c>
      <c r="AK185" s="46">
        <v>1</v>
      </c>
      <c r="AL185" s="18">
        <v>-0.63317052449923505</v>
      </c>
      <c r="AM185" s="46">
        <v>1</v>
      </c>
      <c r="AN185" s="48"/>
      <c r="AO185" s="48"/>
      <c r="AP185" s="48"/>
      <c r="AQ185" s="48"/>
    </row>
    <row r="186" spans="1:43" ht="20" customHeight="1" x14ac:dyDescent="0.45">
      <c r="A186" s="26">
        <v>176</v>
      </c>
      <c r="B186" s="16" t="s">
        <v>421</v>
      </c>
      <c r="C186" s="16" t="s">
        <v>260</v>
      </c>
      <c r="D186" s="46">
        <v>29</v>
      </c>
      <c r="E186" s="46">
        <v>1</v>
      </c>
      <c r="F186" s="13">
        <v>0.28164728629833607</v>
      </c>
      <c r="G186" s="13">
        <v>-9.2726240546516028E-2</v>
      </c>
      <c r="H186" s="13">
        <v>-7.0636280861272466E-3</v>
      </c>
      <c r="I186" s="13">
        <v>2.9410356243281151E-2</v>
      </c>
      <c r="J186" s="13">
        <v>0.58915248882573945</v>
      </c>
      <c r="K186" s="13">
        <v>11.614485981308411</v>
      </c>
      <c r="L186" s="13">
        <v>0.48884326641426612</v>
      </c>
      <c r="M186" s="13">
        <v>-1.164251631319104</v>
      </c>
      <c r="N186" s="19">
        <f>(F186-Settings!$D$18)/Settings!$E$18</f>
        <v>0.31968801236607802</v>
      </c>
      <c r="O186" s="19">
        <f>(G186-Settings!$D$19)/Settings!$E$19</f>
        <v>-0.35863834985767046</v>
      </c>
      <c r="P186" s="19">
        <f>(H186-Settings!$D$20)/Settings!$E$20</f>
        <v>-0.54534043955801537</v>
      </c>
      <c r="Q186" s="19">
        <f>(I186-Settings!$D$21)/Settings!$E$21</f>
        <v>0.3978773201479982</v>
      </c>
      <c r="R186" s="19">
        <f>(J186-Settings!$D$22)/Settings!$E$22</f>
        <v>0.9182602019371664</v>
      </c>
      <c r="S186" s="19">
        <f>(K186-Settings!$D$23)/Settings!$E$23</f>
        <v>-1.2643402678959927</v>
      </c>
      <c r="T186" s="19">
        <f>(L186-Settings!$D$24)/Settings!$E$24</f>
        <v>-0.56651308283541058</v>
      </c>
      <c r="U186" s="19">
        <f>(M186-Settings!$D$25)/Settings!$E$25</f>
        <v>-0.74921400900245805</v>
      </c>
      <c r="V186" s="31">
        <f>Settings!$B$18*(N186-F$6)^2</f>
        <v>3.2177974788090945E-2</v>
      </c>
      <c r="W186" s="31">
        <f>Settings!$B$19*(O186-G$6)^2</f>
        <v>1.6811800393407975E-2</v>
      </c>
      <c r="X186" s="31">
        <f>Settings!$B$20*(P186-H$6)^2</f>
        <v>8.7442765132755382E-2</v>
      </c>
      <c r="Y186" s="31">
        <f>Settings!$B$21*(Q186-I$6)^2</f>
        <v>2.0345478366266625E-4</v>
      </c>
      <c r="Z186" s="31">
        <f>Settings!$B$22*(R186-J$6)^2</f>
        <v>1.5638628670115475E-2</v>
      </c>
      <c r="AA186" s="31">
        <f>Settings!$B$23*(S186-K$6)^2</f>
        <v>5.8130142622737937</v>
      </c>
      <c r="AB186" s="31">
        <f>Settings!$B$24*(T186-L$6)^2</f>
        <v>0.92234807031357735</v>
      </c>
      <c r="AC186" s="31">
        <f>Settings!$B$25*(U186-M$6)^2</f>
        <v>2.8918380170643738</v>
      </c>
      <c r="AD186" s="19">
        <f t="shared" si="8"/>
        <v>3.1272152106018827</v>
      </c>
      <c r="AE186" s="15">
        <f t="shared" si="9"/>
        <v>1.2378084754922289</v>
      </c>
      <c r="AF186" s="33">
        <f t="shared" si="10"/>
        <v>0.46482935883125964</v>
      </c>
      <c r="AG186" s="47">
        <f t="shared" si="11"/>
        <v>2.7403928100169627E-3</v>
      </c>
      <c r="AH186" s="48"/>
      <c r="AI186" s="48"/>
      <c r="AJ186" s="48"/>
      <c r="AK186" s="48"/>
      <c r="AL186" s="48"/>
      <c r="AM186" s="48"/>
      <c r="AN186" s="48"/>
      <c r="AO186" s="48"/>
      <c r="AP186" s="48"/>
      <c r="AQ186" s="48"/>
    </row>
    <row r="187" spans="1:43" ht="20" customHeight="1" x14ac:dyDescent="0.45">
      <c r="A187" s="26">
        <v>177</v>
      </c>
      <c r="B187" s="16" t="s">
        <v>465</v>
      </c>
      <c r="C187" s="16" t="s">
        <v>229</v>
      </c>
      <c r="D187" s="46">
        <v>29</v>
      </c>
      <c r="E187" s="46">
        <v>1</v>
      </c>
      <c r="F187" s="13">
        <v>6.2479139074966217E-2</v>
      </c>
      <c r="G187" s="13">
        <v>-9.7494720360026786E-3</v>
      </c>
      <c r="H187" s="13">
        <v>0.1798580738236869</v>
      </c>
      <c r="I187" s="13">
        <v>-1.150174719823129E-2</v>
      </c>
      <c r="J187" s="13">
        <v>0.73641156786711293</v>
      </c>
      <c r="K187" s="13">
        <v>19.030777096114541</v>
      </c>
      <c r="L187" s="13">
        <v>3.337900518962067</v>
      </c>
      <c r="M187" s="13">
        <v>0.54433519059236612</v>
      </c>
      <c r="N187" s="19">
        <f>(F187-Settings!$D$18)/Settings!$E$18</f>
        <v>-0.46470112396614754</v>
      </c>
      <c r="O187" s="19">
        <f>(G187-Settings!$D$19)/Settings!$E$19</f>
        <v>-1.2946556331762235E-2</v>
      </c>
      <c r="P187" s="19">
        <f>(H187-Settings!$D$20)/Settings!$E$20</f>
        <v>1.1482061244461443</v>
      </c>
      <c r="Q187" s="19">
        <f>(I187-Settings!$D$21)/Settings!$E$21</f>
        <v>-0.10523139819028893</v>
      </c>
      <c r="R187" s="19">
        <f>(J187-Settings!$D$22)/Settings!$E$22</f>
        <v>1.3144676871415508</v>
      </c>
      <c r="S187" s="19">
        <f>(K187-Settings!$D$23)/Settings!$E$23</f>
        <v>1.3111670524592072</v>
      </c>
      <c r="T187" s="19">
        <f>(L187-Settings!$D$24)/Settings!$E$24</f>
        <v>1.4031960346744299</v>
      </c>
      <c r="U187" s="19">
        <f>(M187-Settings!$D$25)/Settings!$E$25</f>
        <v>0.40307597308502469</v>
      </c>
      <c r="V187" s="31">
        <f>Settings!$B$18*(N187-F$6)^2</f>
        <v>0.28108201984646358</v>
      </c>
      <c r="W187" s="31">
        <f>Settings!$B$19*(O187-G$6)^2</f>
        <v>6.2189102265635711E-4</v>
      </c>
      <c r="X187" s="31">
        <f>Settings!$B$20*(P187-H$6)^2</f>
        <v>0.21313902204206411</v>
      </c>
      <c r="Y187" s="31">
        <f>Settings!$B$21*(Q187-I$6)^2</f>
        <v>5.7245738337742394E-2</v>
      </c>
      <c r="Z187" s="31">
        <f>Settings!$B$22*(R187-J$6)^2</f>
        <v>9.1351361075480128E-2</v>
      </c>
      <c r="AA187" s="31">
        <f>Settings!$B$23*(S187-K$6)^2</f>
        <v>2.7056295379801566E-2</v>
      </c>
      <c r="AB187" s="31">
        <f>Settings!$B$24*(T187-L$6)^2</f>
        <v>1.0187260076821885</v>
      </c>
      <c r="AC187" s="31">
        <f>Settings!$B$25*(U187-M$6)^2</f>
        <v>8.138641801340265</v>
      </c>
      <c r="AD187" s="19">
        <f t="shared" si="8"/>
        <v>3.134942445520597</v>
      </c>
      <c r="AE187" s="15">
        <f t="shared" si="9"/>
        <v>1.2408670551646728</v>
      </c>
      <c r="AF187" s="33">
        <f t="shared" si="10"/>
        <v>0.46307070577578241</v>
      </c>
      <c r="AG187" s="47">
        <f t="shared" si="11"/>
        <v>2.7300247037496178E-3</v>
      </c>
      <c r="AH187" s="18">
        <v>-0.76439278256576637</v>
      </c>
      <c r="AI187" s="46">
        <v>1</v>
      </c>
      <c r="AJ187" s="18">
        <v>-1.128323634106815</v>
      </c>
      <c r="AK187" s="46">
        <v>1</v>
      </c>
      <c r="AL187" s="18">
        <v>0.89722284564994137</v>
      </c>
      <c r="AM187" s="46">
        <v>1</v>
      </c>
      <c r="AN187" s="48"/>
      <c r="AO187" s="48"/>
      <c r="AP187" s="48"/>
      <c r="AQ187" s="48"/>
    </row>
    <row r="188" spans="1:43" ht="20" customHeight="1" x14ac:dyDescent="0.45">
      <c r="A188" s="26">
        <v>178</v>
      </c>
      <c r="B188" s="16" t="s">
        <v>280</v>
      </c>
      <c r="C188" s="16" t="s">
        <v>214</v>
      </c>
      <c r="D188" s="46">
        <v>29</v>
      </c>
      <c r="E188" s="46">
        <v>1</v>
      </c>
      <c r="F188" s="13">
        <v>0.45394257890200251</v>
      </c>
      <c r="G188" s="13">
        <v>-8.7733020239040102E-2</v>
      </c>
      <c r="H188" s="13">
        <v>0.1095681412523615</v>
      </c>
      <c r="I188" s="13">
        <v>2.0117823221048651E-4</v>
      </c>
      <c r="J188" s="13">
        <v>0.3485550813743854</v>
      </c>
      <c r="K188" s="13">
        <v>19.961368653421591</v>
      </c>
      <c r="L188" s="13">
        <v>3.3662887956148402</v>
      </c>
      <c r="M188" s="13">
        <v>0.62700753238384266</v>
      </c>
      <c r="N188" s="19">
        <f>(F188-Settings!$D$18)/Settings!$E$18</f>
        <v>0.93632212399070447</v>
      </c>
      <c r="O188" s="19">
        <f>(G188-Settings!$D$19)/Settings!$E$19</f>
        <v>-0.33783595763938784</v>
      </c>
      <c r="P188" s="19">
        <f>(H188-Settings!$D$20)/Settings!$E$20</f>
        <v>0.51136581872452092</v>
      </c>
      <c r="Q188" s="19">
        <f>(I188-Settings!$D$21)/Settings!$E$21</f>
        <v>3.86830750055299E-2</v>
      </c>
      <c r="R188" s="19">
        <f>(J188-Settings!$D$22)/Settings!$E$22</f>
        <v>0.2709215497226366</v>
      </c>
      <c r="S188" s="19">
        <f>(K188-Settings!$D$23)/Settings!$E$23</f>
        <v>1.634340095561589</v>
      </c>
      <c r="T188" s="19">
        <f>(L188-Settings!$D$24)/Settings!$E$24</f>
        <v>1.4228224031173087</v>
      </c>
      <c r="U188" s="19">
        <f>(M188-Settings!$D$25)/Settings!$E$25</f>
        <v>0.45883112115262858</v>
      </c>
      <c r="V188" s="31">
        <f>Settings!$B$18*(N188-F$6)^2</f>
        <v>9.2900595638714355E-3</v>
      </c>
      <c r="W188" s="31">
        <f>Settings!$B$19*(O188-G$6)^2</f>
        <v>1.4485859049541161E-2</v>
      </c>
      <c r="X188" s="31">
        <f>Settings!$B$20*(P188-H$6)^2</f>
        <v>3.1281644357059768E-2</v>
      </c>
      <c r="Y188" s="31">
        <f>Settings!$B$21*(Q188-I$6)^2</f>
        <v>3.0590117581397909E-2</v>
      </c>
      <c r="Z188" s="31">
        <f>Settings!$B$22*(R188-J$6)^2</f>
        <v>2.7041876286954893E-2</v>
      </c>
      <c r="AA188" s="31">
        <f>Settings!$B$23*(S188-K$6)^2</f>
        <v>0.2378132729057405</v>
      </c>
      <c r="AB188" s="31">
        <f>Settings!$B$24*(T188-L$6)^2</f>
        <v>1.0587297577938664</v>
      </c>
      <c r="AC188" s="31">
        <f>Settings!$B$25*(U188-M$6)^2</f>
        <v>8.4598704105746076</v>
      </c>
      <c r="AD188" s="19">
        <f t="shared" si="8"/>
        <v>3.1415128518140807</v>
      </c>
      <c r="AE188" s="15">
        <f t="shared" si="9"/>
        <v>1.2434677410944193</v>
      </c>
      <c r="AF188" s="33">
        <f t="shared" si="10"/>
        <v>0.46157717546769156</v>
      </c>
      <c r="AG188" s="47">
        <f t="shared" si="11"/>
        <v>2.7212196236915823E-3</v>
      </c>
      <c r="AH188" s="48"/>
      <c r="AI188" s="48"/>
      <c r="AJ188" s="48"/>
      <c r="AK188" s="48"/>
      <c r="AL188" s="48"/>
      <c r="AM188" s="48"/>
      <c r="AN188" s="48"/>
      <c r="AO188" s="48"/>
      <c r="AP188" s="48"/>
      <c r="AQ188" s="48"/>
    </row>
    <row r="189" spans="1:43" ht="20" customHeight="1" x14ac:dyDescent="0.45">
      <c r="A189" s="26">
        <v>179</v>
      </c>
      <c r="B189" s="16" t="s">
        <v>766</v>
      </c>
      <c r="C189" s="16" t="s">
        <v>216</v>
      </c>
      <c r="D189" s="46">
        <v>29</v>
      </c>
      <c r="E189" s="46">
        <v>1</v>
      </c>
      <c r="F189" s="13">
        <v>-0.13015315712825989</v>
      </c>
      <c r="G189" s="13">
        <v>-0.68425136489744665</v>
      </c>
      <c r="H189" s="13">
        <v>9.4015930452107654E-2</v>
      </c>
      <c r="I189" s="13">
        <v>2.185839181841471E-4</v>
      </c>
      <c r="J189" s="13">
        <v>-9.1360963604001602E-2</v>
      </c>
      <c r="K189" s="13">
        <v>16.67426900584795</v>
      </c>
      <c r="L189" s="13">
        <v>-1.0174906539586019</v>
      </c>
      <c r="M189" s="13">
        <v>-1.253741727670286</v>
      </c>
      <c r="N189" s="19">
        <f>(F189-Settings!$D$18)/Settings!$E$18</f>
        <v>-1.1541201036983921</v>
      </c>
      <c r="O189" s="19">
        <f>(G189-Settings!$D$19)/Settings!$E$19</f>
        <v>-2.8230074115017176</v>
      </c>
      <c r="P189" s="19">
        <f>(H189-Settings!$D$20)/Settings!$E$20</f>
        <v>0.37045979821254194</v>
      </c>
      <c r="Q189" s="19">
        <f>(I189-Settings!$D$21)/Settings!$E$21</f>
        <v>3.8897118078981899E-2</v>
      </c>
      <c r="R189" s="19">
        <f>(J189-Settings!$D$22)/Settings!$E$22</f>
        <v>-0.9126932807964061</v>
      </c>
      <c r="S189" s="19">
        <f>(K189-Settings!$D$23)/Settings!$E$23</f>
        <v>0.4928059952939759</v>
      </c>
      <c r="T189" s="19">
        <f>(L189-Settings!$D$24)/Settings!$E$24</f>
        <v>-1.6079241160182198</v>
      </c>
      <c r="U189" s="19">
        <f>(M189-Settings!$D$25)/Settings!$E$25</f>
        <v>-0.80956712667788733</v>
      </c>
      <c r="V189" s="31">
        <f>Settings!$B$18*(N189-F$6)^2</f>
        <v>0.70306418842293161</v>
      </c>
      <c r="W189" s="31">
        <f>Settings!$B$19*(O189-G$6)^2</f>
        <v>1.5172318986312001</v>
      </c>
      <c r="X189" s="31">
        <f>Settings!$B$20*(P189-H$6)^2</f>
        <v>1.2962070317771544E-2</v>
      </c>
      <c r="Y189" s="31">
        <f>Settings!$B$21*(Q189-I$6)^2</f>
        <v>3.0556642789635879E-2</v>
      </c>
      <c r="Z189" s="31">
        <f>Settings!$B$22*(R189-J$6)^2</f>
        <v>0.48132068054815635</v>
      </c>
      <c r="AA189" s="31">
        <f>Settings!$B$23*(S189-K$6)^2</f>
        <v>0.42755000177566438</v>
      </c>
      <c r="AB189" s="31">
        <f>Settings!$B$24*(T189-L$6)^2</f>
        <v>4.0072055384888614</v>
      </c>
      <c r="AC189" s="31">
        <f>Settings!$B$25*(U189-M$6)^2</f>
        <v>2.690214673176281</v>
      </c>
      <c r="AD189" s="19">
        <f t="shared" si="8"/>
        <v>3.1416724358453578</v>
      </c>
      <c r="AE189" s="15">
        <f t="shared" si="9"/>
        <v>1.2435309073471923</v>
      </c>
      <c r="AF189" s="33">
        <f t="shared" si="10"/>
        <v>0.46154092130022362</v>
      </c>
      <c r="AG189" s="47">
        <f t="shared" si="11"/>
        <v>2.7210058879238758E-3</v>
      </c>
      <c r="AH189" s="48"/>
      <c r="AI189" s="48"/>
      <c r="AJ189" s="48"/>
      <c r="AK189" s="48"/>
      <c r="AL189" s="48"/>
      <c r="AM189" s="48"/>
      <c r="AN189" s="48"/>
      <c r="AO189" s="48"/>
      <c r="AP189" s="48"/>
      <c r="AQ189" s="48"/>
    </row>
    <row r="190" spans="1:43" ht="20" customHeight="1" x14ac:dyDescent="0.45">
      <c r="A190" s="26">
        <v>180</v>
      </c>
      <c r="B190" s="16" t="s">
        <v>545</v>
      </c>
      <c r="C190" s="16" t="s">
        <v>260</v>
      </c>
      <c r="D190" s="46">
        <v>29</v>
      </c>
      <c r="E190" s="46">
        <v>1</v>
      </c>
      <c r="F190" s="13">
        <v>-0.11370062697147421</v>
      </c>
      <c r="G190" s="13">
        <v>0.2359332927844062</v>
      </c>
      <c r="H190" s="13">
        <v>-0.1112003507720835</v>
      </c>
      <c r="I190" s="13">
        <v>-0.1994286068591298</v>
      </c>
      <c r="J190" s="13">
        <v>0.33973712261290617</v>
      </c>
      <c r="K190" s="13">
        <v>13.422442244224429</v>
      </c>
      <c r="L190" s="13">
        <v>4.8207687335967697E-2</v>
      </c>
      <c r="M190" s="13">
        <v>-1.545540192285535</v>
      </c>
      <c r="N190" s="19">
        <f>(F190-Settings!$D$18)/Settings!$E$18</f>
        <v>-1.0952375238908052</v>
      </c>
      <c r="O190" s="19">
        <f>(G190-Settings!$D$19)/Settings!$E$19</f>
        <v>1.0105991557238978</v>
      </c>
      <c r="P190" s="19">
        <f>(H190-Settings!$D$20)/Settings!$E$20</f>
        <v>-1.4888391723939998</v>
      </c>
      <c r="Q190" s="19">
        <f>(I190-Settings!$D$21)/Settings!$E$21</f>
        <v>-2.4162257874300948</v>
      </c>
      <c r="R190" s="19">
        <f>(J190-Settings!$D$22)/Settings!$E$22</f>
        <v>0.2471964165202209</v>
      </c>
      <c r="S190" s="19">
        <f>(K190-Settings!$D$23)/Settings!$E$23</f>
        <v>-0.63647864300291979</v>
      </c>
      <c r="T190" s="19">
        <f>(L190-Settings!$D$24)/Settings!$E$24</f>
        <v>-0.871148560705714</v>
      </c>
      <c r="U190" s="19">
        <f>(M190-Settings!$D$25)/Settings!$E$25</f>
        <v>-1.0063592611206065</v>
      </c>
      <c r="V190" s="31">
        <f>Settings!$B$18*(N190-F$6)^2</f>
        <v>0.65959759497884918</v>
      </c>
      <c r="W190" s="31">
        <f>Settings!$B$19*(O190-G$6)^2</f>
        <v>0.23298123831696063</v>
      </c>
      <c r="X190" s="31">
        <f>Settings!$B$20*(P190-H$6)^2</f>
        <v>0.515025382613719</v>
      </c>
      <c r="Y190" s="31">
        <f>Settings!$B$21*(Q190-I$6)^2</f>
        <v>1.6199407403796398</v>
      </c>
      <c r="Z190" s="31">
        <f>Settings!$B$22*(R190-J$6)^2</f>
        <v>3.0644023874190969E-2</v>
      </c>
      <c r="AA190" s="31">
        <f>Settings!$B$23*(S190-K$6)^2</f>
        <v>3.179651440214152</v>
      </c>
      <c r="AB190" s="31">
        <f>Settings!$B$24*(T190-L$6)^2</f>
        <v>1.6002882981720583</v>
      </c>
      <c r="AC190" s="31">
        <f>Settings!$B$25*(U190-M$6)^2</f>
        <v>2.0833898627631635</v>
      </c>
      <c r="AD190" s="19">
        <f t="shared" si="8"/>
        <v>3.1498442154037924</v>
      </c>
      <c r="AE190" s="15">
        <f t="shared" si="9"/>
        <v>1.2467654458474502</v>
      </c>
      <c r="AF190" s="33">
        <f t="shared" si="10"/>
        <v>0.45968581281518378</v>
      </c>
      <c r="AG190" s="47">
        <f t="shared" si="11"/>
        <v>2.7100691304716641E-3</v>
      </c>
      <c r="AH190" s="18">
        <v>-0.55695633235505482</v>
      </c>
      <c r="AI190" s="46">
        <v>1</v>
      </c>
      <c r="AJ190" s="18">
        <v>0.76676623775241681</v>
      </c>
      <c r="AK190" s="46">
        <v>1</v>
      </c>
      <c r="AL190" s="18">
        <v>-0.13965223973999211</v>
      </c>
      <c r="AM190" s="46">
        <v>1</v>
      </c>
      <c r="AN190" s="48"/>
      <c r="AO190" s="48"/>
      <c r="AP190" s="48"/>
      <c r="AQ190" s="48"/>
    </row>
    <row r="191" spans="1:43" ht="20" customHeight="1" x14ac:dyDescent="0.45">
      <c r="A191" s="26">
        <v>181</v>
      </c>
      <c r="B191" s="16" t="s">
        <v>772</v>
      </c>
      <c r="C191" s="16" t="s">
        <v>246</v>
      </c>
      <c r="D191" s="46">
        <v>29</v>
      </c>
      <c r="E191" s="46">
        <v>1</v>
      </c>
      <c r="F191" s="13">
        <v>0.18512791750343391</v>
      </c>
      <c r="G191" s="13">
        <v>-0.55009591933944024</v>
      </c>
      <c r="H191" s="13">
        <v>5.4173044093845462E-4</v>
      </c>
      <c r="I191" s="13">
        <v>3.8804558662589909E-2</v>
      </c>
      <c r="J191" s="13">
        <v>0.2254298740535976</v>
      </c>
      <c r="K191" s="13">
        <v>13.03310185185185</v>
      </c>
      <c r="L191" s="13">
        <v>-8.7940704793281754E-2</v>
      </c>
      <c r="M191" s="13">
        <v>-1.0410102738714619</v>
      </c>
      <c r="N191" s="19">
        <f>(F191-Settings!$D$18)/Settings!$E$18</f>
        <v>-2.5748791692883626E-2</v>
      </c>
      <c r="O191" s="19">
        <f>(G191-Settings!$D$19)/Settings!$E$19</f>
        <v>-2.2640987263516257</v>
      </c>
      <c r="P191" s="19">
        <f>(H191-Settings!$D$20)/Settings!$E$20</f>
        <v>-0.47643442880627185</v>
      </c>
      <c r="Q191" s="19">
        <f>(I191-Settings!$D$21)/Settings!$E$21</f>
        <v>0.51340071643940488</v>
      </c>
      <c r="R191" s="19">
        <f>(J191-Settings!$D$22)/Settings!$E$22</f>
        <v>-6.0352617380716192E-2</v>
      </c>
      <c r="S191" s="19">
        <f>(K191-Settings!$D$23)/Settings!$E$23</f>
        <v>-0.77168760596604069</v>
      </c>
      <c r="T191" s="19">
        <f>(L191-Settings!$D$24)/Settings!$E$24</f>
        <v>-0.9652753912815023</v>
      </c>
      <c r="U191" s="19">
        <f>(M191-Settings!$D$25)/Settings!$E$25</f>
        <v>-0.66609866493881364</v>
      </c>
      <c r="V191" s="31">
        <f>Settings!$B$18*(N191-F$6)^2</f>
        <v>0.11146666504898961</v>
      </c>
      <c r="W191" s="31">
        <f>Settings!$B$19*(O191-G$6)^2</f>
        <v>0.96394717082691095</v>
      </c>
      <c r="X191" s="31">
        <f>Settings!$B$20*(P191-H$6)^2</f>
        <v>7.0167519448024324E-2</v>
      </c>
      <c r="Y191" s="31">
        <f>Settings!$B$21*(Q191-I$6)^2</f>
        <v>1.3987507040215924E-3</v>
      </c>
      <c r="Z191" s="31">
        <f>Settings!$B$22*(R191-J$6)^2</f>
        <v>9.7715293128733227E-2</v>
      </c>
      <c r="AA191" s="31">
        <f>Settings!$B$23*(S191-K$6)^2</f>
        <v>3.6801307150461642</v>
      </c>
      <c r="AB191" s="31">
        <f>Settings!$B$24*(T191-L$6)^2</f>
        <v>1.8472937496424131</v>
      </c>
      <c r="AC191" s="31">
        <f>Settings!$B$25*(U191-M$6)^2</f>
        <v>3.1814281962047035</v>
      </c>
      <c r="AD191" s="19">
        <f t="shared" si="8"/>
        <v>3.1549244143164445</v>
      </c>
      <c r="AE191" s="15">
        <f t="shared" si="9"/>
        <v>1.2487762806790117</v>
      </c>
      <c r="AF191" s="33">
        <f t="shared" si="10"/>
        <v>0.45853387875854534</v>
      </c>
      <c r="AG191" s="47">
        <f t="shared" si="11"/>
        <v>2.7032779247389564E-3</v>
      </c>
      <c r="AH191" s="18">
        <v>-0.47349551503606058</v>
      </c>
      <c r="AI191" s="46">
        <v>1</v>
      </c>
      <c r="AJ191" s="48"/>
      <c r="AK191" s="48"/>
      <c r="AL191" s="48"/>
      <c r="AM191" s="48"/>
      <c r="AN191" s="48"/>
      <c r="AO191" s="48"/>
      <c r="AP191" s="48"/>
      <c r="AQ191" s="48"/>
    </row>
    <row r="192" spans="1:43" ht="20" customHeight="1" x14ac:dyDescent="0.45">
      <c r="A192" s="26">
        <v>182</v>
      </c>
      <c r="B192" s="16" t="s">
        <v>541</v>
      </c>
      <c r="C192" s="16" t="s">
        <v>214</v>
      </c>
      <c r="D192" s="46">
        <v>29</v>
      </c>
      <c r="E192" s="46">
        <v>1</v>
      </c>
      <c r="F192" s="13">
        <v>0.26522415872156802</v>
      </c>
      <c r="G192" s="13">
        <v>-0.1527179441057071</v>
      </c>
      <c r="H192" s="13">
        <v>0.18420290765091149</v>
      </c>
      <c r="I192" s="13">
        <v>-0.2249750804837784</v>
      </c>
      <c r="J192" s="13">
        <v>-0.17287990903803499</v>
      </c>
      <c r="K192" s="13">
        <v>16.347736625514379</v>
      </c>
      <c r="L192" s="13">
        <v>1.6370733878381991E-2</v>
      </c>
      <c r="M192" s="13">
        <v>-0.44173074276686403</v>
      </c>
      <c r="N192" s="19">
        <f>(F192-Settings!$D$18)/Settings!$E$18</f>
        <v>0.26091066255946599</v>
      </c>
      <c r="O192" s="19">
        <f>(G192-Settings!$D$19)/Settings!$E$19</f>
        <v>-0.60857143320525509</v>
      </c>
      <c r="P192" s="19">
        <f>(H192-Settings!$D$20)/Settings!$E$20</f>
        <v>1.1875711544243939</v>
      </c>
      <c r="Q192" s="19">
        <f>(I192-Settings!$D$21)/Settings!$E$21</f>
        <v>-2.7303786302858488</v>
      </c>
      <c r="R192" s="19">
        <f>(J192-Settings!$D$22)/Settings!$E$22</f>
        <v>-1.1320238414463022</v>
      </c>
      <c r="S192" s="19">
        <f>(K192-Settings!$D$23)/Settings!$E$23</f>
        <v>0.3794088102504779</v>
      </c>
      <c r="T192" s="19">
        <f>(L192-Settings!$D$24)/Settings!$E$24</f>
        <v>-0.89315918806080274</v>
      </c>
      <c r="U192" s="19">
        <f>(M192-Settings!$D$25)/Settings!$E$25</f>
        <v>-0.26193787468446134</v>
      </c>
      <c r="V192" s="31">
        <f>Settings!$B$18*(N192-F$6)^2</f>
        <v>4.2299422081142943E-2</v>
      </c>
      <c r="W192" s="31">
        <f>Settings!$B$19*(O192-G$6)^2</f>
        <v>5.8290279696263575E-2</v>
      </c>
      <c r="X192" s="31">
        <f>Settings!$B$20*(P192-H$6)^2</f>
        <v>0.22970394654828616</v>
      </c>
      <c r="Y192" s="31">
        <f>Settings!$B$21*(Q192-I$6)^2</f>
        <v>1.9973104669186819</v>
      </c>
      <c r="Z192" s="31">
        <f>Settings!$B$22*(R192-J$6)^2</f>
        <v>0.62704288681578768</v>
      </c>
      <c r="AA192" s="31">
        <f>Settings!$B$23*(S192-K$6)^2</f>
        <v>0.5887036561313046</v>
      </c>
      <c r="AB192" s="31">
        <f>Settings!$B$24*(T192-L$6)^2</f>
        <v>1.6564607544556533</v>
      </c>
      <c r="AC192" s="31">
        <f>Settings!$B$25*(U192-M$6)^2</f>
        <v>4.7865416574644568</v>
      </c>
      <c r="AD192" s="19">
        <f t="shared" si="8"/>
        <v>3.1601191544167406</v>
      </c>
      <c r="AE192" s="15">
        <f t="shared" si="9"/>
        <v>1.2508324529892278</v>
      </c>
      <c r="AF192" s="33">
        <f t="shared" si="10"/>
        <v>0.45735704514420339</v>
      </c>
      <c r="AG192" s="47">
        <f t="shared" si="11"/>
        <v>2.696339924128501E-3</v>
      </c>
      <c r="AH192" s="48"/>
      <c r="AI192" s="48"/>
      <c r="AJ192" s="48"/>
      <c r="AK192" s="48"/>
      <c r="AL192" s="48"/>
      <c r="AM192" s="48"/>
      <c r="AN192" s="48"/>
      <c r="AO192" s="48"/>
      <c r="AP192" s="48"/>
      <c r="AQ192" s="48"/>
    </row>
    <row r="193" spans="1:43" ht="20" customHeight="1" x14ac:dyDescent="0.45">
      <c r="A193" s="26">
        <v>183</v>
      </c>
      <c r="B193" s="16" t="s">
        <v>533</v>
      </c>
      <c r="C193" s="16" t="s">
        <v>232</v>
      </c>
      <c r="D193" s="46">
        <v>29</v>
      </c>
      <c r="E193" s="46">
        <v>0</v>
      </c>
      <c r="F193" s="13">
        <v>0.39522263324892448</v>
      </c>
      <c r="G193" s="13">
        <v>0.3310906006171544</v>
      </c>
      <c r="H193" s="13">
        <v>-4.4072267177130579E-4</v>
      </c>
      <c r="I193" s="13">
        <v>0.16849860280631121</v>
      </c>
      <c r="J193" s="13">
        <v>0.1047474406558386</v>
      </c>
      <c r="K193" s="13">
        <v>12.67090163934426</v>
      </c>
      <c r="L193" s="13">
        <v>1.290003030024554</v>
      </c>
      <c r="M193" s="13">
        <v>-0.58308891732624446</v>
      </c>
      <c r="N193" s="19">
        <f>(F193-Settings!$D$18)/Settings!$E$18</f>
        <v>0.72616709900274035</v>
      </c>
      <c r="O193" s="19">
        <f>(G193-Settings!$D$19)/Settings!$E$19</f>
        <v>1.4070366285525941</v>
      </c>
      <c r="P193" s="19">
        <f>(H193-Settings!$D$20)/Settings!$E$20</f>
        <v>-0.48533564293135811</v>
      </c>
      <c r="Q193" s="19">
        <f>(I193-Settings!$D$21)/Settings!$E$21</f>
        <v>2.1082882640458958</v>
      </c>
      <c r="R193" s="19">
        <f>(J193-Settings!$D$22)/Settings!$E$22</f>
        <v>-0.385054386236935</v>
      </c>
      <c r="S193" s="19">
        <f>(K193-Settings!$D$23)/Settings!$E$23</f>
        <v>-0.89747140871956732</v>
      </c>
      <c r="T193" s="19">
        <f>(L193-Settings!$D$24)/Settings!$E$24</f>
        <v>-1.2627516108373996E-2</v>
      </c>
      <c r="U193" s="19">
        <f>(M193-Settings!$D$25)/Settings!$E$25</f>
        <v>-0.35727140198436197</v>
      </c>
      <c r="V193" s="31">
        <f>Settings!$B$18*(N193-F$6)^2</f>
        <v>5.7637001118600117E-6</v>
      </c>
      <c r="W193" s="31">
        <f>Settings!$B$19*(O193-G$6)^2</f>
        <v>0.43556505844731941</v>
      </c>
      <c r="X193" s="31">
        <f>Settings!$B$20*(P193-H$6)^2</f>
        <v>7.2292296445444881E-2</v>
      </c>
      <c r="Y193" s="31">
        <f>Settings!$B$21*(Q193-I$6)^2</f>
        <v>0.56348333483699753</v>
      </c>
      <c r="Z193" s="31">
        <f>Settings!$B$22*(R193-J$6)^2</f>
        <v>0.20958587605608089</v>
      </c>
      <c r="AA193" s="31">
        <f>Settings!$B$23*(S193-K$6)^2</f>
        <v>4.1785511919984843</v>
      </c>
      <c r="AB193" s="31">
        <f>Settings!$B$24*(T193-L$6)^2</f>
        <v>0.16524548103681061</v>
      </c>
      <c r="AC193" s="31">
        <f>Settings!$B$25*(U193-M$6)^2</f>
        <v>4.3784855838247703</v>
      </c>
      <c r="AD193" s="19">
        <f t="shared" si="8"/>
        <v>3.1627858900573749</v>
      </c>
      <c r="AE193" s="15">
        <f t="shared" si="9"/>
        <v>1.2518879953026201</v>
      </c>
      <c r="AF193" s="33">
        <f t="shared" si="10"/>
        <v>0.45675333763636627</v>
      </c>
      <c r="AG193" s="47">
        <f t="shared" si="11"/>
        <v>2.6927807777828616E-3</v>
      </c>
      <c r="AH193" s="48"/>
      <c r="AI193" s="48"/>
      <c r="AJ193" s="48"/>
      <c r="AK193" s="48"/>
      <c r="AL193" s="48"/>
      <c r="AM193" s="48"/>
      <c r="AN193" s="48"/>
      <c r="AO193" s="48"/>
      <c r="AP193" s="48"/>
      <c r="AQ193" s="48"/>
    </row>
    <row r="194" spans="1:43" ht="20" customHeight="1" x14ac:dyDescent="0.45">
      <c r="A194" s="26">
        <v>184</v>
      </c>
      <c r="B194" s="16" t="s">
        <v>435</v>
      </c>
      <c r="C194" s="16" t="s">
        <v>236</v>
      </c>
      <c r="D194" s="46">
        <v>29</v>
      </c>
      <c r="E194" s="46">
        <v>0</v>
      </c>
      <c r="F194" s="13">
        <v>0.19320078513453789</v>
      </c>
      <c r="G194" s="13">
        <v>0.39346665247129547</v>
      </c>
      <c r="H194" s="13">
        <v>-5.264321930665717E-4</v>
      </c>
      <c r="I194" s="13">
        <v>0.16207646418557969</v>
      </c>
      <c r="J194" s="13">
        <v>-0.25072966601552049</v>
      </c>
      <c r="K194" s="13">
        <v>15.5798122065728</v>
      </c>
      <c r="L194" s="13">
        <v>1.297827341457765</v>
      </c>
      <c r="M194" s="13">
        <v>0.18632689835976829</v>
      </c>
      <c r="N194" s="19">
        <f>(F194-Settings!$D$18)/Settings!$E$18</f>
        <v>3.1434983096064201E-3</v>
      </c>
      <c r="O194" s="19">
        <f>(G194-Settings!$D$19)/Settings!$E$19</f>
        <v>1.6669032107971293</v>
      </c>
      <c r="P194" s="19">
        <f>(H194-Settings!$D$20)/Settings!$E$20</f>
        <v>-0.48611218767607739</v>
      </c>
      <c r="Q194" s="19">
        <f>(I194-Settings!$D$21)/Settings!$E$21</f>
        <v>2.029313250329329</v>
      </c>
      <c r="R194" s="19">
        <f>(J194-Settings!$D$22)/Settings!$E$22</f>
        <v>-1.3414822778063176</v>
      </c>
      <c r="S194" s="19">
        <f>(K194-Settings!$D$23)/Settings!$E$23</f>
        <v>0.11272632275817672</v>
      </c>
      <c r="T194" s="19">
        <f>(L194-Settings!$D$24)/Settings!$E$24</f>
        <v>-7.2181416374151241E-3</v>
      </c>
      <c r="U194" s="19">
        <f>(M194-Settings!$D$25)/Settings!$E$25</f>
        <v>0.16163119348502991</v>
      </c>
      <c r="V194" s="31">
        <f>Settings!$B$18*(N194-F$6)^2</f>
        <v>0.10300582998153363</v>
      </c>
      <c r="W194" s="31">
        <f>Settings!$B$19*(O194-G$6)^2</f>
        <v>0.60246998031290966</v>
      </c>
      <c r="X194" s="31">
        <f>Settings!$B$20*(P194-H$6)^2</f>
        <v>7.2479165707471649E-2</v>
      </c>
      <c r="Y194" s="31">
        <f>Settings!$B$21*(Q194-I$6)^2</f>
        <v>0.51170640904659093</v>
      </c>
      <c r="Z194" s="31">
        <f>Settings!$B$22*(R194-J$6)^2</f>
        <v>0.78416879410434559</v>
      </c>
      <c r="AA194" s="31">
        <f>Settings!$B$23*(S194-K$6)^2</f>
        <v>1.0690582897751919</v>
      </c>
      <c r="AB194" s="31">
        <f>Settings!$B$24*(T194-L$6)^2</f>
        <v>0.16087687792826375</v>
      </c>
      <c r="AC194" s="31">
        <f>Settings!$B$25*(U194-M$6)^2</f>
        <v>6.8193353254300799</v>
      </c>
      <c r="AD194" s="19">
        <f t="shared" si="8"/>
        <v>3.181682050784834</v>
      </c>
      <c r="AE194" s="15">
        <f t="shared" si="9"/>
        <v>1.2593674382982336</v>
      </c>
      <c r="AF194" s="33">
        <f t="shared" si="10"/>
        <v>0.4524838657300983</v>
      </c>
      <c r="AG194" s="47">
        <f t="shared" si="11"/>
        <v>2.6676101858393491E-3</v>
      </c>
      <c r="AH194" s="18">
        <v>-0.29712984464124959</v>
      </c>
      <c r="AI194" s="46">
        <v>1</v>
      </c>
      <c r="AJ194" s="18">
        <v>-0.69459827413594966</v>
      </c>
      <c r="AK194" s="46">
        <v>1</v>
      </c>
      <c r="AL194" s="18">
        <v>0.12101188244561641</v>
      </c>
      <c r="AM194" s="46">
        <v>1</v>
      </c>
      <c r="AN194" s="18">
        <v>-0.61572143211751551</v>
      </c>
      <c r="AO194" s="46">
        <v>1</v>
      </c>
      <c r="AP194" s="48"/>
      <c r="AQ194" s="48"/>
    </row>
    <row r="195" spans="1:43" ht="20" customHeight="1" x14ac:dyDescent="0.45">
      <c r="A195" s="26">
        <v>185</v>
      </c>
      <c r="B195" s="16" t="s">
        <v>320</v>
      </c>
      <c r="C195" s="16" t="s">
        <v>236</v>
      </c>
      <c r="D195" s="46">
        <v>29</v>
      </c>
      <c r="E195" s="46">
        <v>0</v>
      </c>
      <c r="F195" s="13">
        <v>-6.2397094867821967E-2</v>
      </c>
      <c r="G195" s="13">
        <v>1.6669622767101849E-2</v>
      </c>
      <c r="H195" s="13">
        <v>2.573596320030655E-2</v>
      </c>
      <c r="I195" s="13">
        <v>-0.18175587558101911</v>
      </c>
      <c r="J195" s="13">
        <v>0.71344144358375039</v>
      </c>
      <c r="K195" s="13">
        <v>15.849227373068411</v>
      </c>
      <c r="L195" s="13">
        <v>0.69107492207042642</v>
      </c>
      <c r="M195" s="13">
        <v>0.1229389093642984</v>
      </c>
      <c r="N195" s="19">
        <f>(F195-Settings!$D$18)/Settings!$E$18</f>
        <v>-0.91162538066926768</v>
      </c>
      <c r="O195" s="19">
        <f>(G195-Settings!$D$19)/Settings!$E$19</f>
        <v>9.7118759897792423E-2</v>
      </c>
      <c r="P195" s="19">
        <f>(H195-Settings!$D$20)/Settings!$E$20</f>
        <v>-0.24816983520153829</v>
      </c>
      <c r="Q195" s="19">
        <f>(I195-Settings!$D$21)/Settings!$E$21</f>
        <v>-2.1988987757407994</v>
      </c>
      <c r="R195" s="19">
        <f>(J195-Settings!$D$22)/Settings!$E$22</f>
        <v>1.252665486310278</v>
      </c>
      <c r="S195" s="19">
        <f>(K195-Settings!$D$23)/Settings!$E$23</f>
        <v>0.206288013201918</v>
      </c>
      <c r="T195" s="19">
        <f>(L195-Settings!$D$24)/Settings!$E$24</f>
        <v>-0.42669927753583942</v>
      </c>
      <c r="U195" s="19">
        <f>(M195-Settings!$D$25)/Settings!$E$25</f>
        <v>0.11888162772258475</v>
      </c>
      <c r="V195" s="31">
        <f>Settings!$B$18*(N195-F$6)^2</f>
        <v>0.53296174925336215</v>
      </c>
      <c r="W195" s="31">
        <f>Settings!$B$19*(O195-G$6)^2</f>
        <v>5.4997721580807638E-3</v>
      </c>
      <c r="X195" s="31">
        <f>Settings!$B$20*(P195-H$6)^2</f>
        <v>2.6506605814618368E-2</v>
      </c>
      <c r="Y195" s="31">
        <f>Settings!$B$21*(Q195-I$6)^2</f>
        <v>1.3819820640967633</v>
      </c>
      <c r="Z195" s="31">
        <f>Settings!$B$22*(R195-J$6)^2</f>
        <v>7.5407956759340589E-2</v>
      </c>
      <c r="AA195" s="31">
        <f>Settings!$B$23*(S195-K$6)^2</f>
        <v>0.88433534538687009</v>
      </c>
      <c r="AB195" s="31">
        <f>Settings!$B$24*(T195-L$6)^2</f>
        <v>0.67334453789332205</v>
      </c>
      <c r="AC195" s="31">
        <f>Settings!$B$25*(U195-M$6)^2</f>
        <v>6.5978916405371972</v>
      </c>
      <c r="AD195" s="19">
        <f t="shared" si="8"/>
        <v>3.1902867695396218</v>
      </c>
      <c r="AE195" s="15">
        <f t="shared" si="9"/>
        <v>1.2627733419814193</v>
      </c>
      <c r="AF195" s="33">
        <f t="shared" si="10"/>
        <v>0.45054457707389978</v>
      </c>
      <c r="AG195" s="47">
        <f t="shared" si="11"/>
        <v>2.656177145759101E-3</v>
      </c>
      <c r="AH195" s="18">
        <v>0.7101902559653237</v>
      </c>
      <c r="AI195" s="46">
        <v>1</v>
      </c>
      <c r="AJ195" s="18">
        <v>0.7153654337823383</v>
      </c>
      <c r="AK195" s="46">
        <v>1</v>
      </c>
      <c r="AL195" s="18">
        <v>-0.34144451111867302</v>
      </c>
      <c r="AM195" s="46">
        <v>1</v>
      </c>
      <c r="AN195" s="18">
        <v>-0.79879139130028143</v>
      </c>
      <c r="AO195" s="46">
        <v>1</v>
      </c>
      <c r="AP195" s="18">
        <v>-0.55094747305613656</v>
      </c>
      <c r="AQ195" s="46">
        <v>1</v>
      </c>
    </row>
    <row r="196" spans="1:43" ht="20" customHeight="1" x14ac:dyDescent="0.45">
      <c r="A196" s="26">
        <v>186</v>
      </c>
      <c r="B196" s="16" t="s">
        <v>222</v>
      </c>
      <c r="C196" s="16" t="s">
        <v>227</v>
      </c>
      <c r="D196" s="46">
        <v>29</v>
      </c>
      <c r="E196" s="46">
        <v>0</v>
      </c>
      <c r="F196" s="13">
        <v>0.32739722779989361</v>
      </c>
      <c r="G196" s="13">
        <v>2.1183906475156989E-2</v>
      </c>
      <c r="H196" s="13">
        <v>0.15104163972160589</v>
      </c>
      <c r="I196" s="13">
        <v>-1.7351336439584419E-2</v>
      </c>
      <c r="J196" s="13">
        <v>0.48302588956375919</v>
      </c>
      <c r="K196" s="13">
        <v>17.47805164319254</v>
      </c>
      <c r="L196" s="13">
        <v>2.234710490500333</v>
      </c>
      <c r="M196" s="13">
        <v>0.95615119826269712</v>
      </c>
      <c r="N196" s="19">
        <f>(F196-Settings!$D$18)/Settings!$E$18</f>
        <v>0.48342420102438166</v>
      </c>
      <c r="O196" s="19">
        <f>(G196-Settings!$D$19)/Settings!$E$19</f>
        <v>0.1159258411994057</v>
      </c>
      <c r="P196" s="19">
        <f>(H196-Settings!$D$20)/Settings!$E$20</f>
        <v>0.88712369013374159</v>
      </c>
      <c r="Q196" s="19">
        <f>(I196-Settings!$D$21)/Settings!$E$21</f>
        <v>-0.17716559610386876</v>
      </c>
      <c r="R196" s="19">
        <f>(J196-Settings!$D$22)/Settings!$E$22</f>
        <v>0.63272159012044471</v>
      </c>
      <c r="S196" s="19">
        <f>(K196-Settings!$D$23)/Settings!$E$23</f>
        <v>0.77194121725451714</v>
      </c>
      <c r="T196" s="19">
        <f>(L196-Settings!$D$24)/Settings!$E$24</f>
        <v>0.64050042528861595</v>
      </c>
      <c r="U196" s="19">
        <f>(M196-Settings!$D$25)/Settings!$E$25</f>
        <v>0.68080927525980417</v>
      </c>
      <c r="V196" s="31">
        <f>Settings!$B$18*(N196-F$6)^2</f>
        <v>1.12693412294773E-2</v>
      </c>
      <c r="W196" s="31">
        <f>Settings!$B$19*(O196-G$6)^2</f>
        <v>6.8180082210409698E-3</v>
      </c>
      <c r="X196" s="31">
        <f>Settings!$B$20*(P196-H$6)^2</f>
        <v>0.11896304959452167</v>
      </c>
      <c r="Y196" s="31">
        <f>Settings!$B$21*(Q196-I$6)^2</f>
        <v>7.3674661731090205E-2</v>
      </c>
      <c r="Z196" s="31">
        <f>Settings!$B$22*(R196-J$6)^2</f>
        <v>6.9814662834133264E-6</v>
      </c>
      <c r="AA196" s="31">
        <f>Settings!$B$23*(S196-K$6)^2</f>
        <v>0.14042846054414804</v>
      </c>
      <c r="AB196" s="31">
        <f>Settings!$B$24*(T196-L$6)^2</f>
        <v>6.0823381198156161E-2</v>
      </c>
      <c r="AC196" s="31">
        <f>Settings!$B$25*(U196-M$6)^2</f>
        <v>9.8004296532178454</v>
      </c>
      <c r="AD196" s="19">
        <f t="shared" si="8"/>
        <v>3.1956867082369893</v>
      </c>
      <c r="AE196" s="15">
        <f t="shared" si="9"/>
        <v>1.264910735616523</v>
      </c>
      <c r="AF196" s="33">
        <f t="shared" si="10"/>
        <v>0.44932915079593611</v>
      </c>
      <c r="AG196" s="47">
        <f t="shared" si="11"/>
        <v>2.6490116228205071E-3</v>
      </c>
      <c r="AH196" s="18">
        <v>-1.0402919636069681</v>
      </c>
      <c r="AI196" s="46">
        <v>0</v>
      </c>
      <c r="AJ196" s="48"/>
      <c r="AK196" s="48"/>
      <c r="AL196" s="48"/>
      <c r="AM196" s="48"/>
      <c r="AN196" s="18">
        <v>0.64765509826484213</v>
      </c>
      <c r="AO196" s="46">
        <v>1</v>
      </c>
      <c r="AP196" s="48"/>
      <c r="AQ196" s="48"/>
    </row>
    <row r="197" spans="1:43" ht="20" customHeight="1" x14ac:dyDescent="0.45">
      <c r="A197" s="26">
        <v>187</v>
      </c>
      <c r="B197" s="16" t="s">
        <v>578</v>
      </c>
      <c r="C197" s="16" t="s">
        <v>216</v>
      </c>
      <c r="D197" s="46">
        <v>29</v>
      </c>
      <c r="E197" s="46">
        <v>1</v>
      </c>
      <c r="F197" s="13">
        <v>-0.19265315512663461</v>
      </c>
      <c r="G197" s="13">
        <v>0.26796010009534538</v>
      </c>
      <c r="H197" s="13">
        <v>1.794540135220291E-4</v>
      </c>
      <c r="I197" s="13">
        <v>-0.18995256460965371</v>
      </c>
      <c r="J197" s="13">
        <v>0.34925472615484432</v>
      </c>
      <c r="K197" s="13">
        <v>12.437878787878789</v>
      </c>
      <c r="L197" s="13">
        <v>0.5754709621867522</v>
      </c>
      <c r="M197" s="13">
        <v>-1.4998766715115459</v>
      </c>
      <c r="N197" s="19">
        <f>(F197-Settings!$D$18)/Settings!$E$18</f>
        <v>-1.3778037003879546</v>
      </c>
      <c r="O197" s="19">
        <f>(G197-Settings!$D$19)/Settings!$E$19</f>
        <v>1.1440269169993258</v>
      </c>
      <c r="P197" s="19">
        <f>(H197-Settings!$D$20)/Settings!$E$20</f>
        <v>-0.47971672290375883</v>
      </c>
      <c r="Q197" s="19">
        <f>(I197-Settings!$D$21)/Settings!$E$21</f>
        <v>-2.2996959815776794</v>
      </c>
      <c r="R197" s="19">
        <f>(J197-Settings!$D$22)/Settings!$E$22</f>
        <v>0.27280397694414682</v>
      </c>
      <c r="S197" s="19">
        <f>(K197-Settings!$D$23)/Settings!$E$23</f>
        <v>-0.97839488522134577</v>
      </c>
      <c r="T197" s="19">
        <f>(L197-Settings!$D$24)/Settings!$E$24</f>
        <v>-0.50662261835304701</v>
      </c>
      <c r="U197" s="19">
        <f>(M197-Settings!$D$25)/Settings!$E$25</f>
        <v>-0.975563274133041</v>
      </c>
      <c r="V197" s="31">
        <f>Settings!$B$18*(N197-F$6)^2</f>
        <v>0.88082650137428331</v>
      </c>
      <c r="W197" s="31">
        <f>Settings!$B$19*(O197-G$6)^2</f>
        <v>0.29414570257830436</v>
      </c>
      <c r="X197" s="31">
        <f>Settings!$B$20*(P197-H$6)^2</f>
        <v>7.0947335546552401E-2</v>
      </c>
      <c r="Y197" s="31">
        <f>Settings!$B$21*(Q197-I$6)^2</f>
        <v>1.4899991492371345</v>
      </c>
      <c r="Z197" s="31">
        <f>Settings!$B$22*(R197-J$6)^2</f>
        <v>2.6765711360757047E-2</v>
      </c>
      <c r="AA197" s="31">
        <f>Settings!$B$23*(S197-K$6)^2</f>
        <v>4.5159393279980158</v>
      </c>
      <c r="AB197" s="31">
        <f>Settings!$B$24*(T197-L$6)^2</f>
        <v>0.81089858666977055</v>
      </c>
      <c r="AC197" s="31">
        <f>Settings!$B$25*(U197-M$6)^2</f>
        <v>2.1732398185724331</v>
      </c>
      <c r="AD197" s="19">
        <f t="shared" si="8"/>
        <v>3.2035546090768068</v>
      </c>
      <c r="AE197" s="15">
        <f t="shared" si="9"/>
        <v>1.2680249934107553</v>
      </c>
      <c r="AF197" s="33">
        <f t="shared" si="10"/>
        <v>0.44756043864725614</v>
      </c>
      <c r="AG197" s="47">
        <f t="shared" si="11"/>
        <v>2.6385842133569157E-3</v>
      </c>
      <c r="AH197" s="18">
        <v>7.516486522482646E-2</v>
      </c>
      <c r="AI197" s="46">
        <v>1</v>
      </c>
      <c r="AJ197" s="48"/>
      <c r="AK197" s="48"/>
      <c r="AL197" s="48"/>
      <c r="AM197" s="48"/>
      <c r="AN197" s="48"/>
      <c r="AO197" s="48"/>
      <c r="AP197" s="48"/>
      <c r="AQ197" s="48"/>
    </row>
    <row r="198" spans="1:43" ht="20" customHeight="1" x14ac:dyDescent="0.45">
      <c r="A198" s="26">
        <v>188</v>
      </c>
      <c r="B198" s="16" t="s">
        <v>314</v>
      </c>
      <c r="C198" s="16" t="s">
        <v>234</v>
      </c>
      <c r="D198" s="46">
        <v>29</v>
      </c>
      <c r="E198" s="46">
        <v>1</v>
      </c>
      <c r="F198" s="13">
        <v>0.26973662799148479</v>
      </c>
      <c r="G198" s="13">
        <v>-7.2460496836380756E-2</v>
      </c>
      <c r="H198" s="13">
        <v>-0.25565446351918142</v>
      </c>
      <c r="I198" s="13">
        <v>-7.9616659387850945E-3</v>
      </c>
      <c r="J198" s="13">
        <v>0.39418674571416779</v>
      </c>
      <c r="K198" s="13">
        <v>15.94449152542373</v>
      </c>
      <c r="L198" s="13">
        <v>0.65810887581667088</v>
      </c>
      <c r="M198" s="13">
        <v>0.2279136173363262</v>
      </c>
      <c r="N198" s="19">
        <f>(F198-Settings!$D$18)/Settings!$E$18</f>
        <v>0.27706050877661881</v>
      </c>
      <c r="O198" s="19">
        <f>(G198-Settings!$D$19)/Settings!$E$19</f>
        <v>-0.27420867856472997</v>
      </c>
      <c r="P198" s="19">
        <f>(H198-Settings!$D$20)/Settings!$E$20</f>
        <v>-2.797621212144263</v>
      </c>
      <c r="Q198" s="19">
        <f>(I198-Settings!$D$21)/Settings!$E$21</f>
        <v>-6.1697930208142002E-2</v>
      </c>
      <c r="R198" s="19">
        <f>(J198-Settings!$D$22)/Settings!$E$22</f>
        <v>0.39369569099426699</v>
      </c>
      <c r="S198" s="19">
        <f>(K198-Settings!$D$23)/Settings!$E$23</f>
        <v>0.23937106212225057</v>
      </c>
      <c r="T198" s="19">
        <f>(L198-Settings!$D$24)/Settings!$E$24</f>
        <v>-0.44949050850047023</v>
      </c>
      <c r="U198" s="19">
        <f>(M198-Settings!$D$25)/Settings!$E$25</f>
        <v>0.18967773993501655</v>
      </c>
      <c r="V198" s="31">
        <f>Settings!$B$18*(N198-F$6)^2</f>
        <v>3.9380736428609522E-2</v>
      </c>
      <c r="W198" s="31">
        <f>Settings!$B$19*(O198-G$6)^2</f>
        <v>8.44601990056487E-3</v>
      </c>
      <c r="X198" s="31">
        <f>Settings!$B$20*(P198-H$6)^2</f>
        <v>1.6976990575844604</v>
      </c>
      <c r="Y198" s="31">
        <f>Settings!$B$21*(Q198-I$6)^2</f>
        <v>4.8308548677410246E-2</v>
      </c>
      <c r="Z198" s="31">
        <f>Settings!$B$22*(R198-J$6)^2</f>
        <v>1.1998546763232787E-2</v>
      </c>
      <c r="AA198" s="31">
        <f>Settings!$B$23*(S198-K$6)^2</f>
        <v>0.8232078266402868</v>
      </c>
      <c r="AB198" s="31">
        <f>Settings!$B$24*(T198-L$6)^2</f>
        <v>0.71126784033131907</v>
      </c>
      <c r="AC198" s="31">
        <f>Settings!$B$25*(U198-M$6)^2</f>
        <v>6.9666026354162094</v>
      </c>
      <c r="AD198" s="19">
        <f t="shared" si="8"/>
        <v>3.2104378535866558</v>
      </c>
      <c r="AE198" s="15">
        <f t="shared" si="9"/>
        <v>1.2707495063781684</v>
      </c>
      <c r="AF198" s="33">
        <f t="shared" si="10"/>
        <v>0.44601524141034532</v>
      </c>
      <c r="AG198" s="47">
        <f t="shared" si="11"/>
        <v>2.6294745318842664E-3</v>
      </c>
      <c r="AH198" s="18">
        <v>-0.36374290488128858</v>
      </c>
      <c r="AI198" s="46">
        <v>1</v>
      </c>
      <c r="AJ198" s="18">
        <v>-0.14425088056084329</v>
      </c>
      <c r="AK198" s="46">
        <v>1</v>
      </c>
      <c r="AL198" s="18">
        <v>1.3361089411193889</v>
      </c>
      <c r="AM198" s="46">
        <v>1</v>
      </c>
      <c r="AN198" s="18">
        <v>0.35052776212775799</v>
      </c>
      <c r="AO198" s="46">
        <v>1</v>
      </c>
      <c r="AP198" s="18">
        <v>-1.1253652710476081</v>
      </c>
      <c r="AQ198" s="46">
        <v>1</v>
      </c>
    </row>
    <row r="199" spans="1:43" ht="20" customHeight="1" x14ac:dyDescent="0.45">
      <c r="A199" s="26">
        <v>189</v>
      </c>
      <c r="B199" s="16" t="s">
        <v>415</v>
      </c>
      <c r="C199" s="16" t="s">
        <v>232</v>
      </c>
      <c r="D199" s="46">
        <v>29</v>
      </c>
      <c r="E199" s="46">
        <v>0</v>
      </c>
      <c r="F199" s="13">
        <v>0.26803694815986617</v>
      </c>
      <c r="G199" s="13">
        <v>-3.3444907602695563E-2</v>
      </c>
      <c r="H199" s="13">
        <v>0.14775570762502771</v>
      </c>
      <c r="I199" s="13">
        <v>-9.5762970345136876E-4</v>
      </c>
      <c r="J199" s="13">
        <v>0.54980480690895916</v>
      </c>
      <c r="K199" s="13">
        <v>18.767063492063489</v>
      </c>
      <c r="L199" s="13">
        <v>4.4837038391249742</v>
      </c>
      <c r="M199" s="13">
        <v>0.20533560672795931</v>
      </c>
      <c r="N199" s="19">
        <f>(F199-Settings!$D$18)/Settings!$E$18</f>
        <v>0.27097746061448846</v>
      </c>
      <c r="O199" s="19">
        <f>(G199-Settings!$D$19)/Settings!$E$19</f>
        <v>-0.1116647610349232</v>
      </c>
      <c r="P199" s="19">
        <f>(H199-Settings!$D$20)/Settings!$E$20</f>
        <v>0.85735251346001373</v>
      </c>
      <c r="Q199" s="19">
        <f>(I199-Settings!$D$21)/Settings!$E$21</f>
        <v>2.4432857434963467E-2</v>
      </c>
      <c r="R199" s="19">
        <f>(J199-Settings!$D$22)/Settings!$E$22</f>
        <v>0.81239341122819098</v>
      </c>
      <c r="S199" s="19">
        <f>(K199-Settings!$D$23)/Settings!$E$23</f>
        <v>1.2195853835095125</v>
      </c>
      <c r="T199" s="19">
        <f>(L199-Settings!$D$24)/Settings!$E$24</f>
        <v>2.195352543491397</v>
      </c>
      <c r="U199" s="19">
        <f>(M199-Settings!$D$25)/Settings!$E$25</f>
        <v>0.17445087811807919</v>
      </c>
      <c r="V199" s="31">
        <f>Settings!$B$18*(N199-F$6)^2</f>
        <v>4.0467849712638317E-2</v>
      </c>
      <c r="W199" s="31">
        <f>Settings!$B$19*(O199-G$6)^2</f>
        <v>3.6903871251234754E-4</v>
      </c>
      <c r="X199" s="31">
        <f>Settings!$B$20*(P199-H$6)^2</f>
        <v>0.10995599353407007</v>
      </c>
      <c r="Y199" s="31">
        <f>Settings!$B$21*(Q199-I$6)^2</f>
        <v>3.2859972526065415E-2</v>
      </c>
      <c r="Z199" s="31">
        <f>Settings!$B$22*(R199-J$6)^2</f>
        <v>6.0387562384778106E-3</v>
      </c>
      <c r="AA199" s="31">
        <f>Settings!$B$23*(S199-K$6)^2</f>
        <v>5.3153301091083344E-3</v>
      </c>
      <c r="AB199" s="31">
        <f>Settings!$B$24*(T199-L$6)^2</f>
        <v>3.2453160862831645</v>
      </c>
      <c r="AC199" s="31">
        <f>Settings!$B$25*(U199-M$6)^2</f>
        <v>6.8864539522543504</v>
      </c>
      <c r="AD199" s="19">
        <f t="shared" si="8"/>
        <v>3.2135302984988932</v>
      </c>
      <c r="AE199" s="15">
        <f t="shared" si="9"/>
        <v>1.2719735521391966</v>
      </c>
      <c r="AF199" s="33">
        <f t="shared" si="10"/>
        <v>0.4453216901933702</v>
      </c>
      <c r="AG199" s="47">
        <f t="shared" si="11"/>
        <v>2.6253857136281306E-3</v>
      </c>
      <c r="AH199" s="18">
        <v>0.33541604755708843</v>
      </c>
      <c r="AI199" s="46">
        <v>0</v>
      </c>
      <c r="AJ199" s="18">
        <v>-0.90861391392200641</v>
      </c>
      <c r="AK199" s="46">
        <v>0</v>
      </c>
      <c r="AL199" s="18">
        <v>-1.992306657512884</v>
      </c>
      <c r="AM199" s="46">
        <v>1</v>
      </c>
      <c r="AN199" s="18">
        <v>0.94755089583691787</v>
      </c>
      <c r="AO199" s="46">
        <v>1</v>
      </c>
      <c r="AP199" s="18">
        <v>0.47875457381165809</v>
      </c>
      <c r="AQ199" s="46">
        <v>1</v>
      </c>
    </row>
    <row r="200" spans="1:43" ht="20" customHeight="1" x14ac:dyDescent="0.45">
      <c r="A200" s="26">
        <v>190</v>
      </c>
      <c r="B200" s="16" t="s">
        <v>654</v>
      </c>
      <c r="C200" s="16" t="s">
        <v>220</v>
      </c>
      <c r="D200" s="46">
        <v>29</v>
      </c>
      <c r="E200" s="46">
        <v>1</v>
      </c>
      <c r="F200" s="13">
        <v>4.9756565540836462E-2</v>
      </c>
      <c r="G200" s="13">
        <v>0.38888490257817893</v>
      </c>
      <c r="H200" s="13">
        <v>-9.0933470784793438E-4</v>
      </c>
      <c r="I200" s="13">
        <v>-8.056762321679449E-2</v>
      </c>
      <c r="J200" s="13">
        <v>0.47988157395634229</v>
      </c>
      <c r="K200" s="13">
        <v>14.550350877192979</v>
      </c>
      <c r="L200" s="13">
        <v>1.6217507069768009</v>
      </c>
      <c r="M200" s="13">
        <v>0.25404329128149272</v>
      </c>
      <c r="N200" s="19">
        <f>(F200-Settings!$D$18)/Settings!$E$18</f>
        <v>-0.51023442154058252</v>
      </c>
      <c r="O200" s="19">
        <f>(G200-Settings!$D$19)/Settings!$E$19</f>
        <v>1.6478150567695606</v>
      </c>
      <c r="P200" s="19">
        <f>(H200-Settings!$D$20)/Settings!$E$20</f>
        <v>-0.48958135809144954</v>
      </c>
      <c r="Q200" s="19">
        <f>(I200-Settings!$D$21)/Settings!$E$21</f>
        <v>-0.95455571646410442</v>
      </c>
      <c r="R200" s="19">
        <f>(J200-Settings!$D$22)/Settings!$E$22</f>
        <v>0.62426166094247171</v>
      </c>
      <c r="S200" s="19">
        <f>(K200-Settings!$D$23)/Settings!$E$23</f>
        <v>-0.24478191805872032</v>
      </c>
      <c r="T200" s="19">
        <f>(L200-Settings!$D$24)/Settings!$E$24</f>
        <v>0.2167277990300629</v>
      </c>
      <c r="U200" s="19">
        <f>(M200-Settings!$D$25)/Settings!$E$25</f>
        <v>0.20729988306295166</v>
      </c>
      <c r="V200" s="31">
        <f>Settings!$B$18*(N200-F$6)^2</f>
        <v>0.30308856463570844</v>
      </c>
      <c r="W200" s="31">
        <f>Settings!$B$19*(O200-G$6)^2</f>
        <v>0.58929099821142772</v>
      </c>
      <c r="X200" s="31">
        <f>Settings!$B$20*(P200-H$6)^2</f>
        <v>7.3316939554108881E-2</v>
      </c>
      <c r="Y200" s="31">
        <f>Settings!$B$21*(Q200-I$6)^2</f>
        <v>0.38327267409429183</v>
      </c>
      <c r="Z200" s="31">
        <f>Settings!$B$22*(R200-J$6)^2</f>
        <v>4.1288872435721812E-5</v>
      </c>
      <c r="AA200" s="31">
        <f>Settings!$B$23*(S200-K$6)^2</f>
        <v>1.9361636896953942</v>
      </c>
      <c r="AB200" s="31">
        <f>Settings!$B$24*(T200-L$6)^2</f>
        <v>3.1381647405748218E-2</v>
      </c>
      <c r="AC200" s="31">
        <f>Settings!$B$25*(U200-M$6)^2</f>
        <v>7.0599380813374388</v>
      </c>
      <c r="AD200" s="19">
        <f t="shared" si="8"/>
        <v>3.2212565690746451</v>
      </c>
      <c r="AE200" s="15">
        <f t="shared" si="9"/>
        <v>1.2750317501072128</v>
      </c>
      <c r="AF200" s="33">
        <f t="shared" si="10"/>
        <v>0.44359070295792596</v>
      </c>
      <c r="AG200" s="47">
        <f t="shared" si="11"/>
        <v>2.6151807106864714E-3</v>
      </c>
      <c r="AH200" s="48"/>
      <c r="AI200" s="48"/>
      <c r="AJ200" s="48"/>
      <c r="AK200" s="48"/>
      <c r="AL200" s="48"/>
      <c r="AM200" s="48"/>
      <c r="AN200" s="48"/>
      <c r="AO200" s="48"/>
      <c r="AP200" s="48"/>
      <c r="AQ200" s="48"/>
    </row>
    <row r="201" spans="1:43" ht="20" customHeight="1" x14ac:dyDescent="0.45">
      <c r="A201" s="26">
        <v>191</v>
      </c>
      <c r="B201" s="16" t="s">
        <v>389</v>
      </c>
      <c r="C201" s="16" t="s">
        <v>234</v>
      </c>
      <c r="D201" s="46">
        <v>29</v>
      </c>
      <c r="E201" s="46">
        <v>1</v>
      </c>
      <c r="F201" s="13">
        <v>0.52374003470422104</v>
      </c>
      <c r="G201" s="13">
        <v>-0.2462587272153941</v>
      </c>
      <c r="H201" s="13">
        <v>0.18733949500894409</v>
      </c>
      <c r="I201" s="13">
        <v>8.074116409177539E-6</v>
      </c>
      <c r="J201" s="13">
        <v>4.2653668955031782E-2</v>
      </c>
      <c r="K201" s="13">
        <v>17.17871621621622</v>
      </c>
      <c r="L201" s="13">
        <v>1.2858136040289001</v>
      </c>
      <c r="M201" s="13">
        <v>0.83801003601525414</v>
      </c>
      <c r="N201" s="19">
        <f>(F201-Settings!$D$18)/Settings!$E$18</f>
        <v>1.1861228672487607</v>
      </c>
      <c r="O201" s="19">
        <f>(G201-Settings!$D$19)/Settings!$E$19</f>
        <v>-0.99827425800143399</v>
      </c>
      <c r="P201" s="19">
        <f>(H201-Settings!$D$20)/Settings!$E$20</f>
        <v>1.2159892390481786</v>
      </c>
      <c r="Q201" s="19">
        <f>(I201-Settings!$D$21)/Settings!$E$21</f>
        <v>3.6308414305291581E-2</v>
      </c>
      <c r="R201" s="19">
        <f>(J201-Settings!$D$22)/Settings!$E$22</f>
        <v>-0.55212060240904437</v>
      </c>
      <c r="S201" s="19">
        <f>(K201-Settings!$D$23)/Settings!$E$23</f>
        <v>0.66798890854861559</v>
      </c>
      <c r="T201" s="19">
        <f>(L201-Settings!$D$24)/Settings!$E$24</f>
        <v>-1.5523895453995342E-2</v>
      </c>
      <c r="U201" s="19">
        <f>(M201-Settings!$D$25)/Settings!$E$25</f>
        <v>0.60113355964261195</v>
      </c>
      <c r="V201" s="31">
        <f>Settings!$B$18*(N201-F$6)^2</f>
        <v>4.3305295195686239E-2</v>
      </c>
      <c r="W201" s="31">
        <f>Settings!$B$19*(O201-G$6)^2</f>
        <v>0.17281829714181207</v>
      </c>
      <c r="X201" s="31">
        <f>Settings!$B$20*(P201-H$6)^2</f>
        <v>0.24204761636635286</v>
      </c>
      <c r="Y201" s="31">
        <f>Settings!$B$21*(Q201-I$6)^2</f>
        <v>3.0962726833648441E-2</v>
      </c>
      <c r="Z201" s="31">
        <f>Settings!$B$22*(R201-J$6)^2</f>
        <v>0.28357731978432338</v>
      </c>
      <c r="AA201" s="31">
        <f>Settings!$B$23*(S201-K$6)^2</f>
        <v>0.22914427356219827</v>
      </c>
      <c r="AB201" s="31">
        <f>Settings!$B$24*(T201-L$6)^2</f>
        <v>0.16760864947967058</v>
      </c>
      <c r="AC201" s="31">
        <f>Settings!$B$25*(U201-M$6)^2</f>
        <v>9.3079180521164613</v>
      </c>
      <c r="AD201" s="19">
        <f t="shared" si="8"/>
        <v>3.2368784701437514</v>
      </c>
      <c r="AE201" s="15">
        <f t="shared" si="9"/>
        <v>1.2812151817690585</v>
      </c>
      <c r="AF201" s="33">
        <f t="shared" si="10"/>
        <v>0.44009873874884947</v>
      </c>
      <c r="AG201" s="47">
        <f t="shared" si="11"/>
        <v>2.5945939008613556E-3</v>
      </c>
      <c r="AH201" s="18">
        <v>0.79545961221263339</v>
      </c>
      <c r="AI201" s="46">
        <v>1</v>
      </c>
      <c r="AJ201" s="18">
        <v>0.42651102535867569</v>
      </c>
      <c r="AK201" s="46">
        <v>1</v>
      </c>
      <c r="AL201" s="18">
        <v>0.36838162575664768</v>
      </c>
      <c r="AM201" s="46">
        <v>1</v>
      </c>
      <c r="AN201" s="18">
        <v>0.1701413481123013</v>
      </c>
      <c r="AO201" s="46">
        <v>1</v>
      </c>
      <c r="AP201" s="18">
        <v>-1.2817973979716859</v>
      </c>
      <c r="AQ201" s="46">
        <v>1</v>
      </c>
    </row>
    <row r="202" spans="1:43" ht="20" customHeight="1" x14ac:dyDescent="0.45">
      <c r="A202" s="26">
        <v>192</v>
      </c>
      <c r="B202" s="16" t="s">
        <v>373</v>
      </c>
      <c r="C202" s="16" t="s">
        <v>229</v>
      </c>
      <c r="D202" s="46">
        <v>29</v>
      </c>
      <c r="E202" s="46">
        <v>1</v>
      </c>
      <c r="F202" s="13">
        <v>0.59413349292348383</v>
      </c>
      <c r="G202" s="13">
        <v>-6.4078844445900465E-2</v>
      </c>
      <c r="H202" s="13">
        <v>0.21155761680262219</v>
      </c>
      <c r="I202" s="13">
        <v>1.3995786688874711E-4</v>
      </c>
      <c r="J202" s="13">
        <v>0.1300900879611048</v>
      </c>
      <c r="K202" s="13">
        <v>16.528787878787899</v>
      </c>
      <c r="L202" s="13">
        <v>2.291801168452603</v>
      </c>
      <c r="M202" s="13">
        <v>0.8362953140642353</v>
      </c>
      <c r="N202" s="19">
        <f>(F202-Settings!$D$18)/Settings!$E$18</f>
        <v>1.4380566660036123</v>
      </c>
      <c r="O202" s="19">
        <f>(G202-Settings!$D$19)/Settings!$E$19</f>
        <v>-0.23928964641166736</v>
      </c>
      <c r="P202" s="19">
        <f>(H202-Settings!$D$20)/Settings!$E$20</f>
        <v>1.4354100795994083</v>
      </c>
      <c r="Q202" s="19">
        <f>(I202-Settings!$D$21)/Settings!$E$21</f>
        <v>3.7930229345143507E-2</v>
      </c>
      <c r="R202" s="19">
        <f>(J202-Settings!$D$22)/Settings!$E$22</f>
        <v>-0.31686880051545896</v>
      </c>
      <c r="S202" s="19">
        <f>(K202-Settings!$D$23)/Settings!$E$23</f>
        <v>0.44228374611087024</v>
      </c>
      <c r="T202" s="19">
        <f>(L202-Settings!$D$24)/Settings!$E$24</f>
        <v>0.67997033372476368</v>
      </c>
      <c r="U202" s="19">
        <f>(M202-Settings!$D$25)/Settings!$E$25</f>
        <v>0.59997713206112446</v>
      </c>
      <c r="V202" s="31">
        <f>Settings!$B$18*(N202-F$6)^2</f>
        <v>0.10289176569812208</v>
      </c>
      <c r="W202" s="31">
        <f>Settings!$B$19*(O202-G$6)^2</f>
        <v>5.8195483334541756E-3</v>
      </c>
      <c r="X202" s="31">
        <f>Settings!$B$20*(P202-H$6)^2</f>
        <v>0.34823138499820522</v>
      </c>
      <c r="Y202" s="31">
        <f>Settings!$B$21*(Q202-I$6)^2</f>
        <v>3.070800279237014E-2</v>
      </c>
      <c r="Z202" s="31">
        <f>Settings!$B$22*(R202-J$6)^2</f>
        <v>0.18259552764890208</v>
      </c>
      <c r="AA202" s="31">
        <f>Settings!$B$23*(S202-K$6)^2</f>
        <v>0.49617277657223985</v>
      </c>
      <c r="AB202" s="31">
        <f>Settings!$B$24*(T202-L$6)^2</f>
        <v>8.1849705677311396E-2</v>
      </c>
      <c r="AC202" s="31">
        <f>Settings!$B$25*(U202-M$6)^2</f>
        <v>9.3008631272030389</v>
      </c>
      <c r="AD202" s="19">
        <f t="shared" si="8"/>
        <v>3.2479427086886314</v>
      </c>
      <c r="AE202" s="15">
        <f t="shared" si="9"/>
        <v>1.2855946079752529</v>
      </c>
      <c r="AF202" s="33">
        <f t="shared" si="10"/>
        <v>0.43763206843594932</v>
      </c>
      <c r="AG202" s="47">
        <f t="shared" si="11"/>
        <v>2.5800516920663906E-3</v>
      </c>
      <c r="AH202" s="48"/>
      <c r="AI202" s="48"/>
      <c r="AJ202" s="48"/>
      <c r="AK202" s="48"/>
      <c r="AL202" s="18">
        <v>1.414667958627909</v>
      </c>
      <c r="AM202" s="46">
        <v>1</v>
      </c>
      <c r="AN202" s="48"/>
      <c r="AO202" s="48"/>
      <c r="AP202" s="48"/>
      <c r="AQ202" s="48"/>
    </row>
    <row r="203" spans="1:43" ht="20" customHeight="1" x14ac:dyDescent="0.45">
      <c r="A203" s="26">
        <v>193</v>
      </c>
      <c r="B203" s="16" t="s">
        <v>333</v>
      </c>
      <c r="C203" s="16" t="s">
        <v>234</v>
      </c>
      <c r="D203" s="46">
        <v>29</v>
      </c>
      <c r="E203" s="46">
        <v>1</v>
      </c>
      <c r="F203" s="13">
        <v>0.43502743723456933</v>
      </c>
      <c r="G203" s="13">
        <v>-0.14311853352810461</v>
      </c>
      <c r="H203" s="13">
        <v>0.12429262651964409</v>
      </c>
      <c r="I203" s="13">
        <v>-3.3947540364106073E-5</v>
      </c>
      <c r="J203" s="13">
        <v>0.29752745517731799</v>
      </c>
      <c r="K203" s="13">
        <v>16.58750000000002</v>
      </c>
      <c r="L203" s="13">
        <v>2.14067832909892</v>
      </c>
      <c r="M203" s="13">
        <v>0.98447036503983654</v>
      </c>
      <c r="N203" s="19">
        <f>(F203-Settings!$D$18)/Settings!$E$18</f>
        <v>0.86862601110164339</v>
      </c>
      <c r="O203" s="19">
        <f>(G203-Settings!$D$19)/Settings!$E$19</f>
        <v>-0.56857906523370016</v>
      </c>
      <c r="P203" s="19">
        <f>(H203-Settings!$D$20)/Settings!$E$20</f>
        <v>0.64477248673767484</v>
      </c>
      <c r="Q203" s="19">
        <f>(I203-Settings!$D$21)/Settings!$E$21</f>
        <v>3.5791661068394778E-2</v>
      </c>
      <c r="R203" s="19">
        <f>(J203-Settings!$D$22)/Settings!$E$22</f>
        <v>0.13362931902894074</v>
      </c>
      <c r="S203" s="19">
        <f>(K203-Settings!$D$23)/Settings!$E$23</f>
        <v>0.46267311535684175</v>
      </c>
      <c r="T203" s="19">
        <f>(L203-Settings!$D$24)/Settings!$E$24</f>
        <v>0.57549084870468148</v>
      </c>
      <c r="U203" s="19">
        <f>(M203-Settings!$D$25)/Settings!$E$25</f>
        <v>0.69990803673910418</v>
      </c>
      <c r="V203" s="31">
        <f>Settings!$B$18*(N203-F$6)^2</f>
        <v>4.3705761324971558E-3</v>
      </c>
      <c r="W203" s="31">
        <f>Settings!$B$19*(O203-G$6)^2</f>
        <v>4.9974007478027764E-2</v>
      </c>
      <c r="X203" s="31">
        <f>Settings!$B$20*(P203-H$6)^2</f>
        <v>5.5945235584370291E-2</v>
      </c>
      <c r="Y203" s="31">
        <f>Settings!$B$21*(Q203-I$6)^2</f>
        <v>3.1044109683776806E-2</v>
      </c>
      <c r="Z203" s="31">
        <f>Settings!$B$22*(R203-J$6)^2</f>
        <v>5.1005103779354494E-2</v>
      </c>
      <c r="AA203" s="31">
        <f>Settings!$B$23*(S203-K$6)^2</f>
        <v>0.46786415011949045</v>
      </c>
      <c r="AB203" s="31">
        <f>Settings!$B$24*(T203-L$6)^2</f>
        <v>3.2983786879352571E-2</v>
      </c>
      <c r="AC203" s="31">
        <f>Settings!$B$25*(U203-M$6)^2</f>
        <v>9.9203741982105278</v>
      </c>
      <c r="AD203" s="19">
        <f t="shared" ref="AD203:AD266" si="12">SQRT(SUM(V203:AC203))</f>
        <v>3.2578460933364237</v>
      </c>
      <c r="AE203" s="15">
        <f t="shared" ref="AE203:AE266" si="13">AD203/Yardstick</f>
        <v>1.2895145471631728</v>
      </c>
      <c r="AF203" s="33">
        <f t="shared" ref="AF203:AF266" si="14">EXP(-(AD203^2)/(2*Yardstick^2))</f>
        <v>0.43542884468542425</v>
      </c>
      <c r="AG203" s="47">
        <f t="shared" ref="AG203:AG266" si="15">AF203/$E$7</f>
        <v>2.5670626275632828E-3</v>
      </c>
      <c r="AH203" s="18">
        <v>0.54937195868615429</v>
      </c>
      <c r="AI203" s="46">
        <v>1</v>
      </c>
      <c r="AJ203" s="18">
        <v>-0.4884074796633322</v>
      </c>
      <c r="AK203" s="46">
        <v>1</v>
      </c>
      <c r="AL203" s="18">
        <v>-0.57110904491999537</v>
      </c>
      <c r="AM203" s="46">
        <v>1</v>
      </c>
      <c r="AN203" s="18">
        <v>0.24174566627914751</v>
      </c>
      <c r="AO203" s="46">
        <v>1</v>
      </c>
      <c r="AP203" s="18">
        <v>9.0213421151823514E-2</v>
      </c>
      <c r="AQ203" s="46">
        <v>1</v>
      </c>
    </row>
    <row r="204" spans="1:43" ht="20" customHeight="1" x14ac:dyDescent="0.45">
      <c r="A204" s="26">
        <v>194</v>
      </c>
      <c r="B204" s="16" t="s">
        <v>365</v>
      </c>
      <c r="C204" s="16" t="s">
        <v>271</v>
      </c>
      <c r="D204" s="46">
        <v>29</v>
      </c>
      <c r="E204" s="46">
        <v>1</v>
      </c>
      <c r="F204" s="13">
        <v>0.52945335648408143</v>
      </c>
      <c r="G204" s="13">
        <v>3.2575884837865131E-2</v>
      </c>
      <c r="H204" s="13">
        <v>-0.1070906991334338</v>
      </c>
      <c r="I204" s="13">
        <v>-3.239459713678348E-6</v>
      </c>
      <c r="J204" s="13">
        <v>0.33087682008490599</v>
      </c>
      <c r="K204" s="13">
        <v>17.22065439672804</v>
      </c>
      <c r="L204" s="13">
        <v>1.521740892360073</v>
      </c>
      <c r="M204" s="13">
        <v>0.99862601880222557</v>
      </c>
      <c r="N204" s="19">
        <f>(F204-Settings!$D$18)/Settings!$E$18</f>
        <v>1.2065704897398402</v>
      </c>
      <c r="O204" s="19">
        <f>(G204-Settings!$D$19)/Settings!$E$19</f>
        <v>0.16338627503775105</v>
      </c>
      <c r="P204" s="19">
        <f>(H204-Settings!$D$20)/Settings!$E$20</f>
        <v>-1.4516049382693432</v>
      </c>
      <c r="Q204" s="19">
        <f>(I204-Settings!$D$21)/Settings!$E$21</f>
        <v>3.6169287780273625E-2</v>
      </c>
      <c r="R204" s="19">
        <f>(J204-Settings!$D$22)/Settings!$E$22</f>
        <v>0.22335735542041121</v>
      </c>
      <c r="S204" s="19">
        <f>(K204-Settings!$D$23)/Settings!$E$23</f>
        <v>0.68255307401063914</v>
      </c>
      <c r="T204" s="19">
        <f>(L204-Settings!$D$24)/Settings!$E$24</f>
        <v>0.14758554381041888</v>
      </c>
      <c r="U204" s="19">
        <f>(M204-Settings!$D$25)/Settings!$E$25</f>
        <v>0.70945476729509171</v>
      </c>
      <c r="V204" s="31">
        <f>Settings!$B$18*(N204-F$6)^2</f>
        <v>4.7194824492246934E-2</v>
      </c>
      <c r="W204" s="31">
        <f>Settings!$B$19*(O204-G$6)^2</f>
        <v>1.0773647492383256E-2</v>
      </c>
      <c r="X204" s="31">
        <f>Settings!$B$20*(P204-H$6)^2</f>
        <v>0.49140244923284526</v>
      </c>
      <c r="Y204" s="31">
        <f>Settings!$B$21*(Q204-I$6)^2</f>
        <v>3.0984627196338401E-2</v>
      </c>
      <c r="Z204" s="31">
        <f>Settings!$B$22*(R204-J$6)^2</f>
        <v>3.4490246091779649E-2</v>
      </c>
      <c r="AA204" s="31">
        <f>Settings!$B$23*(S204-K$6)^2</f>
        <v>0.21541294295697752</v>
      </c>
      <c r="AB204" s="31">
        <f>Settings!$B$24*(T204-L$6)^2</f>
        <v>6.065921445530166E-2</v>
      </c>
      <c r="AC204" s="31">
        <f>Settings!$B$25*(U204-M$6)^2</f>
        <v>9.9806032977477201</v>
      </c>
      <c r="AD204" s="19">
        <f t="shared" si="12"/>
        <v>3.2971990006163705</v>
      </c>
      <c r="AE204" s="15">
        <f t="shared" si="13"/>
        <v>1.3050911413167303</v>
      </c>
      <c r="AF204" s="33">
        <f t="shared" si="14"/>
        <v>0.4267181971018788</v>
      </c>
      <c r="AG204" s="47">
        <f t="shared" si="15"/>
        <v>2.5157091672987279E-3</v>
      </c>
      <c r="AH204" s="18">
        <v>-0.64961734215591971</v>
      </c>
      <c r="AI204" s="46">
        <v>1</v>
      </c>
      <c r="AJ204" s="48"/>
      <c r="AK204" s="48"/>
      <c r="AL204" s="48"/>
      <c r="AM204" s="48"/>
      <c r="AN204" s="18">
        <v>-0.59123607561399127</v>
      </c>
      <c r="AO204" s="46">
        <v>1</v>
      </c>
      <c r="AP204" s="18">
        <v>-4.5128260757398453E-2</v>
      </c>
      <c r="AQ204" s="46">
        <v>1</v>
      </c>
    </row>
    <row r="205" spans="1:43" ht="20" customHeight="1" x14ac:dyDescent="0.45">
      <c r="A205" s="26">
        <v>195</v>
      </c>
      <c r="B205" s="16" t="s">
        <v>742</v>
      </c>
      <c r="C205" s="16" t="s">
        <v>214</v>
      </c>
      <c r="D205" s="46">
        <v>29</v>
      </c>
      <c r="E205" s="46">
        <v>1</v>
      </c>
      <c r="F205" s="13">
        <v>0.32478073011204162</v>
      </c>
      <c r="G205" s="13">
        <v>6.9032797452657113E-2</v>
      </c>
      <c r="H205" s="13">
        <v>9.741909827582694E-2</v>
      </c>
      <c r="I205" s="13">
        <v>-3.565096970778047E-6</v>
      </c>
      <c r="J205" s="13">
        <v>0.50876380906250351</v>
      </c>
      <c r="K205" s="13">
        <v>15.00918079096042</v>
      </c>
      <c r="L205" s="13">
        <v>2.0660193820066981</v>
      </c>
      <c r="M205" s="13">
        <v>0.84949221084208482</v>
      </c>
      <c r="N205" s="19">
        <f>(F205-Settings!$D$18)/Settings!$E$18</f>
        <v>0.4740599189077026</v>
      </c>
      <c r="O205" s="19">
        <f>(G205-Settings!$D$19)/Settings!$E$19</f>
        <v>0.31527041965381836</v>
      </c>
      <c r="P205" s="19">
        <f>(H205-Settings!$D$20)/Settings!$E$20</f>
        <v>0.40129315311838398</v>
      </c>
      <c r="Q205" s="19">
        <f>(I205-Settings!$D$21)/Settings!$E$21</f>
        <v>3.6165283318774923E-2</v>
      </c>
      <c r="R205" s="19">
        <f>(J205-Settings!$D$22)/Settings!$E$22</f>
        <v>0.70197067428811966</v>
      </c>
      <c r="S205" s="19">
        <f>(K205-Settings!$D$23)/Settings!$E$23</f>
        <v>-8.5440842659621929E-2</v>
      </c>
      <c r="T205" s="19">
        <f>(L205-Settings!$D$24)/Settings!$E$24</f>
        <v>0.5238750348561787</v>
      </c>
      <c r="U205" s="19">
        <f>(M205-Settings!$D$25)/Settings!$E$25</f>
        <v>0.60887726622857996</v>
      </c>
      <c r="V205" s="31">
        <f>Settings!$B$18*(N205-F$6)^2</f>
        <v>1.2176016316863689E-2</v>
      </c>
      <c r="W205" s="31">
        <f>Settings!$B$19*(O205-G$6)^2</f>
        <v>2.9488045814961325E-2</v>
      </c>
      <c r="X205" s="31">
        <f>Settings!$B$20*(P205-H$6)^2</f>
        <v>1.6292016534706365E-2</v>
      </c>
      <c r="Y205" s="31">
        <f>Settings!$B$21*(Q205-I$6)^2</f>
        <v>3.0985257666391538E-2</v>
      </c>
      <c r="Z205" s="31">
        <f>Settings!$B$22*(R205-J$6)^2</f>
        <v>8.0241244039220303E-4</v>
      </c>
      <c r="AA205" s="31">
        <f>Settings!$B$23*(S205-K$6)^2</f>
        <v>1.5181194866157932</v>
      </c>
      <c r="AB205" s="31">
        <f>Settings!$B$24*(T205-L$6)^2</f>
        <v>1.6899629961955341E-2</v>
      </c>
      <c r="AC205" s="31">
        <f>Settings!$B$25*(U205-M$6)^2</f>
        <v>9.3552283812820836</v>
      </c>
      <c r="AD205" s="19">
        <f t="shared" si="12"/>
        <v>3.3136069843349176</v>
      </c>
      <c r="AE205" s="15">
        <f t="shared" si="13"/>
        <v>1.3115857187425826</v>
      </c>
      <c r="AF205" s="33">
        <f t="shared" si="14"/>
        <v>0.4231076888340356</v>
      </c>
      <c r="AG205" s="47">
        <f t="shared" si="15"/>
        <v>2.4944234831875052E-3</v>
      </c>
      <c r="AH205" s="48"/>
      <c r="AI205" s="48"/>
      <c r="AJ205" s="48"/>
      <c r="AK205" s="48"/>
      <c r="AL205" s="48"/>
      <c r="AM205" s="48"/>
      <c r="AN205" s="48"/>
      <c r="AO205" s="48"/>
      <c r="AP205" s="48"/>
      <c r="AQ205" s="48"/>
    </row>
    <row r="206" spans="1:43" ht="20" customHeight="1" x14ac:dyDescent="0.45">
      <c r="A206" s="26">
        <v>196</v>
      </c>
      <c r="B206" s="16" t="s">
        <v>525</v>
      </c>
      <c r="C206" s="16" t="s">
        <v>271</v>
      </c>
      <c r="D206" s="46">
        <v>29</v>
      </c>
      <c r="E206" s="46">
        <v>1</v>
      </c>
      <c r="F206" s="13">
        <v>0.36493929714513201</v>
      </c>
      <c r="G206" s="13">
        <v>0.1305399698584557</v>
      </c>
      <c r="H206" s="13">
        <v>-9.4713749456235463E-4</v>
      </c>
      <c r="I206" s="13">
        <v>0.12580091601161189</v>
      </c>
      <c r="J206" s="13">
        <v>-0.37777267949023802</v>
      </c>
      <c r="K206" s="13">
        <v>12.716296296296321</v>
      </c>
      <c r="L206" s="13">
        <v>0.33872392721196593</v>
      </c>
      <c r="M206" s="13">
        <v>-0.59344756162314183</v>
      </c>
      <c r="N206" s="19">
        <f>(F206-Settings!$D$18)/Settings!$E$18</f>
        <v>0.61778492690040931</v>
      </c>
      <c r="O206" s="19">
        <f>(G206-Settings!$D$19)/Settings!$E$19</f>
        <v>0.57151713937240745</v>
      </c>
      <c r="P206" s="19">
        <f>(H206-Settings!$D$20)/Settings!$E$20</f>
        <v>-0.48992385860848886</v>
      </c>
      <c r="Q206" s="19">
        <f>(I206-Settings!$D$21)/Settings!$E$21</f>
        <v>1.5832216780660124</v>
      </c>
      <c r="R206" s="19">
        <f>(J206-Settings!$D$22)/Settings!$E$22</f>
        <v>-1.6832974868194233</v>
      </c>
      <c r="S206" s="19">
        <f>(K206-Settings!$D$23)/Settings!$E$23</f>
        <v>-0.88170688849305767</v>
      </c>
      <c r="T206" s="19">
        <f>(L206-Settings!$D$24)/Settings!$E$24</f>
        <v>-0.67029879331100661</v>
      </c>
      <c r="U206" s="19">
        <f>(M206-Settings!$D$25)/Settings!$E$25</f>
        <v>-0.36425738706761868</v>
      </c>
      <c r="V206" s="31">
        <f>Settings!$B$18*(N206-F$6)^2</f>
        <v>2.1223721230245796E-3</v>
      </c>
      <c r="W206" s="31">
        <f>Settings!$B$19*(O206-G$6)^2</f>
        <v>8.1977913364174343E-2</v>
      </c>
      <c r="X206" s="31">
        <f>Settings!$B$20*(P206-H$6)^2</f>
        <v>7.3399911487181224E-2</v>
      </c>
      <c r="Y206" s="31">
        <f>Settings!$B$21*(Q206-I$6)^2</f>
        <v>0.26608920798592128</v>
      </c>
      <c r="Z206" s="31">
        <f>Settings!$B$22*(R206-J$6)^2</f>
        <v>1.0782692955077327</v>
      </c>
      <c r="AA206" s="31">
        <f>Settings!$B$23*(S206-K$6)^2</f>
        <v>4.114349608865612</v>
      </c>
      <c r="AB206" s="31">
        <f>Settings!$B$24*(T206-L$6)^2</f>
        <v>1.132468965688475</v>
      </c>
      <c r="AC206" s="31">
        <f>Settings!$B$25*(U206-M$6)^2</f>
        <v>4.3492982761647738</v>
      </c>
      <c r="AD206" s="19">
        <f t="shared" si="12"/>
        <v>3.3313624166678255</v>
      </c>
      <c r="AE206" s="15">
        <f t="shared" si="13"/>
        <v>1.3186136407586921</v>
      </c>
      <c r="AF206" s="33">
        <f t="shared" si="14"/>
        <v>0.41921516658571367</v>
      </c>
      <c r="AG206" s="47">
        <f t="shared" si="15"/>
        <v>2.4714751909175139E-3</v>
      </c>
      <c r="AH206" s="18">
        <v>-5.5377836818389543E-2</v>
      </c>
      <c r="AI206" s="46">
        <v>1</v>
      </c>
      <c r="AJ206" s="18">
        <v>0.55135280079543003</v>
      </c>
      <c r="AK206" s="46">
        <v>1</v>
      </c>
      <c r="AL206" s="18">
        <v>-0.40454454354500519</v>
      </c>
      <c r="AM206" s="46">
        <v>1</v>
      </c>
      <c r="AN206" s="48"/>
      <c r="AO206" s="48"/>
      <c r="AP206" s="48"/>
      <c r="AQ206" s="48"/>
    </row>
    <row r="207" spans="1:43" ht="20" customHeight="1" x14ac:dyDescent="0.45">
      <c r="A207" s="26">
        <v>197</v>
      </c>
      <c r="B207" s="16" t="s">
        <v>506</v>
      </c>
      <c r="C207" s="16" t="s">
        <v>236</v>
      </c>
      <c r="D207" s="46">
        <v>29</v>
      </c>
      <c r="E207" s="46">
        <v>0</v>
      </c>
      <c r="F207" s="13">
        <v>0.34693707820940428</v>
      </c>
      <c r="G207" s="13">
        <v>-1.878243352057039E-2</v>
      </c>
      <c r="H207" s="13">
        <v>-1.654295754860086E-2</v>
      </c>
      <c r="I207" s="13">
        <v>4.2752017648890778E-2</v>
      </c>
      <c r="J207" s="13">
        <v>0.57498551307253376</v>
      </c>
      <c r="K207" s="13">
        <v>13.129817708333331</v>
      </c>
      <c r="L207" s="13">
        <v>0.9137950523073759</v>
      </c>
      <c r="M207" s="13">
        <v>0.23034343005991689</v>
      </c>
      <c r="N207" s="19">
        <f>(F207-Settings!$D$18)/Settings!$E$18</f>
        <v>0.55335610755802722</v>
      </c>
      <c r="O207" s="19">
        <f>(G207-Settings!$D$19)/Settings!$E$19</f>
        <v>-5.0579025184234107E-2</v>
      </c>
      <c r="P207" s="19">
        <f>(H207-Settings!$D$20)/Settings!$E$20</f>
        <v>-0.63122498734573651</v>
      </c>
      <c r="Q207" s="19">
        <f>(I207-Settings!$D$21)/Settings!$E$21</f>
        <v>0.56194383361571809</v>
      </c>
      <c r="R207" s="19">
        <f>(J207-Settings!$D$22)/Settings!$E$22</f>
        <v>0.88014328668366215</v>
      </c>
      <c r="S207" s="19">
        <f>(K207-Settings!$D$23)/Settings!$E$23</f>
        <v>-0.73810041359367273</v>
      </c>
      <c r="T207" s="19">
        <f>(L207-Settings!$D$24)/Settings!$E$24</f>
        <v>-0.27272066907214793</v>
      </c>
      <c r="U207" s="19">
        <f>(M207-Settings!$D$25)/Settings!$E$25</f>
        <v>0.19131643269785192</v>
      </c>
      <c r="V207" s="31">
        <f>Settings!$B$18*(N207-F$6)^2</f>
        <v>5.6074118840150657E-3</v>
      </c>
      <c r="W207" s="31">
        <f>Settings!$B$19*(O207-G$6)^2</f>
        <v>6.5739521805676334E-5</v>
      </c>
      <c r="X207" s="31">
        <f>Settings!$B$20*(P207-H$6)^2</f>
        <v>0.11163347884318478</v>
      </c>
      <c r="Y207" s="31">
        <f>Settings!$B$21*(Q207-I$6)^2</f>
        <v>3.4938759724188447E-3</v>
      </c>
      <c r="Z207" s="31">
        <f>Settings!$B$22*(R207-J$6)^2</f>
        <v>1.1665749682535949E-2</v>
      </c>
      <c r="AA207" s="31">
        <f>Settings!$B$23*(S207-K$6)^2</f>
        <v>3.5523937131618935</v>
      </c>
      <c r="AB207" s="31">
        <f>Settings!$B$24*(T207-L$6)^2</f>
        <v>0.44435172993712002</v>
      </c>
      <c r="AC207" s="31">
        <f>Settings!$B$25*(U207-M$6)^2</f>
        <v>6.975255757802854</v>
      </c>
      <c r="AD207" s="19">
        <f t="shared" si="12"/>
        <v>3.3323366361767577</v>
      </c>
      <c r="AE207" s="15">
        <f t="shared" si="13"/>
        <v>1.3189992545025297</v>
      </c>
      <c r="AF207" s="33">
        <f t="shared" si="14"/>
        <v>0.41900202895831312</v>
      </c>
      <c r="AG207" s="47">
        <f t="shared" si="15"/>
        <v>2.4702186420128983E-3</v>
      </c>
      <c r="AH207" s="18">
        <v>-0.70991159528651471</v>
      </c>
      <c r="AI207" s="46">
        <v>1</v>
      </c>
      <c r="AJ207" s="18">
        <v>-0.16120138454420241</v>
      </c>
      <c r="AK207" s="46">
        <v>1</v>
      </c>
      <c r="AL207" s="18">
        <v>0.15075899725657771</v>
      </c>
      <c r="AM207" s="46">
        <v>1</v>
      </c>
      <c r="AN207" s="18">
        <v>0.46186113164947779</v>
      </c>
      <c r="AO207" s="46">
        <v>1</v>
      </c>
      <c r="AP207" s="48"/>
      <c r="AQ207" s="48"/>
    </row>
    <row r="208" spans="1:43" ht="20" customHeight="1" x14ac:dyDescent="0.45">
      <c r="A208" s="26">
        <v>198</v>
      </c>
      <c r="B208" s="16" t="s">
        <v>458</v>
      </c>
      <c r="C208" s="16" t="s">
        <v>271</v>
      </c>
      <c r="D208" s="46">
        <v>29</v>
      </c>
      <c r="E208" s="46">
        <v>1</v>
      </c>
      <c r="F208" s="13">
        <v>0.1129925375791937</v>
      </c>
      <c r="G208" s="13">
        <v>-0.37158055570599868</v>
      </c>
      <c r="H208" s="13">
        <v>8.7873353960172776E-2</v>
      </c>
      <c r="I208" s="13">
        <v>-3.4059724219934808E-4</v>
      </c>
      <c r="J208" s="13">
        <v>0.42721295551243549</v>
      </c>
      <c r="K208" s="13">
        <v>16.860126582278479</v>
      </c>
      <c r="L208" s="13">
        <v>0.44850473751624759</v>
      </c>
      <c r="M208" s="13">
        <v>0.8072299864189687</v>
      </c>
      <c r="N208" s="19">
        <f>(F208-Settings!$D$18)/Settings!$E$18</f>
        <v>-0.28391681964132809</v>
      </c>
      <c r="O208" s="19">
        <f>(G208-Settings!$D$19)/Settings!$E$19</f>
        <v>-1.5203809685486673</v>
      </c>
      <c r="P208" s="19">
        <f>(H208-Settings!$D$20)/Settings!$E$20</f>
        <v>0.31480687398939239</v>
      </c>
      <c r="Q208" s="19">
        <f>(I208-Settings!$D$21)/Settings!$E$21</f>
        <v>3.2020695376305613E-2</v>
      </c>
      <c r="R208" s="19">
        <f>(J208-Settings!$D$22)/Settings!$E$22</f>
        <v>0.48255426334977963</v>
      </c>
      <c r="S208" s="19">
        <f>(K208-Settings!$D$23)/Settings!$E$23</f>
        <v>0.55735005663545356</v>
      </c>
      <c r="T208" s="19">
        <f>(L208-Settings!$D$24)/Settings!$E$24</f>
        <v>-0.59440131431489651</v>
      </c>
      <c r="U208" s="19">
        <f>(M208-Settings!$D$25)/Settings!$E$25</f>
        <v>0.58037515138199081</v>
      </c>
      <c r="V208" s="31">
        <f>Settings!$B$18*(N208-F$6)^2</f>
        <v>0.20189070027197731</v>
      </c>
      <c r="W208" s="31">
        <f>Settings!$B$19*(O208-G$6)^2</f>
        <v>0.4214702748758975</v>
      </c>
      <c r="X208" s="31">
        <f>Settings!$B$20*(P208-H$6)^2</f>
        <v>7.91429865085852E-3</v>
      </c>
      <c r="Y208" s="31">
        <f>Settings!$B$21*(Q208-I$6)^2</f>
        <v>3.1641228335212795E-2</v>
      </c>
      <c r="Z208" s="31">
        <f>Settings!$B$22*(R208-J$6)^2</f>
        <v>4.8719166750842103E-3</v>
      </c>
      <c r="AA208" s="31">
        <f>Settings!$B$23*(S208-K$6)^2</f>
        <v>0.347308689553463</v>
      </c>
      <c r="AB208" s="31">
        <f>Settings!$B$24*(T208-L$6)^2</f>
        <v>0.97669295542408574</v>
      </c>
      <c r="AC208" s="31">
        <f>Settings!$B$25*(U208-M$6)^2</f>
        <v>9.1816858031529414</v>
      </c>
      <c r="AD208" s="19">
        <f t="shared" si="12"/>
        <v>3.342674956818195</v>
      </c>
      <c r="AE208" s="15">
        <f t="shared" si="13"/>
        <v>1.3230913492419463</v>
      </c>
      <c r="AF208" s="33">
        <f t="shared" si="14"/>
        <v>0.41674308122885867</v>
      </c>
      <c r="AG208" s="47">
        <f t="shared" si="15"/>
        <v>2.4569010578319723E-3</v>
      </c>
      <c r="AH208" s="18">
        <v>0.35899601471903941</v>
      </c>
      <c r="AI208" s="46">
        <v>1</v>
      </c>
      <c r="AJ208" s="18">
        <v>2.0304891508864609E-2</v>
      </c>
      <c r="AK208" s="46">
        <v>1</v>
      </c>
      <c r="AL208" s="18">
        <v>-0.16088773626508479</v>
      </c>
      <c r="AM208" s="46">
        <v>1</v>
      </c>
      <c r="AN208" s="18">
        <v>-0.87930145865069975</v>
      </c>
      <c r="AO208" s="46">
        <v>1</v>
      </c>
      <c r="AP208" s="48"/>
      <c r="AQ208" s="48"/>
    </row>
    <row r="209" spans="1:43" ht="20" customHeight="1" x14ac:dyDescent="0.45">
      <c r="A209" s="26">
        <v>199</v>
      </c>
      <c r="B209" s="16" t="s">
        <v>524</v>
      </c>
      <c r="C209" s="16" t="s">
        <v>216</v>
      </c>
      <c r="D209" s="46">
        <v>29</v>
      </c>
      <c r="E209" s="46">
        <v>1</v>
      </c>
      <c r="F209" s="13">
        <v>-0.14787935917784259</v>
      </c>
      <c r="G209" s="13">
        <v>0.34009014120112419</v>
      </c>
      <c r="H209" s="13">
        <v>9.0082189918312752E-3</v>
      </c>
      <c r="I209" s="13">
        <v>2.6345185622950049E-2</v>
      </c>
      <c r="J209" s="13">
        <v>-0.47667709500625183</v>
      </c>
      <c r="K209" s="13">
        <v>15.678353658536579</v>
      </c>
      <c r="L209" s="13">
        <v>4.35788843557222E-2</v>
      </c>
      <c r="M209" s="13">
        <v>-4.9544434435321187E-2</v>
      </c>
      <c r="N209" s="19">
        <f>(F209-Settings!$D$18)/Settings!$E$18</f>
        <v>-1.2175610758116977</v>
      </c>
      <c r="O209" s="19">
        <f>(G209-Settings!$D$19)/Settings!$E$19</f>
        <v>1.444529861673471</v>
      </c>
      <c r="P209" s="19">
        <f>(H209-Settings!$D$20)/Settings!$E$20</f>
        <v>-0.39972641444492674</v>
      </c>
      <c r="Q209" s="19">
        <f>(I209-Settings!$D$21)/Settings!$E$21</f>
        <v>0.36018397435150196</v>
      </c>
      <c r="R209" s="19">
        <f>(J209-Settings!$D$22)/Settings!$E$22</f>
        <v>-1.9494044732429878</v>
      </c>
      <c r="S209" s="19">
        <f>(K209-Settings!$D$23)/Settings!$E$23</f>
        <v>0.14694750245060553</v>
      </c>
      <c r="T209" s="19">
        <f>(L209-Settings!$D$24)/Settings!$E$24</f>
        <v>-0.87434870539399401</v>
      </c>
      <c r="U209" s="19">
        <f>(M209-Settings!$D$25)/Settings!$E$25</f>
        <v>2.5569396304094805E-3</v>
      </c>
      <c r="V209" s="31">
        <f>Settings!$B$18*(N209-F$6)^2</f>
        <v>0.75144781128098848</v>
      </c>
      <c r="W209" s="31">
        <f>Settings!$B$19*(O209-G$6)^2</f>
        <v>0.45797839757561798</v>
      </c>
      <c r="X209" s="31">
        <f>Settings!$B$20*(P209-H$6)^2</f>
        <v>5.3170206395728725E-2</v>
      </c>
      <c r="Y209" s="31">
        <f>Settings!$B$21*(Q209-I$6)^2</f>
        <v>9.6850010946547549E-4</v>
      </c>
      <c r="Z209" s="31">
        <f>Settings!$B$22*(R209-J$6)^2</f>
        <v>1.3395843138385144</v>
      </c>
      <c r="AA209" s="31">
        <f>Settings!$B$23*(S209-K$6)^2</f>
        <v>0.99946321319431197</v>
      </c>
      <c r="AB209" s="31">
        <f>Settings!$B$24*(T209-L$6)^2</f>
        <v>1.608395065286947</v>
      </c>
      <c r="AC209" s="31">
        <f>Settings!$B$25*(U209-M$6)^2</f>
        <v>6.0138314770383543</v>
      </c>
      <c r="AD209" s="19">
        <f t="shared" si="12"/>
        <v>3.3503490840089971</v>
      </c>
      <c r="AE209" s="15">
        <f t="shared" si="13"/>
        <v>1.3261289079128611</v>
      </c>
      <c r="AF209" s="33">
        <f t="shared" si="14"/>
        <v>0.41506965054256251</v>
      </c>
      <c r="AG209" s="47">
        <f t="shared" si="15"/>
        <v>2.4470353784516547E-3</v>
      </c>
      <c r="AH209" s="18">
        <v>0.56477258459699309</v>
      </c>
      <c r="AI209" s="46">
        <v>1</v>
      </c>
      <c r="AJ209" s="18">
        <v>0.81209768207959943</v>
      </c>
      <c r="AK209" s="46">
        <v>1</v>
      </c>
      <c r="AL209" s="48"/>
      <c r="AM209" s="48"/>
      <c r="AN209" s="48"/>
      <c r="AO209" s="48"/>
      <c r="AP209" s="48"/>
      <c r="AQ209" s="48"/>
    </row>
    <row r="210" spans="1:43" ht="20" customHeight="1" x14ac:dyDescent="0.45">
      <c r="A210" s="26">
        <v>200</v>
      </c>
      <c r="B210" s="16" t="s">
        <v>530</v>
      </c>
      <c r="C210" s="16" t="s">
        <v>229</v>
      </c>
      <c r="D210" s="46">
        <v>29</v>
      </c>
      <c r="E210" s="46">
        <v>1</v>
      </c>
      <c r="F210" s="13">
        <v>6.8252348582228409E-2</v>
      </c>
      <c r="G210" s="13">
        <v>0.56631888970150035</v>
      </c>
      <c r="H210" s="13">
        <v>-2.249339817841306E-2</v>
      </c>
      <c r="I210" s="13">
        <v>-0.15331755120905269</v>
      </c>
      <c r="J210" s="13">
        <v>0.18961781232880531</v>
      </c>
      <c r="K210" s="13">
        <v>13.53123456790121</v>
      </c>
      <c r="L210" s="13">
        <v>0.95042609699756353</v>
      </c>
      <c r="M210" s="13">
        <v>-0.36627908343389609</v>
      </c>
      <c r="N210" s="19">
        <f>(F210-Settings!$D$18)/Settings!$E$18</f>
        <v>-0.44403916703199908</v>
      </c>
      <c r="O210" s="19">
        <f>(G210-Settings!$D$19)/Settings!$E$19</f>
        <v>2.3870276622031197</v>
      </c>
      <c r="P210" s="19">
        <f>(H210-Settings!$D$20)/Settings!$E$20</f>
        <v>-0.68513712371067992</v>
      </c>
      <c r="Q210" s="19">
        <f>(I210-Settings!$D$21)/Settings!$E$21</f>
        <v>-1.8491839548706759</v>
      </c>
      <c r="R210" s="19">
        <f>(J210-Settings!$D$22)/Settings!$E$22</f>
        <v>-0.15670665550408133</v>
      </c>
      <c r="S210" s="19">
        <f>(K210-Settings!$D$23)/Settings!$E$23</f>
        <v>-0.59869757134722257</v>
      </c>
      <c r="T210" s="19">
        <f>(L210-Settings!$D$24)/Settings!$E$24</f>
        <v>-0.24739562421892503</v>
      </c>
      <c r="U210" s="19">
        <f>(M210-Settings!$D$25)/Settings!$E$25</f>
        <v>-0.21105243528724621</v>
      </c>
      <c r="V210" s="31">
        <f>Settings!$B$18*(N210-F$6)^2</f>
        <v>0.27136950368670304</v>
      </c>
      <c r="W210" s="31">
        <f>Settings!$B$19*(O210-G$6)^2</f>
        <v>1.2061285547638319</v>
      </c>
      <c r="X210" s="31">
        <f>Settings!$B$20*(P210-H$6)^2</f>
        <v>0.12832601502702135</v>
      </c>
      <c r="Y210" s="31">
        <f>Settings!$B$21*(Q210-I$6)^2</f>
        <v>1.0387280962275545</v>
      </c>
      <c r="Z210" s="31">
        <f>Settings!$B$22*(R210-J$6)^2</f>
        <v>0.12651202592171149</v>
      </c>
      <c r="AA210" s="31">
        <f>Settings!$B$23*(S210-K$6)^2</f>
        <v>3.0463396307046184</v>
      </c>
      <c r="AB210" s="31">
        <f>Settings!$B$24*(T210-L$6)^2</f>
        <v>0.41122988354525675</v>
      </c>
      <c r="AC210" s="31">
        <f>Settings!$B$25*(U210-M$6)^2</f>
        <v>5.0117870076685271</v>
      </c>
      <c r="AD210" s="19">
        <f t="shared" si="12"/>
        <v>3.3526736670223696</v>
      </c>
      <c r="AE210" s="15">
        <f t="shared" si="13"/>
        <v>1.3270490200132956</v>
      </c>
      <c r="AF210" s="33">
        <f t="shared" si="14"/>
        <v>0.41456332122310718</v>
      </c>
      <c r="AG210" s="47">
        <f t="shared" si="15"/>
        <v>2.4440503233982805E-3</v>
      </c>
      <c r="AH210" s="18">
        <v>-0.2925020457998857</v>
      </c>
      <c r="AI210" s="46">
        <v>1</v>
      </c>
      <c r="AJ210" s="18">
        <v>-0.48403257053477122</v>
      </c>
      <c r="AK210" s="46">
        <v>1</v>
      </c>
      <c r="AL210" s="18">
        <v>-0.44296171193577882</v>
      </c>
      <c r="AM210" s="46">
        <v>1</v>
      </c>
      <c r="AN210" s="48"/>
      <c r="AO210" s="48"/>
      <c r="AP210" s="48"/>
      <c r="AQ210" s="48"/>
    </row>
    <row r="211" spans="1:43" ht="20" customHeight="1" x14ac:dyDescent="0.45">
      <c r="A211" s="26">
        <v>201</v>
      </c>
      <c r="B211" s="16" t="s">
        <v>342</v>
      </c>
      <c r="C211" s="16" t="s">
        <v>236</v>
      </c>
      <c r="D211" s="46">
        <v>29</v>
      </c>
      <c r="E211" s="46">
        <v>0</v>
      </c>
      <c r="F211" s="13">
        <v>0.27297170185528757</v>
      </c>
      <c r="G211" s="13">
        <v>-5.1835483386998012E-2</v>
      </c>
      <c r="H211" s="13">
        <v>8.2616200199310041E-2</v>
      </c>
      <c r="I211" s="13">
        <v>2.4338274210290679E-3</v>
      </c>
      <c r="J211" s="13">
        <v>0.59014278713737522</v>
      </c>
      <c r="K211" s="13">
        <v>18.908783783783779</v>
      </c>
      <c r="L211" s="13">
        <v>4.4731623060230774</v>
      </c>
      <c r="M211" s="13">
        <v>0.51134733574471092</v>
      </c>
      <c r="N211" s="19">
        <f>(F211-Settings!$D$18)/Settings!$E$18</f>
        <v>0.2886386364660089</v>
      </c>
      <c r="O211" s="19">
        <f>(G211-Settings!$D$19)/Settings!$E$19</f>
        <v>-0.18828224374689628</v>
      </c>
      <c r="P211" s="19">
        <f>(H211-Settings!$D$20)/Settings!$E$20</f>
        <v>0.26717604997492744</v>
      </c>
      <c r="Q211" s="19">
        <f>(I211-Settings!$D$21)/Settings!$E$21</f>
        <v>6.613864872080813E-2</v>
      </c>
      <c r="R211" s="19">
        <f>(J211-Settings!$D$22)/Settings!$E$22</f>
        <v>0.92092464616844616</v>
      </c>
      <c r="S211" s="19">
        <f>(K211-Settings!$D$23)/Settings!$E$23</f>
        <v>1.2688015810829572</v>
      </c>
      <c r="T211" s="19">
        <f>(L211-Settings!$D$24)/Settings!$E$24</f>
        <v>2.1880646050532455</v>
      </c>
      <c r="U211" s="19">
        <f>(M211-Settings!$D$25)/Settings!$E$25</f>
        <v>0.38082859637344274</v>
      </c>
      <c r="V211" s="31">
        <f>Settings!$B$18*(N211-F$6)^2</f>
        <v>3.7352483540546641E-2</v>
      </c>
      <c r="W211" s="31">
        <f>Settings!$B$19*(O211-G$6)^2</f>
        <v>2.8595499842330799E-3</v>
      </c>
      <c r="X211" s="31">
        <f>Settings!$B$20*(P211-H$6)^2</f>
        <v>4.5780368948544906E-3</v>
      </c>
      <c r="Y211" s="31">
        <f>Settings!$B$21*(Q211-I$6)^2</f>
        <v>2.6445850392438238E-2</v>
      </c>
      <c r="Z211" s="31">
        <f>Settings!$B$22*(R211-J$6)^2</f>
        <v>1.5938072332315992E-2</v>
      </c>
      <c r="AA211" s="31">
        <f>Settings!$B$23*(S211-K$6)^2</f>
        <v>1.4913906975444877E-2</v>
      </c>
      <c r="AB211" s="31">
        <f>Settings!$B$24*(T211-L$6)^2</f>
        <v>3.2191111067133873</v>
      </c>
      <c r="AC211" s="31">
        <f>Settings!$B$25*(U211-M$6)^2</f>
        <v>8.0122007579261734</v>
      </c>
      <c r="AD211" s="19">
        <f t="shared" si="12"/>
        <v>3.3665115126432279</v>
      </c>
      <c r="AE211" s="15">
        <f t="shared" si="13"/>
        <v>1.3325262901845272</v>
      </c>
      <c r="AF211" s="33">
        <f t="shared" si="14"/>
        <v>0.41155477505592525</v>
      </c>
      <c r="AG211" s="47">
        <f t="shared" si="15"/>
        <v>2.4263134956172658E-3</v>
      </c>
      <c r="AH211" s="18">
        <v>1.420788493832603E-2</v>
      </c>
      <c r="AI211" s="46">
        <v>1</v>
      </c>
      <c r="AJ211" s="18">
        <v>-0.1687533547869737</v>
      </c>
      <c r="AK211" s="46">
        <v>1</v>
      </c>
      <c r="AL211" s="18">
        <v>0.43503930994064</v>
      </c>
      <c r="AM211" s="46">
        <v>1</v>
      </c>
      <c r="AN211" s="18">
        <v>-0.37371663693088042</v>
      </c>
      <c r="AO211" s="46">
        <v>1</v>
      </c>
      <c r="AP211" s="18">
        <v>-1.8332748886360919</v>
      </c>
      <c r="AQ211" s="46">
        <v>1</v>
      </c>
    </row>
    <row r="212" spans="1:43" ht="20" customHeight="1" x14ac:dyDescent="0.45">
      <c r="A212" s="26">
        <v>202</v>
      </c>
      <c r="B212" s="16" t="s">
        <v>454</v>
      </c>
      <c r="C212" s="16" t="s">
        <v>271</v>
      </c>
      <c r="D212" s="46">
        <v>29</v>
      </c>
      <c r="E212" s="46">
        <v>1</v>
      </c>
      <c r="F212" s="13">
        <v>0.33521220900845261</v>
      </c>
      <c r="G212" s="13">
        <v>8.8262388364342068E-2</v>
      </c>
      <c r="H212" s="13">
        <v>0.23538537993312891</v>
      </c>
      <c r="I212" s="13">
        <v>-1.25892441744433E-3</v>
      </c>
      <c r="J212" s="13">
        <v>0.33988109827663199</v>
      </c>
      <c r="K212" s="13">
        <v>13.161019283746549</v>
      </c>
      <c r="L212" s="13">
        <v>1.2014951615329921</v>
      </c>
      <c r="M212" s="13">
        <v>0.26691519391909119</v>
      </c>
      <c r="N212" s="19">
        <f>(F212-Settings!$D$18)/Settings!$E$18</f>
        <v>0.51139353159679679</v>
      </c>
      <c r="O212" s="19">
        <f>(G212-Settings!$D$19)/Settings!$E$19</f>
        <v>0.39538334632422273</v>
      </c>
      <c r="P212" s="19">
        <f>(H212-Settings!$D$20)/Settings!$E$20</f>
        <v>1.6512941955970486</v>
      </c>
      <c r="Q212" s="19">
        <f>(I212-Settings!$D$21)/Settings!$E$21</f>
        <v>2.0727743675271235E-2</v>
      </c>
      <c r="R212" s="19">
        <f>(J212-Settings!$D$22)/Settings!$E$22</f>
        <v>0.24758378982193366</v>
      </c>
      <c r="S212" s="19">
        <f>(K212-Settings!$D$23)/Settings!$E$23</f>
        <v>-0.72726482412727134</v>
      </c>
      <c r="T212" s="19">
        <f>(L212-Settings!$D$24)/Settings!$E$24</f>
        <v>-7.3817846833841391E-2</v>
      </c>
      <c r="U212" s="19">
        <f>(M212-Settings!$D$25)/Settings!$E$25</f>
        <v>0.21598083756259875</v>
      </c>
      <c r="V212" s="31">
        <f>Settings!$B$18*(N212-F$6)^2</f>
        <v>8.7701143294753644E-3</v>
      </c>
      <c r="W212" s="31">
        <f>Settings!$B$19*(O212-G$6)^2</f>
        <v>4.3076349488413462E-2</v>
      </c>
      <c r="X212" s="31">
        <f>Settings!$B$20*(P212-H$6)^2</f>
        <v>0.47149872066958959</v>
      </c>
      <c r="Y212" s="31">
        <f>Settings!$B$21*(Q212-I$6)^2</f>
        <v>3.3463449230472939E-2</v>
      </c>
      <c r="Z212" s="31">
        <f>Settings!$B$22*(R212-J$6)^2</f>
        <v>3.0583401543861827E-2</v>
      </c>
      <c r="AA212" s="31">
        <f>Settings!$B$23*(S212-K$6)^2</f>
        <v>3.5116657296576848</v>
      </c>
      <c r="AB212" s="31">
        <f>Settings!$B$24*(T212-L$6)^2</f>
        <v>0.21873796285559299</v>
      </c>
      <c r="AC212" s="31">
        <f>Settings!$B$25*(U212-M$6)^2</f>
        <v>7.1061449769969132</v>
      </c>
      <c r="AD212" s="19">
        <f t="shared" si="12"/>
        <v>3.3799320562360426</v>
      </c>
      <c r="AE212" s="15">
        <f t="shared" si="13"/>
        <v>1.3378383846475437</v>
      </c>
      <c r="AF212" s="33">
        <f t="shared" si="14"/>
        <v>0.40864610284687336</v>
      </c>
      <c r="AG212" s="47">
        <f t="shared" si="15"/>
        <v>2.4091654728924886E-3</v>
      </c>
      <c r="AH212" s="48"/>
      <c r="AI212" s="48"/>
      <c r="AJ212" s="48"/>
      <c r="AK212" s="48"/>
      <c r="AL212" s="48"/>
      <c r="AM212" s="48"/>
      <c r="AN212" s="48"/>
      <c r="AO212" s="48"/>
      <c r="AP212" s="48"/>
      <c r="AQ212" s="48"/>
    </row>
    <row r="213" spans="1:43" ht="20" customHeight="1" x14ac:dyDescent="0.45">
      <c r="A213" s="26">
        <v>203</v>
      </c>
      <c r="B213" s="16" t="s">
        <v>810</v>
      </c>
      <c r="C213" s="16" t="s">
        <v>214</v>
      </c>
      <c r="D213" s="46">
        <v>29</v>
      </c>
      <c r="E213" s="46">
        <v>1</v>
      </c>
      <c r="F213" s="13">
        <v>8.4186025913807236E-2</v>
      </c>
      <c r="G213" s="13">
        <v>-3.5100538345648663E-2</v>
      </c>
      <c r="H213" s="13">
        <v>-2.9269221980700501E-2</v>
      </c>
      <c r="I213" s="13">
        <v>-6.5202391354998734E-4</v>
      </c>
      <c r="J213" s="13">
        <v>0.85079218984629357</v>
      </c>
      <c r="K213" s="13">
        <v>10.76927437641724</v>
      </c>
      <c r="L213" s="13">
        <v>1.569150934391722</v>
      </c>
      <c r="M213" s="13">
        <v>-0.93120587389011189</v>
      </c>
      <c r="N213" s="19">
        <f>(F213-Settings!$D$18)/Settings!$E$18</f>
        <v>-0.38701352914139964</v>
      </c>
      <c r="O213" s="19">
        <f>(G213-Settings!$D$19)/Settings!$E$19</f>
        <v>-0.1185623297306187</v>
      </c>
      <c r="P213" s="19">
        <f>(H213-Settings!$D$20)/Settings!$E$20</f>
        <v>-0.7465273903379227</v>
      </c>
      <c r="Q213" s="19">
        <f>(I213-Settings!$D$21)/Settings!$E$21</f>
        <v>2.8190985820951919E-2</v>
      </c>
      <c r="R213" s="19">
        <f>(J213-Settings!$D$22)/Settings!$E$22</f>
        <v>1.6222141356831172</v>
      </c>
      <c r="S213" s="19">
        <f>(K213-Settings!$D$23)/Settings!$E$23</f>
        <v>-1.5578628173682545</v>
      </c>
      <c r="T213" s="19">
        <f>(L213-Settings!$D$24)/Settings!$E$24</f>
        <v>0.18036269911951425</v>
      </c>
      <c r="U213" s="19">
        <f>(M213-Settings!$D$25)/Settings!$E$25</f>
        <v>-0.59204535464458696</v>
      </c>
      <c r="V213" s="31">
        <f>Settings!$B$18*(N213-F$6)^2</f>
        <v>0.24544963683450552</v>
      </c>
      <c r="W213" s="31">
        <f>Settings!$B$19*(O213-G$6)^2</f>
        <v>4.9707000490640607E-4</v>
      </c>
      <c r="X213" s="31">
        <f>Settings!$B$20*(P213-H$6)^2</f>
        <v>0.1487496550921335</v>
      </c>
      <c r="Y213" s="31">
        <f>Settings!$B$21*(Q213-I$6)^2</f>
        <v>3.2253470538676762E-2</v>
      </c>
      <c r="Z213" s="31">
        <f>Settings!$B$22*(R213-J$6)^2</f>
        <v>0.19348761618038984</v>
      </c>
      <c r="AA213" s="31">
        <f>Settings!$B$23*(S213-K$6)^2</f>
        <v>7.3145468368680202</v>
      </c>
      <c r="AB213" s="31">
        <f>Settings!$B$24*(T213-L$6)^2</f>
        <v>4.5588125268518742E-2</v>
      </c>
      <c r="AC213" s="31">
        <f>Settings!$B$25*(U213-M$6)^2</f>
        <v>3.4510833294127172</v>
      </c>
      <c r="AD213" s="19">
        <f t="shared" si="12"/>
        <v>3.3810731639820912</v>
      </c>
      <c r="AE213" s="15">
        <f t="shared" si="13"/>
        <v>1.3382900557812476</v>
      </c>
      <c r="AF213" s="33">
        <f t="shared" si="14"/>
        <v>0.40839920606714453</v>
      </c>
      <c r="AG213" s="47">
        <f t="shared" si="15"/>
        <v>2.407709897535359E-3</v>
      </c>
      <c r="AH213" s="48"/>
      <c r="AI213" s="48"/>
      <c r="AJ213" s="48"/>
      <c r="AK213" s="48"/>
      <c r="AL213" s="48"/>
      <c r="AM213" s="48"/>
      <c r="AN213" s="48"/>
      <c r="AO213" s="48"/>
      <c r="AP213" s="48"/>
      <c r="AQ213" s="48"/>
    </row>
    <row r="214" spans="1:43" ht="20" customHeight="1" x14ac:dyDescent="0.45">
      <c r="A214" s="26">
        <v>204</v>
      </c>
      <c r="B214" s="16" t="s">
        <v>620</v>
      </c>
      <c r="C214" s="16" t="s">
        <v>236</v>
      </c>
      <c r="D214" s="46">
        <v>29</v>
      </c>
      <c r="E214" s="46">
        <v>0</v>
      </c>
      <c r="F214" s="13">
        <v>-0.28057113961992292</v>
      </c>
      <c r="G214" s="13">
        <v>0.20017998161328041</v>
      </c>
      <c r="H214" s="13">
        <v>-1.723064918866371E-2</v>
      </c>
      <c r="I214" s="13">
        <v>-2.0738695763000559E-4</v>
      </c>
      <c r="J214" s="13">
        <v>0.50181084262050302</v>
      </c>
      <c r="K214" s="13">
        <v>11.812272727272729</v>
      </c>
      <c r="L214" s="13">
        <v>0.19141975376906251</v>
      </c>
      <c r="M214" s="13">
        <v>-1.016992671138478</v>
      </c>
      <c r="N214" s="19">
        <f>(F214-Settings!$D$18)/Settings!$E$18</f>
        <v>-1.6924566862275277</v>
      </c>
      <c r="O214" s="19">
        <f>(G214-Settings!$D$19)/Settings!$E$19</f>
        <v>0.86164630440057377</v>
      </c>
      <c r="P214" s="19">
        <f>(H214-Settings!$D$20)/Settings!$E$20</f>
        <v>-0.63745560584654992</v>
      </c>
      <c r="Q214" s="19">
        <f>(I214-Settings!$D$21)/Settings!$E$21</f>
        <v>3.3658823213828577E-2</v>
      </c>
      <c r="R214" s="19">
        <f>(J214-Settings!$D$22)/Settings!$E$22</f>
        <v>0.68326339072619069</v>
      </c>
      <c r="S214" s="19">
        <f>(K214-Settings!$D$23)/Settings!$E$23</f>
        <v>-1.1956534803610008</v>
      </c>
      <c r="T214" s="19">
        <f>(L214-Settings!$D$24)/Settings!$E$24</f>
        <v>-0.77213822571211799</v>
      </c>
      <c r="U214" s="19">
        <f>(M214-Settings!$D$25)/Settings!$E$25</f>
        <v>-0.6499009261595734</v>
      </c>
      <c r="V214" s="31">
        <f>Settings!$B$18*(N214-F$6)^2</f>
        <v>1.1647604203752415</v>
      </c>
      <c r="W214" s="31">
        <f>Settings!$B$19*(O214-G$6)^2</f>
        <v>0.17311221513423825</v>
      </c>
      <c r="X214" s="31">
        <f>Settings!$B$20*(P214-H$6)^2</f>
        <v>0.11350321598249005</v>
      </c>
      <c r="Y214" s="31">
        <f>Settings!$B$21*(Q214-I$6)^2</f>
        <v>3.1381137999912503E-2</v>
      </c>
      <c r="Z214" s="31">
        <f>Settings!$B$22*(R214-J$6)^2</f>
        <v>3.9843089884686436E-4</v>
      </c>
      <c r="AA214" s="31">
        <f>Settings!$B$23*(S214-K$6)^2</f>
        <v>5.4865217906310866</v>
      </c>
      <c r="AB214" s="31">
        <f>Settings!$B$24*(T214-L$6)^2</f>
        <v>1.3595902428356659</v>
      </c>
      <c r="AC214" s="31">
        <f>Settings!$B$25*(U214-M$6)^2</f>
        <v>3.2394729460520839</v>
      </c>
      <c r="AD214" s="19">
        <f t="shared" si="12"/>
        <v>3.4012851100590735</v>
      </c>
      <c r="AE214" s="15">
        <f t="shared" si="13"/>
        <v>1.3462903104728541</v>
      </c>
      <c r="AF214" s="33">
        <f t="shared" si="14"/>
        <v>0.40403700849269519</v>
      </c>
      <c r="AG214" s="47">
        <f t="shared" si="15"/>
        <v>2.3819926431455948E-3</v>
      </c>
      <c r="AH214" s="18">
        <v>-0.37502323576175262</v>
      </c>
      <c r="AI214" s="46">
        <v>1</v>
      </c>
      <c r="AJ214" s="18">
        <v>-4.3885964664068723E-2</v>
      </c>
      <c r="AK214" s="46">
        <v>1</v>
      </c>
      <c r="AL214" s="48"/>
      <c r="AM214" s="48"/>
      <c r="AN214" s="48"/>
      <c r="AO214" s="48"/>
      <c r="AP214" s="48"/>
      <c r="AQ214" s="48"/>
    </row>
    <row r="215" spans="1:43" ht="20" customHeight="1" x14ac:dyDescent="0.45">
      <c r="A215" s="26">
        <v>205</v>
      </c>
      <c r="B215" s="16" t="s">
        <v>811</v>
      </c>
      <c r="C215" s="16" t="s">
        <v>283</v>
      </c>
      <c r="D215" s="46">
        <v>29</v>
      </c>
      <c r="E215" s="46">
        <v>0</v>
      </c>
      <c r="F215" s="13">
        <v>0.35412924417137881</v>
      </c>
      <c r="G215" s="13">
        <v>-4.2643802328842059E-2</v>
      </c>
      <c r="H215" s="13">
        <v>0.24013557054079851</v>
      </c>
      <c r="I215" s="13">
        <v>-9.9799559463848234E-3</v>
      </c>
      <c r="J215" s="13">
        <v>0.35311142701259579</v>
      </c>
      <c r="K215" s="13">
        <v>16.113229166666621</v>
      </c>
      <c r="L215" s="13">
        <v>1.863457087582588</v>
      </c>
      <c r="M215" s="13">
        <v>1.065875923829583</v>
      </c>
      <c r="N215" s="19">
        <f>(F215-Settings!$D$18)/Settings!$E$18</f>
        <v>0.57909642118818994</v>
      </c>
      <c r="O215" s="19">
        <f>(G215-Settings!$D$19)/Settings!$E$19</f>
        <v>-0.14998852892104772</v>
      </c>
      <c r="P215" s="19">
        <f>(H215-Settings!$D$20)/Settings!$E$20</f>
        <v>1.6943318359554971</v>
      </c>
      <c r="Q215" s="19">
        <f>(I215-Settings!$D$21)/Settings!$E$21</f>
        <v>-8.6517463146850604E-2</v>
      </c>
      <c r="R215" s="19">
        <f>(J215-Settings!$D$22)/Settings!$E$22</f>
        <v>0.28318061217765922</v>
      </c>
      <c r="S215" s="19">
        <f>(K215-Settings!$D$23)/Settings!$E$23</f>
        <v>0.29796976375262652</v>
      </c>
      <c r="T215" s="19">
        <f>(L215-Settings!$D$24)/Settings!$E$24</f>
        <v>0.38383264089091795</v>
      </c>
      <c r="U215" s="19">
        <f>(M215-Settings!$D$25)/Settings!$E$25</f>
        <v>0.75480885224154204</v>
      </c>
      <c r="V215" s="31">
        <f>Settings!$B$18*(N215-F$6)^2</f>
        <v>4.0159135376150699E-3</v>
      </c>
      <c r="W215" s="31">
        <f>Settings!$B$19*(O215-G$6)^2</f>
        <v>1.3212709098048862E-3</v>
      </c>
      <c r="X215" s="31">
        <f>Settings!$B$20*(P215-H$6)^2</f>
        <v>0.49830139229608844</v>
      </c>
      <c r="Y215" s="31">
        <f>Settings!$B$21*(Q215-I$6)^2</f>
        <v>5.3310972684941317E-2</v>
      </c>
      <c r="Z215" s="31">
        <f>Settings!$B$22*(R215-J$6)^2</f>
        <v>2.5268829686479838E-2</v>
      </c>
      <c r="AA215" s="31">
        <f>Settings!$B$23*(S215-K$6)^2</f>
        <v>0.72030749163809016</v>
      </c>
      <c r="AB215" s="31">
        <f>Settings!$B$24*(T215-L$6)^2</f>
        <v>1.0087826387269467E-4</v>
      </c>
      <c r="AC215" s="31">
        <f>Settings!$B$25*(U215-M$6)^2</f>
        <v>10.269226383195413</v>
      </c>
      <c r="AD215" s="19">
        <f t="shared" si="12"/>
        <v>3.4017426610800978</v>
      </c>
      <c r="AE215" s="15">
        <f t="shared" si="13"/>
        <v>1.3464714174621888</v>
      </c>
      <c r="AF215" s="33">
        <f t="shared" si="14"/>
        <v>0.40393850052926328</v>
      </c>
      <c r="AG215" s="47">
        <f t="shared" si="15"/>
        <v>2.3814118912856069E-3</v>
      </c>
      <c r="AH215" s="18">
        <v>0.5918492116291354</v>
      </c>
      <c r="AI215" s="46">
        <v>0</v>
      </c>
      <c r="AJ215" s="18">
        <v>0.56604080496496678</v>
      </c>
      <c r="AK215" s="46">
        <v>0</v>
      </c>
      <c r="AL215" s="18">
        <v>0.71723166644317704</v>
      </c>
      <c r="AM215" s="46">
        <v>0</v>
      </c>
      <c r="AN215" s="18">
        <v>1.1976771162480251</v>
      </c>
      <c r="AO215" s="46">
        <v>0</v>
      </c>
      <c r="AP215" s="18">
        <v>0.30153006158827372</v>
      </c>
      <c r="AQ215" s="46">
        <v>0</v>
      </c>
    </row>
    <row r="216" spans="1:43" ht="20" customHeight="1" x14ac:dyDescent="0.45">
      <c r="A216" s="26">
        <v>206</v>
      </c>
      <c r="B216" s="16" t="s">
        <v>546</v>
      </c>
      <c r="C216" s="16" t="s">
        <v>214</v>
      </c>
      <c r="D216" s="46">
        <v>29</v>
      </c>
      <c r="E216" s="46">
        <v>1</v>
      </c>
      <c r="F216" s="13">
        <v>9.0899020594615854E-2</v>
      </c>
      <c r="G216" s="13">
        <v>-0.31972067722676112</v>
      </c>
      <c r="H216" s="13">
        <v>-2.1696306095912849E-2</v>
      </c>
      <c r="I216" s="13">
        <v>1.367518521844845E-4</v>
      </c>
      <c r="J216" s="13">
        <v>0.56754724423052572</v>
      </c>
      <c r="K216" s="13">
        <v>14.496777777777799</v>
      </c>
      <c r="L216" s="13">
        <v>1.086491154869192</v>
      </c>
      <c r="M216" s="13">
        <v>0.67487281686746925</v>
      </c>
      <c r="N216" s="19">
        <f>(F216-Settings!$D$18)/Settings!$E$18</f>
        <v>-0.36298813965578358</v>
      </c>
      <c r="O216" s="19">
        <f>(G216-Settings!$D$19)/Settings!$E$19</f>
        <v>-1.3043261049364283</v>
      </c>
      <c r="P216" s="19">
        <f>(H216-Settings!$D$20)/Settings!$E$20</f>
        <v>-0.67791531616387901</v>
      </c>
      <c r="Q216" s="19">
        <f>(I216-Settings!$D$21)/Settings!$E$21</f>
        <v>3.7890803996330991E-2</v>
      </c>
      <c r="R216" s="19">
        <f>(J216-Settings!$D$22)/Settings!$E$22</f>
        <v>0.86013027416619192</v>
      </c>
      <c r="S216" s="19">
        <f>(K216-Settings!$D$23)/Settings!$E$23</f>
        <v>-0.26338662323843609</v>
      </c>
      <c r="T216" s="19">
        <f>(L216-Settings!$D$24)/Settings!$E$24</f>
        <v>-0.15332640717367924</v>
      </c>
      <c r="U216" s="19">
        <f>(M216-Settings!$D$25)/Settings!$E$25</f>
        <v>0.49111200210812278</v>
      </c>
      <c r="V216" s="31">
        <f>Settings!$B$18*(N216-F$6)^2</f>
        <v>0.23491883150905246</v>
      </c>
      <c r="W216" s="31">
        <f>Settings!$B$19*(O216-G$6)^2</f>
        <v>0.3053499038905661</v>
      </c>
      <c r="X216" s="31">
        <f>Settings!$B$20*(P216-H$6)^2</f>
        <v>0.12602252636224665</v>
      </c>
      <c r="Y216" s="31">
        <f>Settings!$B$21*(Q216-I$6)^2</f>
        <v>3.0714182503456366E-2</v>
      </c>
      <c r="Z216" s="31">
        <f>Settings!$B$22*(R216-J$6)^2</f>
        <v>9.8124891061591724E-3</v>
      </c>
      <c r="AA216" s="31">
        <f>Settings!$B$23*(S216-K$6)^2</f>
        <v>1.9882852677664296</v>
      </c>
      <c r="AB216" s="31">
        <f>Settings!$B$24*(T216-L$6)^2</f>
        <v>0.29943097574973576</v>
      </c>
      <c r="AC216" s="31">
        <f>Settings!$B$25*(U216-M$6)^2</f>
        <v>8.6486958792747934</v>
      </c>
      <c r="AD216" s="19">
        <f t="shared" si="12"/>
        <v>3.4122177621251608</v>
      </c>
      <c r="AE216" s="15">
        <f t="shared" si="13"/>
        <v>1.3506176523651332</v>
      </c>
      <c r="AF216" s="33">
        <f t="shared" si="14"/>
        <v>0.40168622842427237</v>
      </c>
      <c r="AG216" s="47">
        <f t="shared" si="15"/>
        <v>2.3681336631241208E-3</v>
      </c>
      <c r="AH216" s="48"/>
      <c r="AI216" s="48"/>
      <c r="AJ216" s="48"/>
      <c r="AK216" s="48"/>
      <c r="AL216" s="48"/>
      <c r="AM216" s="48"/>
      <c r="AN216" s="48"/>
      <c r="AO216" s="48"/>
      <c r="AP216" s="48"/>
      <c r="AQ216" s="48"/>
    </row>
    <row r="217" spans="1:43" ht="20" customHeight="1" x14ac:dyDescent="0.45">
      <c r="A217" s="26">
        <v>207</v>
      </c>
      <c r="B217" s="16" t="s">
        <v>609</v>
      </c>
      <c r="C217" s="16" t="s">
        <v>218</v>
      </c>
      <c r="D217" s="46">
        <v>29</v>
      </c>
      <c r="E217" s="46">
        <v>0</v>
      </c>
      <c r="F217" s="13">
        <v>9.5881722939892874E-2</v>
      </c>
      <c r="G217" s="13">
        <v>8.4911258340680196E-2</v>
      </c>
      <c r="H217" s="13">
        <v>-3.200016018364817E-3</v>
      </c>
      <c r="I217" s="13">
        <v>-0.20934749613408249</v>
      </c>
      <c r="J217" s="13">
        <v>0.60665950656697953</v>
      </c>
      <c r="K217" s="13">
        <v>13.226455026455049</v>
      </c>
      <c r="L217" s="13">
        <v>0.4513907954701194</v>
      </c>
      <c r="M217" s="13">
        <v>-0.3202640237373498</v>
      </c>
      <c r="N217" s="19">
        <f>(F217-Settings!$D$18)/Settings!$E$18</f>
        <v>-0.34515535857546953</v>
      </c>
      <c r="O217" s="19">
        <f>(G217-Settings!$D$19)/Settings!$E$19</f>
        <v>0.38142211152304567</v>
      </c>
      <c r="P217" s="19">
        <f>(H217-Settings!$D$20)/Settings!$E$20</f>
        <v>-0.51033537125855688</v>
      </c>
      <c r="Q217" s="19">
        <f>(I217-Settings!$D$21)/Settings!$E$21</f>
        <v>-2.5382014193502402</v>
      </c>
      <c r="R217" s="19">
        <f>(J217-Settings!$D$22)/Settings!$E$22</f>
        <v>0.96536365741060748</v>
      </c>
      <c r="S217" s="19">
        <f>(K217-Settings!$D$23)/Settings!$E$23</f>
        <v>-0.70454049578717126</v>
      </c>
      <c r="T217" s="19">
        <f>(L217-Settings!$D$24)/Settings!$E$24</f>
        <v>-0.59240602458868297</v>
      </c>
      <c r="U217" s="19">
        <f>(M217-Settings!$D$25)/Settings!$E$25</f>
        <v>-0.18001936653504258</v>
      </c>
      <c r="V217" s="31">
        <f>Settings!$B$18*(N217-F$6)^2</f>
        <v>0.22725165894345403</v>
      </c>
      <c r="W217" s="31">
        <f>Settings!$B$19*(O217-G$6)^2</f>
        <v>4.052361156742313E-2</v>
      </c>
      <c r="X217" s="31">
        <f>Settings!$B$20*(P217-H$6)^2</f>
        <v>7.8429395077924235E-2</v>
      </c>
      <c r="Y217" s="31">
        <f>Settings!$B$21*(Q217-I$6)^2</f>
        <v>1.7617733052980231</v>
      </c>
      <c r="Z217" s="31">
        <f>Settings!$B$22*(R217-J$6)^2</f>
        <v>2.1350998430521663E-2</v>
      </c>
      <c r="AA217" s="31">
        <f>Settings!$B$23*(S217-K$6)^2</f>
        <v>3.4270138919367641</v>
      </c>
      <c r="AB217" s="31">
        <f>Settings!$B$24*(T217-L$6)^2</f>
        <v>0.97275313563333921</v>
      </c>
      <c r="AC217" s="31">
        <f>Settings!$B$25*(U217-M$6)^2</f>
        <v>5.1516976502181553</v>
      </c>
      <c r="AD217" s="19">
        <f t="shared" si="12"/>
        <v>3.4177176078642901</v>
      </c>
      <c r="AE217" s="15">
        <f t="shared" si="13"/>
        <v>1.3527945910186401</v>
      </c>
      <c r="AF217" s="33">
        <f t="shared" si="14"/>
        <v>0.40050597139101157</v>
      </c>
      <c r="AG217" s="47">
        <f t="shared" si="15"/>
        <v>2.3611754798113192E-3</v>
      </c>
      <c r="AH217" s="18">
        <v>-0.63677764870258058</v>
      </c>
      <c r="AI217" s="46">
        <v>0</v>
      </c>
      <c r="AJ217" s="18">
        <v>-0.58167074404839481</v>
      </c>
      <c r="AK217" s="46">
        <v>0</v>
      </c>
      <c r="AL217" s="18">
        <v>0.35602037547498849</v>
      </c>
      <c r="AM217" s="46">
        <v>0</v>
      </c>
      <c r="AN217" s="18">
        <v>-2.621363157484774E-2</v>
      </c>
      <c r="AO217" s="46">
        <v>0</v>
      </c>
      <c r="AP217" s="18">
        <v>-0.29060766372131103</v>
      </c>
      <c r="AQ217" s="46">
        <v>1</v>
      </c>
    </row>
    <row r="218" spans="1:43" ht="20" customHeight="1" x14ac:dyDescent="0.45">
      <c r="A218" s="26">
        <v>208</v>
      </c>
      <c r="B218" s="16" t="s">
        <v>549</v>
      </c>
      <c r="C218" s="16" t="s">
        <v>246</v>
      </c>
      <c r="D218" s="46">
        <v>29</v>
      </c>
      <c r="E218" s="46">
        <v>1</v>
      </c>
      <c r="F218" s="13">
        <v>-0.1956145655367382</v>
      </c>
      <c r="G218" s="13">
        <v>0.39999949085670877</v>
      </c>
      <c r="H218" s="13">
        <v>-3.6605731291839182E-3</v>
      </c>
      <c r="I218" s="13">
        <v>0.18792094163344991</v>
      </c>
      <c r="J218" s="13">
        <v>0.2128044288439192</v>
      </c>
      <c r="K218" s="13">
        <v>11.471988795518209</v>
      </c>
      <c r="L218" s="13">
        <v>0.32658529413793652</v>
      </c>
      <c r="M218" s="13">
        <v>-1.5060649750854771</v>
      </c>
      <c r="N218" s="19">
        <f>(F218-Settings!$D$18)/Settings!$E$18</f>
        <v>-1.3884024036362828</v>
      </c>
      <c r="O218" s="19">
        <f>(G218-Settings!$D$19)/Settings!$E$19</f>
        <v>1.694119848162108</v>
      </c>
      <c r="P218" s="19">
        <f>(H218-Settings!$D$20)/Settings!$E$20</f>
        <v>-0.51450810724686769</v>
      </c>
      <c r="Q218" s="19">
        <f>(I218-Settings!$D$21)/Settings!$E$21</f>
        <v>2.3471307378488628</v>
      </c>
      <c r="R218" s="19">
        <f>(J218-Settings!$D$22)/Settings!$E$22</f>
        <v>-9.4321972130700676E-2</v>
      </c>
      <c r="S218" s="19">
        <f>(K218-Settings!$D$23)/Settings!$E$23</f>
        <v>-1.3138262629103987</v>
      </c>
      <c r="T218" s="19">
        <f>(L218-Settings!$D$24)/Settings!$E$24</f>
        <v>-0.67869089431867879</v>
      </c>
      <c r="U218" s="19">
        <f>(M218-Settings!$D$25)/Settings!$E$25</f>
        <v>-0.97973673498554814</v>
      </c>
      <c r="V218" s="31">
        <f>Settings!$B$18*(N218-F$6)^2</f>
        <v>0.88974595398428036</v>
      </c>
      <c r="W218" s="31">
        <f>Settings!$B$19*(O218-G$6)^2</f>
        <v>0.62151314112884848</v>
      </c>
      <c r="X218" s="31">
        <f>Settings!$B$20*(P218-H$6)^2</f>
        <v>7.9478091700900366E-2</v>
      </c>
      <c r="Y218" s="31">
        <f>Settings!$B$21*(Q218-I$6)^2</f>
        <v>0.73525286605922568</v>
      </c>
      <c r="Z218" s="31">
        <f>Settings!$B$22*(R218-J$6)^2</f>
        <v>0.10744366966667518</v>
      </c>
      <c r="AA218" s="31">
        <f>Settings!$B$23*(S218-K$6)^2</f>
        <v>6.0540865081448283</v>
      </c>
      <c r="AB218" s="31">
        <f>Settings!$B$24*(T218-L$6)^2</f>
        <v>1.1504007254469955</v>
      </c>
      <c r="AC218" s="31">
        <f>Settings!$B$25*(U218-M$6)^2</f>
        <v>2.1609522774710781</v>
      </c>
      <c r="AD218" s="19">
        <f t="shared" si="12"/>
        <v>3.4349487963582273</v>
      </c>
      <c r="AE218" s="15">
        <f t="shared" si="13"/>
        <v>1.3596150078189584</v>
      </c>
      <c r="AF218" s="33">
        <f t="shared" si="14"/>
        <v>0.39681841941850904</v>
      </c>
      <c r="AG218" s="47">
        <f t="shared" si="15"/>
        <v>2.3394355859771218E-3</v>
      </c>
      <c r="AH218" s="18">
        <v>-0.61964895343496529</v>
      </c>
      <c r="AI218" s="46">
        <v>1</v>
      </c>
      <c r="AJ218" s="48"/>
      <c r="AK218" s="48"/>
      <c r="AL218" s="48"/>
      <c r="AM218" s="48"/>
      <c r="AN218" s="48"/>
      <c r="AO218" s="48"/>
      <c r="AP218" s="48"/>
      <c r="AQ218" s="48"/>
    </row>
    <row r="219" spans="1:43" ht="20" customHeight="1" x14ac:dyDescent="0.45">
      <c r="A219" s="26">
        <v>209</v>
      </c>
      <c r="B219" s="16" t="s">
        <v>481</v>
      </c>
      <c r="C219" s="16" t="s">
        <v>216</v>
      </c>
      <c r="D219" s="46">
        <v>29</v>
      </c>
      <c r="E219" s="46">
        <v>1</v>
      </c>
      <c r="F219" s="13">
        <v>-0.3265144401624715</v>
      </c>
      <c r="G219" s="13">
        <v>-0.38331507929614522</v>
      </c>
      <c r="H219" s="13">
        <v>0.1064497083732136</v>
      </c>
      <c r="I219" s="13">
        <v>-3.5408156190514649E-2</v>
      </c>
      <c r="J219" s="13">
        <v>-0.14831261597765499</v>
      </c>
      <c r="K219" s="13">
        <v>13.19070048309178</v>
      </c>
      <c r="L219" s="13">
        <v>-0.34644358523568392</v>
      </c>
      <c r="M219" s="13">
        <v>-0.92649525855967185</v>
      </c>
      <c r="N219" s="19">
        <f>(F219-Settings!$D$18)/Settings!$E$18</f>
        <v>-1.8568848948398549</v>
      </c>
      <c r="O219" s="19">
        <f>(G219-Settings!$D$19)/Settings!$E$19</f>
        <v>-1.5692684894640649</v>
      </c>
      <c r="P219" s="19">
        <f>(H219-Settings!$D$20)/Settings!$E$20</f>
        <v>0.48311221717050445</v>
      </c>
      <c r="Q219" s="19">
        <f>(I219-Settings!$D$21)/Settings!$E$21</f>
        <v>-0.3992158618679636</v>
      </c>
      <c r="R219" s="19">
        <f>(J219-Settings!$D$22)/Settings!$E$22</f>
        <v>-1.0659243828248237</v>
      </c>
      <c r="S219" s="19">
        <f>(K219-Settings!$D$23)/Settings!$E$23</f>
        <v>-0.7169572262987628</v>
      </c>
      <c r="T219" s="19">
        <f>(L219-Settings!$D$24)/Settings!$E$24</f>
        <v>-1.1439925722207831</v>
      </c>
      <c r="U219" s="19">
        <f>(M219-Settings!$D$25)/Settings!$E$25</f>
        <v>-0.58886846320124719</v>
      </c>
      <c r="V219" s="31">
        <f>Settings!$B$18*(N219-F$6)^2</f>
        <v>1.3288906589610037</v>
      </c>
      <c r="W219" s="31">
        <f>Settings!$B$19*(O219-G$6)^2</f>
        <v>0.45033572943117939</v>
      </c>
      <c r="X219" s="31">
        <f>Settings!$B$20*(P219-H$6)^2</f>
        <v>2.6971749648218038E-2</v>
      </c>
      <c r="Y219" s="31">
        <f>Settings!$B$21*(Q219-I$6)^2</f>
        <v>0.13744419225952606</v>
      </c>
      <c r="Z219" s="31">
        <f>Settings!$B$22*(R219-J$6)^2</f>
        <v>0.58110101479259424</v>
      </c>
      <c r="AA219" s="31">
        <f>Settings!$B$23*(S219-K$6)^2</f>
        <v>3.4731402561407032</v>
      </c>
      <c r="AB219" s="31">
        <f>Settings!$B$24*(T219-L$6)^2</f>
        <v>2.3650411543804717</v>
      </c>
      <c r="AC219" s="31">
        <f>Settings!$B$25*(U219-M$6)^2</f>
        <v>3.462896902731909</v>
      </c>
      <c r="AD219" s="19">
        <f t="shared" si="12"/>
        <v>3.4388692412398596</v>
      </c>
      <c r="AE219" s="15">
        <f t="shared" si="13"/>
        <v>1.3611667909791747</v>
      </c>
      <c r="AF219" s="33">
        <f t="shared" si="14"/>
        <v>0.39598160674014704</v>
      </c>
      <c r="AG219" s="47">
        <f t="shared" si="15"/>
        <v>2.3345021724490256E-3</v>
      </c>
      <c r="AH219" s="18">
        <v>7.2582526997038987E-2</v>
      </c>
      <c r="AI219" s="46">
        <v>1</v>
      </c>
      <c r="AJ219" s="18">
        <v>0.18998726911744651</v>
      </c>
      <c r="AK219" s="46">
        <v>1</v>
      </c>
      <c r="AL219" s="48"/>
      <c r="AM219" s="48"/>
      <c r="AN219" s="48"/>
      <c r="AO219" s="48"/>
      <c r="AP219" s="48"/>
      <c r="AQ219" s="48"/>
    </row>
    <row r="220" spans="1:43" ht="20" customHeight="1" x14ac:dyDescent="0.45">
      <c r="A220" s="26">
        <v>210</v>
      </c>
      <c r="B220" s="16" t="s">
        <v>503</v>
      </c>
      <c r="C220" s="16" t="s">
        <v>229</v>
      </c>
      <c r="D220" s="46">
        <v>29</v>
      </c>
      <c r="E220" s="46">
        <v>1</v>
      </c>
      <c r="F220" s="13">
        <v>0.53139303776217328</v>
      </c>
      <c r="G220" s="13">
        <v>-0.41701821726579003</v>
      </c>
      <c r="H220" s="13">
        <v>-4.2152286453982613E-2</v>
      </c>
      <c r="I220" s="13">
        <v>-8.7662912220615489E-4</v>
      </c>
      <c r="J220" s="13">
        <v>8.5598293958480034E-3</v>
      </c>
      <c r="K220" s="13">
        <v>11.553174603174609</v>
      </c>
      <c r="L220" s="13">
        <v>0.52157951807351599</v>
      </c>
      <c r="M220" s="13">
        <v>-0.75708111901611486</v>
      </c>
      <c r="N220" s="19">
        <f>(F220-Settings!$D$18)/Settings!$E$18</f>
        <v>1.2135124881176045</v>
      </c>
      <c r="O220" s="19">
        <f>(G220-Settings!$D$19)/Settings!$E$19</f>
        <v>-1.709680057922548</v>
      </c>
      <c r="P220" s="19">
        <f>(H220-Settings!$D$20)/Settings!$E$20</f>
        <v>-0.86325043185558314</v>
      </c>
      <c r="Q220" s="19">
        <f>(I220-Settings!$D$21)/Settings!$E$21</f>
        <v>2.5428946493869828E-2</v>
      </c>
      <c r="R220" s="19">
        <f>(J220-Settings!$D$22)/Settings!$E$22</f>
        <v>-0.64385168290093531</v>
      </c>
      <c r="S220" s="19">
        <f>(K220-Settings!$D$23)/Settings!$E$23</f>
        <v>-1.2856322992847578</v>
      </c>
      <c r="T220" s="19">
        <f>(L220-Settings!$D$24)/Settings!$E$24</f>
        <v>-0.5438807214433542</v>
      </c>
      <c r="U220" s="19">
        <f>(M220-Settings!$D$25)/Settings!$E$25</f>
        <v>-0.47461368064263126</v>
      </c>
      <c r="V220" s="31">
        <f>Settings!$B$18*(N220-F$6)^2</f>
        <v>4.8553353238838422E-2</v>
      </c>
      <c r="W220" s="31">
        <f>Settings!$B$19*(O220-G$6)^2</f>
        <v>0.53855717322223151</v>
      </c>
      <c r="X220" s="31">
        <f>Settings!$B$20*(P220-H$6)^2</f>
        <v>0.19173968210047493</v>
      </c>
      <c r="Y220" s="31">
        <f>Settings!$B$21*(Q220-I$6)^2</f>
        <v>3.2698669390017192E-2</v>
      </c>
      <c r="Z220" s="31">
        <f>Settings!$B$22*(R220-J$6)^2</f>
        <v>0.32895176761668599</v>
      </c>
      <c r="AA220" s="31">
        <f>Settings!$B$23*(S220-K$6)^2</f>
        <v>5.9161386118458852</v>
      </c>
      <c r="AB220" s="31">
        <f>Settings!$B$24*(T220-L$6)^2</f>
        <v>0.87938852776113408</v>
      </c>
      <c r="AC220" s="31">
        <f>Settings!$B$25*(U220-M$6)^2</f>
        <v>3.9011813208027708</v>
      </c>
      <c r="AD220" s="19">
        <f t="shared" si="12"/>
        <v>3.4405245393657693</v>
      </c>
      <c r="AE220" s="15">
        <f t="shared" si="13"/>
        <v>1.3618219879872895</v>
      </c>
      <c r="AF220" s="33">
        <f t="shared" si="14"/>
        <v>0.39562853001971754</v>
      </c>
      <c r="AG220" s="47">
        <f t="shared" si="15"/>
        <v>2.3324206152331001E-3</v>
      </c>
      <c r="AH220" s="18">
        <v>-0.76028932413883832</v>
      </c>
      <c r="AI220" s="46">
        <v>1</v>
      </c>
      <c r="AJ220" s="18">
        <v>7.5732727334894057E-2</v>
      </c>
      <c r="AK220" s="46">
        <v>1</v>
      </c>
      <c r="AL220" s="18">
        <v>0.84104349675512136</v>
      </c>
      <c r="AM220" s="46">
        <v>1</v>
      </c>
      <c r="AN220" s="48"/>
      <c r="AO220" s="48"/>
      <c r="AP220" s="48"/>
      <c r="AQ220" s="48"/>
    </row>
    <row r="221" spans="1:43" ht="20" customHeight="1" x14ac:dyDescent="0.45">
      <c r="A221" s="26">
        <v>211</v>
      </c>
      <c r="B221" s="16" t="s">
        <v>334</v>
      </c>
      <c r="C221" s="16" t="s">
        <v>258</v>
      </c>
      <c r="D221" s="46">
        <v>29</v>
      </c>
      <c r="E221" s="46">
        <v>0</v>
      </c>
      <c r="F221" s="13">
        <v>0.23506848191332769</v>
      </c>
      <c r="G221" s="13">
        <v>-0.19389170213709311</v>
      </c>
      <c r="H221" s="13">
        <v>0.1451324528678537</v>
      </c>
      <c r="I221" s="13">
        <v>4.118106082479445E-3</v>
      </c>
      <c r="J221" s="13">
        <v>0.42178925699924602</v>
      </c>
      <c r="K221" s="13">
        <v>17.070977011494229</v>
      </c>
      <c r="L221" s="13">
        <v>2.3889139659375429</v>
      </c>
      <c r="M221" s="13">
        <v>1.322217730703904</v>
      </c>
      <c r="N221" s="19">
        <f>(F221-Settings!$D$18)/Settings!$E$18</f>
        <v>0.15298537511784657</v>
      </c>
      <c r="O221" s="19">
        <f>(G221-Settings!$D$19)/Settings!$E$19</f>
        <v>-0.78010655701847265</v>
      </c>
      <c r="P221" s="19">
        <f>(H221-Settings!$D$20)/Settings!$E$20</f>
        <v>0.83358532091292747</v>
      </c>
      <c r="Q221" s="19">
        <f>(I221-Settings!$D$21)/Settings!$E$21</f>
        <v>8.6850741412356616E-2</v>
      </c>
      <c r="R221" s="19">
        <f>(J221-Settings!$D$22)/Settings!$E$22</f>
        <v>0.46796154714914523</v>
      </c>
      <c r="S221" s="19">
        <f>(K221-Settings!$D$23)/Settings!$E$23</f>
        <v>0.63057356088288563</v>
      </c>
      <c r="T221" s="19">
        <f>(L221-Settings!$D$24)/Settings!$E$24</f>
        <v>0.74710972253905128</v>
      </c>
      <c r="U221" s="19">
        <f>(M221-Settings!$D$25)/Settings!$E$25</f>
        <v>0.92768862180515721</v>
      </c>
      <c r="V221" s="31">
        <f>Settings!$B$18*(N221-F$6)^2</f>
        <v>6.4482419921997505E-2</v>
      </c>
      <c r="W221" s="31">
        <f>Settings!$B$19*(O221-G$6)^2</f>
        <v>0.10121728409570274</v>
      </c>
      <c r="X221" s="31">
        <f>Settings!$B$20*(P221-H$6)^2</f>
        <v>0.10301989117201238</v>
      </c>
      <c r="Y221" s="31">
        <f>Settings!$B$21*(Q221-I$6)^2</f>
        <v>2.3519005047593671E-2</v>
      </c>
      <c r="Z221" s="31">
        <f>Settings!$B$22*(R221-J$6)^2</f>
        <v>5.825532744571588E-3</v>
      </c>
      <c r="AA221" s="31">
        <f>Settings!$B$23*(S221-K$6)^2</f>
        <v>0.26636489965891391</v>
      </c>
      <c r="AB221" s="31">
        <f>Settings!$B$24*(T221-L$6)^2</f>
        <v>0.12477373911529871</v>
      </c>
      <c r="AC221" s="31">
        <f>Settings!$B$25*(U221-M$6)^2</f>
        <v>11.407122151341346</v>
      </c>
      <c r="AD221" s="19">
        <f t="shared" si="12"/>
        <v>3.4779771309048937</v>
      </c>
      <c r="AE221" s="15">
        <f t="shared" si="13"/>
        <v>1.3766464027186807</v>
      </c>
      <c r="AF221" s="33">
        <f t="shared" si="14"/>
        <v>0.387678977632889</v>
      </c>
      <c r="AG221" s="47">
        <f t="shared" si="15"/>
        <v>2.2855541774966953E-3</v>
      </c>
      <c r="AH221" s="18">
        <v>-0.98327251324597986</v>
      </c>
      <c r="AI221" s="46">
        <v>0</v>
      </c>
      <c r="AJ221" s="18">
        <v>-1.480872966221396</v>
      </c>
      <c r="AK221" s="46">
        <v>0</v>
      </c>
      <c r="AL221" s="18">
        <v>0.63331726526185583</v>
      </c>
      <c r="AM221" s="46">
        <v>0</v>
      </c>
      <c r="AN221" s="18">
        <v>0.27015739599320959</v>
      </c>
      <c r="AO221" s="46">
        <v>0</v>
      </c>
      <c r="AP221" s="18">
        <v>-0.12815265522674821</v>
      </c>
      <c r="AQ221" s="46">
        <v>0</v>
      </c>
    </row>
    <row r="222" spans="1:43" ht="20" customHeight="1" x14ac:dyDescent="0.45">
      <c r="A222" s="26">
        <v>212</v>
      </c>
      <c r="B222" s="16" t="s">
        <v>484</v>
      </c>
      <c r="C222" s="16" t="s">
        <v>212</v>
      </c>
      <c r="D222" s="46">
        <v>29</v>
      </c>
      <c r="E222" s="46">
        <v>0</v>
      </c>
      <c r="F222" s="13">
        <v>0.20193189536711689</v>
      </c>
      <c r="G222" s="13">
        <v>-0.1078289732098959</v>
      </c>
      <c r="H222" s="13">
        <v>0.21082619814073389</v>
      </c>
      <c r="I222" s="13">
        <v>2.5112994998644701E-2</v>
      </c>
      <c r="J222" s="13">
        <v>0.4542999382836086</v>
      </c>
      <c r="K222" s="13">
        <v>17.98020050125308</v>
      </c>
      <c r="L222" s="13">
        <v>2.1502384658576941</v>
      </c>
      <c r="M222" s="13">
        <v>1.3548606939205381</v>
      </c>
      <c r="N222" s="19">
        <f>(F222-Settings!$D$18)/Settings!$E$18</f>
        <v>3.4391597549019229E-2</v>
      </c>
      <c r="O222" s="19">
        <f>(G222-Settings!$D$19)/Settings!$E$19</f>
        <v>-0.42155825907159222</v>
      </c>
      <c r="P222" s="19">
        <f>(H222-Settings!$D$20)/Settings!$E$20</f>
        <v>1.4287832858722298</v>
      </c>
      <c r="Q222" s="19">
        <f>(I222-Settings!$D$21)/Settings!$E$21</f>
        <v>0.34503134729019824</v>
      </c>
      <c r="R222" s="19">
        <f>(J222-Settings!$D$22)/Settings!$E$22</f>
        <v>0.55543306576661222</v>
      </c>
      <c r="S222" s="19">
        <f>(K222-Settings!$D$23)/Settings!$E$23</f>
        <v>0.94632596561761229</v>
      </c>
      <c r="T222" s="19">
        <f>(L222-Settings!$D$24)/Settings!$E$24</f>
        <v>0.58210029417003983</v>
      </c>
      <c r="U222" s="19">
        <f>(M222-Settings!$D$25)/Settings!$E$25</f>
        <v>0.94970339975954698</v>
      </c>
      <c r="V222" s="31">
        <f>Settings!$B$18*(N222-F$6)^2</f>
        <v>9.4230972932423163E-2</v>
      </c>
      <c r="W222" s="31">
        <f>Settings!$B$19*(O222-G$6)^2</f>
        <v>2.4900513611133782E-2</v>
      </c>
      <c r="X222" s="31">
        <f>Settings!$B$20*(P222-H$6)^2</f>
        <v>0.34474246913343126</v>
      </c>
      <c r="Y222" s="31">
        <f>Settings!$B$21*(Q222-I$6)^2</f>
        <v>1.4361974060937465E-3</v>
      </c>
      <c r="Z222" s="31">
        <f>Settings!$B$22*(R222-J$6)^2</f>
        <v>1.3843404085575567E-3</v>
      </c>
      <c r="AA222" s="31">
        <f>Settings!$B$23*(S222-K$6)^2</f>
        <v>4.0141367646025931E-2</v>
      </c>
      <c r="AB222" s="31">
        <f>Settings!$B$24*(T222-L$6)^2</f>
        <v>3.5428212469732941E-2</v>
      </c>
      <c r="AC222" s="31">
        <f>Settings!$B$25*(U222-M$6)^2</f>
        <v>11.556314123269003</v>
      </c>
      <c r="AD222" s="19">
        <f t="shared" si="12"/>
        <v>3.4783010503515075</v>
      </c>
      <c r="AE222" s="15">
        <f t="shared" si="13"/>
        <v>1.3767746159081777</v>
      </c>
      <c r="AF222" s="33">
        <f t="shared" si="14"/>
        <v>0.3876105535075442</v>
      </c>
      <c r="AG222" s="47">
        <f t="shared" si="15"/>
        <v>2.2851507843427042E-3</v>
      </c>
      <c r="AH222" s="18">
        <v>0.1238660788417469</v>
      </c>
      <c r="AI222" s="46">
        <v>0</v>
      </c>
      <c r="AJ222" s="18">
        <v>0.58595714102500773</v>
      </c>
      <c r="AK222" s="46">
        <v>0</v>
      </c>
      <c r="AL222" s="18">
        <v>0.20198373521713051</v>
      </c>
      <c r="AM222" s="46">
        <v>0</v>
      </c>
      <c r="AN222" s="18">
        <v>-0.75025430578612085</v>
      </c>
      <c r="AO222" s="46">
        <v>0</v>
      </c>
      <c r="AP222" s="18">
        <v>-0.94808235515614925</v>
      </c>
      <c r="AQ222" s="46">
        <v>0</v>
      </c>
    </row>
    <row r="223" spans="1:43" ht="20" customHeight="1" x14ac:dyDescent="0.45">
      <c r="A223" s="26">
        <v>213</v>
      </c>
      <c r="B223" s="16" t="s">
        <v>433</v>
      </c>
      <c r="C223" s="16" t="s">
        <v>224</v>
      </c>
      <c r="D223" s="46">
        <v>29</v>
      </c>
      <c r="E223" s="46">
        <v>0</v>
      </c>
      <c r="F223" s="13">
        <v>0.21350583364172049</v>
      </c>
      <c r="G223" s="13">
        <v>0.24723071368817129</v>
      </c>
      <c r="H223" s="13">
        <v>0.15630126830179311</v>
      </c>
      <c r="I223" s="13">
        <v>-1.4496294304442679E-2</v>
      </c>
      <c r="J223" s="13">
        <v>0.36846589006387248</v>
      </c>
      <c r="K223" s="13">
        <v>17.18487858719649</v>
      </c>
      <c r="L223" s="13">
        <v>2.168499721545778</v>
      </c>
      <c r="M223" s="13">
        <v>1.3162351557136751</v>
      </c>
      <c r="N223" s="19">
        <f>(F223-Settings!$D$18)/Settings!$E$18</f>
        <v>7.5814001133634498E-2</v>
      </c>
      <c r="O223" s="19">
        <f>(G223-Settings!$D$19)/Settings!$E$19</f>
        <v>1.0576656511363431</v>
      </c>
      <c r="P223" s="19">
        <f>(H223-Settings!$D$20)/Settings!$E$20</f>
        <v>0.93477693648718951</v>
      </c>
      <c r="Q223" s="19">
        <f>(I223-Settings!$D$21)/Settings!$E$21</f>
        <v>-0.14205626491373752</v>
      </c>
      <c r="R223" s="19">
        <f>(J223-Settings!$D$22)/Settings!$E$22</f>
        <v>0.32449251791422001</v>
      </c>
      <c r="S223" s="19">
        <f>(K223-Settings!$D$23)/Settings!$E$23</f>
        <v>0.67012895824795171</v>
      </c>
      <c r="T223" s="19">
        <f>(L223-Settings!$D$24)/Settings!$E$24</f>
        <v>0.59472529908836202</v>
      </c>
      <c r="U223" s="19">
        <f>(M223-Settings!$D$25)/Settings!$E$25</f>
        <v>0.92365390660080149</v>
      </c>
      <c r="V223" s="31">
        <f>Settings!$B$18*(N223-F$6)^2</f>
        <v>8.3201081364632945E-2</v>
      </c>
      <c r="W223" s="31">
        <f>Settings!$B$19*(O223-G$6)^2</f>
        <v>0.2537439911013088</v>
      </c>
      <c r="X223" s="31">
        <f>Settings!$B$20*(P223-H$6)^2</f>
        <v>0.13411810265329283</v>
      </c>
      <c r="Y223" s="31">
        <f>Settings!$B$21*(Q223-I$6)^2</f>
        <v>6.5397524799150411E-2</v>
      </c>
      <c r="Z223" s="31">
        <f>Settings!$B$22*(R223-J$6)^2</f>
        <v>1.9736450519204089E-2</v>
      </c>
      <c r="AA223" s="31">
        <f>Settings!$B$23*(S223-K$6)^2</f>
        <v>0.22710001188980714</v>
      </c>
      <c r="AB223" s="31">
        <f>Settings!$B$24*(T223-L$6)^2</f>
        <v>4.034025693150279E-2</v>
      </c>
      <c r="AC223" s="31">
        <f>Settings!$B$25*(U223-M$6)^2</f>
        <v>11.379884387905555</v>
      </c>
      <c r="AD223" s="19">
        <f t="shared" si="12"/>
        <v>3.4933539481656384</v>
      </c>
      <c r="AE223" s="15">
        <f t="shared" si="13"/>
        <v>1.3827328257659073</v>
      </c>
      <c r="AF223" s="33">
        <f t="shared" si="14"/>
        <v>0.38443712259337998</v>
      </c>
      <c r="AG223" s="47">
        <f t="shared" si="15"/>
        <v>2.2664418816130509E-3</v>
      </c>
      <c r="AH223" s="18">
        <v>-0.51455005757610439</v>
      </c>
      <c r="AI223" s="46">
        <v>0</v>
      </c>
      <c r="AJ223" s="18">
        <v>-0.69335653931505914</v>
      </c>
      <c r="AK223" s="46">
        <v>1</v>
      </c>
      <c r="AL223" s="18">
        <v>-0.32420725611778412</v>
      </c>
      <c r="AM223" s="46">
        <v>1</v>
      </c>
      <c r="AN223" s="18">
        <v>-0.7182801687262208</v>
      </c>
      <c r="AO223" s="46">
        <v>1</v>
      </c>
      <c r="AP223" s="18">
        <v>-0.2348588248039066</v>
      </c>
      <c r="AQ223" s="46">
        <v>1</v>
      </c>
    </row>
    <row r="224" spans="1:43" ht="20" customHeight="1" x14ac:dyDescent="0.45">
      <c r="A224" s="26">
        <v>214</v>
      </c>
      <c r="B224" s="16" t="s">
        <v>470</v>
      </c>
      <c r="C224" s="16" t="s">
        <v>271</v>
      </c>
      <c r="D224" s="46">
        <v>29</v>
      </c>
      <c r="E224" s="46">
        <v>1</v>
      </c>
      <c r="F224" s="13">
        <v>0.49336753109894871</v>
      </c>
      <c r="G224" s="13">
        <v>-0.43640432979657001</v>
      </c>
      <c r="H224" s="13">
        <v>-3.5242161564911952E-3</v>
      </c>
      <c r="I224" s="13">
        <v>-5.8707490584736731E-4</v>
      </c>
      <c r="J224" s="13">
        <v>-6.6116848042142878E-2</v>
      </c>
      <c r="K224" s="13">
        <v>14.710534591195</v>
      </c>
      <c r="L224" s="13">
        <v>-0.23014247181213721</v>
      </c>
      <c r="M224" s="13">
        <v>0.27418989824050272</v>
      </c>
      <c r="N224" s="19">
        <f>(F224-Settings!$D$18)/Settings!$E$18</f>
        <v>1.0774215702171881</v>
      </c>
      <c r="O224" s="19">
        <f>(G224-Settings!$D$19)/Settings!$E$19</f>
        <v>-1.7904450736077673</v>
      </c>
      <c r="P224" s="19">
        <f>(H224-Settings!$D$20)/Settings!$E$20</f>
        <v>-0.51327268685307514</v>
      </c>
      <c r="Q224" s="19">
        <f>(I224-Settings!$D$21)/Settings!$E$21</f>
        <v>2.8989683743421799E-2</v>
      </c>
      <c r="R224" s="19">
        <f>(J224-Settings!$D$22)/Settings!$E$22</f>
        <v>-0.8447727993695</v>
      </c>
      <c r="S224" s="19">
        <f>(K224-Settings!$D$23)/Settings!$E$23</f>
        <v>-0.18915379860825143</v>
      </c>
      <c r="T224" s="19">
        <f>(L224-Settings!$D$24)/Settings!$E$24</f>
        <v>-1.0635872510282907</v>
      </c>
      <c r="U224" s="19">
        <f>(M224-Settings!$D$25)/Settings!$E$25</f>
        <v>0.22088697917899791</v>
      </c>
      <c r="V224" s="31">
        <f>Settings!$B$18*(N224-F$6)^2</f>
        <v>2.5435958272118926E-2</v>
      </c>
      <c r="W224" s="31">
        <f>Settings!$B$19*(O224-G$6)^2</f>
        <v>0.59287499062148674</v>
      </c>
      <c r="X224" s="31">
        <f>Settings!$B$20*(P224-H$6)^2</f>
        <v>7.9166878717432845E-2</v>
      </c>
      <c r="Y224" s="31">
        <f>Settings!$B$21*(Q224-I$6)^2</f>
        <v>3.2125301337054851E-2</v>
      </c>
      <c r="Z224" s="31">
        <f>Settings!$B$22*(R224-J$6)^2</f>
        <v>0.44009667381827688</v>
      </c>
      <c r="AA224" s="31">
        <f>Settings!$B$23*(S224-K$6)^2</f>
        <v>1.7844494609241355</v>
      </c>
      <c r="AB224" s="31">
        <f>Settings!$B$24*(T224-L$6)^2</f>
        <v>2.1242004633887364</v>
      </c>
      <c r="AC224" s="31">
        <f>Settings!$B$25*(U224-M$6)^2</f>
        <v>7.1323259975385582</v>
      </c>
      <c r="AD224" s="19">
        <f t="shared" si="12"/>
        <v>3.494377730672201</v>
      </c>
      <c r="AE224" s="15">
        <f t="shared" si="13"/>
        <v>1.3831380574427639</v>
      </c>
      <c r="AF224" s="33">
        <f t="shared" si="14"/>
        <v>0.38422174083121213</v>
      </c>
      <c r="AG224" s="47">
        <f t="shared" si="15"/>
        <v>2.2651721024537965E-3</v>
      </c>
      <c r="AH224" s="18">
        <v>0.5537626696070268</v>
      </c>
      <c r="AI224" s="46">
        <v>1</v>
      </c>
      <c r="AJ224" s="18">
        <v>8.5680079859852376E-2</v>
      </c>
      <c r="AK224" s="46">
        <v>1</v>
      </c>
      <c r="AL224" s="18">
        <v>-0.51929842288727723</v>
      </c>
      <c r="AM224" s="46">
        <v>1</v>
      </c>
      <c r="AN224" s="18">
        <v>-8.9563709170423528E-2</v>
      </c>
      <c r="AO224" s="46">
        <v>1</v>
      </c>
      <c r="AP224" s="18">
        <v>0.4217983121599716</v>
      </c>
      <c r="AQ224" s="46">
        <v>1</v>
      </c>
    </row>
    <row r="225" spans="1:43" ht="20" customHeight="1" x14ac:dyDescent="0.45">
      <c r="A225" s="26">
        <v>215</v>
      </c>
      <c r="B225" s="16" t="s">
        <v>346</v>
      </c>
      <c r="C225" s="16" t="s">
        <v>227</v>
      </c>
      <c r="D225" s="46">
        <v>29</v>
      </c>
      <c r="E225" s="46">
        <v>0</v>
      </c>
      <c r="F225" s="13">
        <v>-0.1558097439114865</v>
      </c>
      <c r="G225" s="13">
        <v>0.10287788078737151</v>
      </c>
      <c r="H225" s="13">
        <v>2.679289747303169E-2</v>
      </c>
      <c r="I225" s="13">
        <v>-0.1120940613806542</v>
      </c>
      <c r="J225" s="13">
        <v>0.60242541644745617</v>
      </c>
      <c r="K225" s="13">
        <v>13.929779411764679</v>
      </c>
      <c r="L225" s="13">
        <v>0.80887584050545314</v>
      </c>
      <c r="M225" s="13">
        <v>0.40966974229171638</v>
      </c>
      <c r="N225" s="19">
        <f>(F225-Settings!$D$18)/Settings!$E$18</f>
        <v>-1.2459434284063267</v>
      </c>
      <c r="O225" s="19">
        <f>(G225-Settings!$D$19)/Settings!$E$19</f>
        <v>0.45627335059501101</v>
      </c>
      <c r="P225" s="19">
        <f>(H225-Settings!$D$20)/Settings!$E$20</f>
        <v>-0.2385938074441219</v>
      </c>
      <c r="Q225" s="19">
        <f>(I225-Settings!$D$21)/Settings!$E$21</f>
        <v>-1.3422460223674852</v>
      </c>
      <c r="R225" s="19">
        <f>(J225-Settings!$D$22)/Settings!$E$22</f>
        <v>0.95397163860059064</v>
      </c>
      <c r="S225" s="19">
        <f>(K225-Settings!$D$23)/Settings!$E$23</f>
        <v>-0.46029211409502063</v>
      </c>
      <c r="T225" s="19">
        <f>(L225-Settings!$D$24)/Settings!$E$24</f>
        <v>-0.34525705910200255</v>
      </c>
      <c r="U225" s="19">
        <f>(M225-Settings!$D$25)/Settings!$E$25</f>
        <v>0.31225609491426892</v>
      </c>
      <c r="V225" s="31">
        <f>Settings!$B$18*(N225-F$6)^2</f>
        <v>0.77361500839027164</v>
      </c>
      <c r="W225" s="31">
        <f>Settings!$B$19*(O225-G$6)^2</f>
        <v>5.512130308196609E-2</v>
      </c>
      <c r="X225" s="31">
        <f>Settings!$B$20*(P225-H$6)^2</f>
        <v>2.5130481417814262E-2</v>
      </c>
      <c r="Y225" s="31">
        <f>Settings!$B$21*(Q225-I$6)^2</f>
        <v>0.62800961115925613</v>
      </c>
      <c r="Z225" s="31">
        <f>Settings!$B$22*(R225-J$6)^2</f>
        <v>1.9888090898646786E-2</v>
      </c>
      <c r="AA225" s="31">
        <f>Settings!$B$23*(S225-K$6)^2</f>
        <v>2.5823563962197293</v>
      </c>
      <c r="AB225" s="31">
        <f>Settings!$B$24*(T225-L$6)^2</f>
        <v>0.54631835623250791</v>
      </c>
      <c r="AC225" s="31">
        <f>Settings!$B$25*(U225-M$6)^2</f>
        <v>7.6287026166300986</v>
      </c>
      <c r="AD225" s="19">
        <f t="shared" si="12"/>
        <v>3.5013057370115925</v>
      </c>
      <c r="AE225" s="15">
        <f t="shared" si="13"/>
        <v>1.3858802879538237</v>
      </c>
      <c r="AF225" s="33">
        <f t="shared" si="14"/>
        <v>0.38276575361561943</v>
      </c>
      <c r="AG225" s="47">
        <f t="shared" si="15"/>
        <v>2.256588356996928E-3</v>
      </c>
      <c r="AH225" s="18">
        <v>-0.14103874351632689</v>
      </c>
      <c r="AI225" s="46">
        <v>0</v>
      </c>
      <c r="AJ225" s="18">
        <v>0.1899213229736052</v>
      </c>
      <c r="AK225" s="46">
        <v>0</v>
      </c>
      <c r="AL225" s="18">
        <v>-0.24438205443672351</v>
      </c>
      <c r="AM225" s="46">
        <v>0</v>
      </c>
      <c r="AN225" s="48"/>
      <c r="AO225" s="48"/>
      <c r="AP225" s="48"/>
      <c r="AQ225" s="48"/>
    </row>
    <row r="226" spans="1:43" ht="20" customHeight="1" x14ac:dyDescent="0.45">
      <c r="A226" s="26">
        <v>216</v>
      </c>
      <c r="B226" s="16" t="s">
        <v>769</v>
      </c>
      <c r="C226" s="16" t="s">
        <v>246</v>
      </c>
      <c r="D226" s="46">
        <v>29</v>
      </c>
      <c r="E226" s="46">
        <v>1</v>
      </c>
      <c r="F226" s="13">
        <v>0.18994732957785049</v>
      </c>
      <c r="G226" s="13">
        <v>0.13270407155695571</v>
      </c>
      <c r="H226" s="13">
        <v>-3.5879962396268887E-2</v>
      </c>
      <c r="I226" s="13">
        <v>5.6578019805373893E-2</v>
      </c>
      <c r="J226" s="13">
        <v>0.58489061666355113</v>
      </c>
      <c r="K226" s="13">
        <v>13.41141552511418</v>
      </c>
      <c r="L226" s="13">
        <v>1.683842144567363</v>
      </c>
      <c r="M226" s="13">
        <v>0.68080129351224894</v>
      </c>
      <c r="N226" s="19">
        <f>(F226-Settings!$D$18)/Settings!$E$18</f>
        <v>-8.5004163127333655E-3</v>
      </c>
      <c r="O226" s="19">
        <f>(G226-Settings!$D$19)/Settings!$E$19</f>
        <v>0.58053306287673312</v>
      </c>
      <c r="P226" s="19">
        <f>(H226-Settings!$D$20)/Settings!$E$20</f>
        <v>-0.80642196973625768</v>
      </c>
      <c r="Q226" s="19">
        <f>(I226-Settings!$D$21)/Settings!$E$21</f>
        <v>0.73196643425356656</v>
      </c>
      <c r="R226" s="19">
        <f>(J226-Settings!$D$22)/Settings!$E$22</f>
        <v>0.90679343423336467</v>
      </c>
      <c r="S226" s="19">
        <f>(K226-Settings!$D$23)/Settings!$E$23</f>
        <v>-0.64030796892180819</v>
      </c>
      <c r="T226" s="19">
        <f>(L226-Settings!$D$24)/Settings!$E$24</f>
        <v>0.25965500613762577</v>
      </c>
      <c r="U226" s="19">
        <f>(M226-Settings!$D$25)/Settings!$E$25</f>
        <v>0.49511023278578703</v>
      </c>
      <c r="V226" s="31">
        <f>Settings!$B$18*(N226-F$6)^2</f>
        <v>0.10637547301350742</v>
      </c>
      <c r="W226" s="31">
        <f>Settings!$B$19*(O226-G$6)^2</f>
        <v>8.430306286006467E-2</v>
      </c>
      <c r="X226" s="31">
        <f>Settings!$B$20*(P226-H$6)^2</f>
        <v>0.17012856295143639</v>
      </c>
      <c r="Y226" s="31">
        <f>Settings!$B$21*(Q226-I$6)^2</f>
        <v>1.8264288936150629E-2</v>
      </c>
      <c r="Z226" s="31">
        <f>Settings!$B$22*(R226-J$6)^2</f>
        <v>1.4382343428044696E-2</v>
      </c>
      <c r="AA226" s="31">
        <f>Settings!$B$23*(S226-K$6)^2</f>
        <v>3.1933226880700145</v>
      </c>
      <c r="AB226" s="31">
        <f>Settings!$B$24*(T226-L$6)^2</f>
        <v>1.8015398163456726E-2</v>
      </c>
      <c r="AC226" s="31">
        <f>Settings!$B$25*(U226-M$6)^2</f>
        <v>8.6722283905892219</v>
      </c>
      <c r="AD226" s="19">
        <f t="shared" si="12"/>
        <v>3.5038579035131971</v>
      </c>
      <c r="AE226" s="15">
        <f t="shared" si="13"/>
        <v>1.3868904817248964</v>
      </c>
      <c r="AF226" s="33">
        <f t="shared" si="14"/>
        <v>0.38223005854662473</v>
      </c>
      <c r="AG226" s="47">
        <f t="shared" si="15"/>
        <v>2.2534301767151883E-3</v>
      </c>
      <c r="AH226" s="18">
        <v>0.61919390151938369</v>
      </c>
      <c r="AI226" s="46">
        <v>1</v>
      </c>
      <c r="AJ226" s="48"/>
      <c r="AK226" s="48"/>
      <c r="AL226" s="48"/>
      <c r="AM226" s="48"/>
      <c r="AN226" s="48"/>
      <c r="AO226" s="48"/>
      <c r="AP226" s="48"/>
      <c r="AQ226" s="48"/>
    </row>
    <row r="227" spans="1:43" ht="20" customHeight="1" x14ac:dyDescent="0.45">
      <c r="A227" s="26">
        <v>217</v>
      </c>
      <c r="B227" s="16" t="s">
        <v>425</v>
      </c>
      <c r="C227" s="16" t="s">
        <v>229</v>
      </c>
      <c r="D227" s="46">
        <v>29</v>
      </c>
      <c r="E227" s="46">
        <v>1</v>
      </c>
      <c r="F227" s="13">
        <v>6.0789348446688854E-3</v>
      </c>
      <c r="G227" s="13">
        <v>-0.25771324874025248</v>
      </c>
      <c r="H227" s="13">
        <v>5.2532405104459688E-2</v>
      </c>
      <c r="I227" s="13">
        <v>-0.16343352495719971</v>
      </c>
      <c r="J227" s="13">
        <v>-0.52024188635341906</v>
      </c>
      <c r="K227" s="13">
        <v>13.991747572815539</v>
      </c>
      <c r="L227" s="13">
        <v>-0.63302072039700441</v>
      </c>
      <c r="M227" s="13">
        <v>-0.85210184006963363</v>
      </c>
      <c r="N227" s="19">
        <f>(F227-Settings!$D$18)/Settings!$E$18</f>
        <v>-0.66655393901082749</v>
      </c>
      <c r="O227" s="19">
        <f>(G227-Settings!$D$19)/Settings!$E$19</f>
        <v>-1.0459952546248168</v>
      </c>
      <c r="P227" s="19">
        <f>(H227-Settings!$D$20)/Settings!$E$20</f>
        <v>-5.3889186431654501E-3</v>
      </c>
      <c r="Q227" s="19">
        <f>(I227-Settings!$D$21)/Settings!$E$21</f>
        <v>-1.9735831951700609</v>
      </c>
      <c r="R227" s="19">
        <f>(J227-Settings!$D$22)/Settings!$E$22</f>
        <v>-2.0666175954183976</v>
      </c>
      <c r="S227" s="19">
        <f>(K227-Settings!$D$23)/Settings!$E$23</f>
        <v>-0.43877199710597603</v>
      </c>
      <c r="T227" s="19">
        <f>(L227-Settings!$D$24)/Settings!$E$24</f>
        <v>-1.3421190210635769</v>
      </c>
      <c r="U227" s="19">
        <f>(M227-Settings!$D$25)/Settings!$E$25</f>
        <v>-0.53869671321466417</v>
      </c>
      <c r="V227" s="31">
        <f>Settings!$B$18*(N227-F$6)^2</f>
        <v>0.38494953139475818</v>
      </c>
      <c r="W227" s="31">
        <f>Settings!$B$19*(O227-G$6)^2</f>
        <v>0.19101766720689678</v>
      </c>
      <c r="X227" s="31">
        <f>Settings!$B$20*(P227-H$6)^2</f>
        <v>2.9412798635393032E-3</v>
      </c>
      <c r="Y227" s="31">
        <f>Settings!$B$21*(Q227-I$6)^2</f>
        <v>1.1552232887958935</v>
      </c>
      <c r="Z227" s="31">
        <f>Settings!$B$22*(R227-J$6)^2</f>
        <v>1.4636727295633143</v>
      </c>
      <c r="AA227" s="31">
        <f>Settings!$B$23*(S227-K$6)^2</f>
        <v>2.513655095765448</v>
      </c>
      <c r="AB227" s="31">
        <f>Settings!$B$24*(T227-L$6)^2</f>
        <v>3.0136803036319981</v>
      </c>
      <c r="AC227" s="31">
        <f>Settings!$B$25*(U227-M$6)^2</f>
        <v>3.6521419268508915</v>
      </c>
      <c r="AD227" s="19">
        <f t="shared" si="12"/>
        <v>3.5181361291275728</v>
      </c>
      <c r="AE227" s="15">
        <f t="shared" si="13"/>
        <v>1.3925420622814717</v>
      </c>
      <c r="AF227" s="33">
        <f t="shared" si="14"/>
        <v>0.37923974641018932</v>
      </c>
      <c r="AG227" s="47">
        <f t="shared" si="15"/>
        <v>2.2358008473221435E-3</v>
      </c>
      <c r="AH227" s="18">
        <v>1.5115233559365711</v>
      </c>
      <c r="AI227" s="46">
        <v>1</v>
      </c>
      <c r="AJ227" s="18">
        <v>0.47670654877892787</v>
      </c>
      <c r="AK227" s="46">
        <v>1</v>
      </c>
      <c r="AL227" s="18">
        <v>-1.26292115606995</v>
      </c>
      <c r="AM227" s="46">
        <v>1</v>
      </c>
      <c r="AN227" s="48"/>
      <c r="AO227" s="48"/>
      <c r="AP227" s="48"/>
      <c r="AQ227" s="48"/>
    </row>
    <row r="228" spans="1:43" ht="20" customHeight="1" x14ac:dyDescent="0.45">
      <c r="A228" s="26">
        <v>218</v>
      </c>
      <c r="B228" s="16" t="s">
        <v>478</v>
      </c>
      <c r="C228" s="16" t="s">
        <v>214</v>
      </c>
      <c r="D228" s="46">
        <v>29</v>
      </c>
      <c r="E228" s="46">
        <v>1</v>
      </c>
      <c r="F228" s="13">
        <v>6.0973038276740103E-2</v>
      </c>
      <c r="G228" s="13">
        <v>0.37149180349904343</v>
      </c>
      <c r="H228" s="13">
        <v>8.2947116861196938E-3</v>
      </c>
      <c r="I228" s="13">
        <v>4.0950807373397083E-2</v>
      </c>
      <c r="J228" s="13">
        <v>0.51828963916469972</v>
      </c>
      <c r="K228" s="13">
        <v>14.732788671023959</v>
      </c>
      <c r="L228" s="13">
        <v>1.235387966245904</v>
      </c>
      <c r="M228" s="13">
        <v>0.94888951329626969</v>
      </c>
      <c r="N228" s="19">
        <f>(F228-Settings!$D$18)/Settings!$E$18</f>
        <v>-0.47009136483516323</v>
      </c>
      <c r="O228" s="19">
        <f>(G228-Settings!$D$19)/Settings!$E$19</f>
        <v>1.5753531891459938</v>
      </c>
      <c r="P228" s="19">
        <f>(H228-Settings!$D$20)/Settings!$E$20</f>
        <v>-0.406190927840823</v>
      </c>
      <c r="Q228" s="19">
        <f>(I228-Settings!$D$21)/Settings!$E$21</f>
        <v>0.539793796904531</v>
      </c>
      <c r="R228" s="19">
        <f>(J228-Settings!$D$22)/Settings!$E$22</f>
        <v>0.72760036865973121</v>
      </c>
      <c r="S228" s="19">
        <f>(K228-Settings!$D$23)/Settings!$E$23</f>
        <v>-0.18142546855486019</v>
      </c>
      <c r="T228" s="19">
        <f>(L228-Settings!$D$24)/Settings!$E$24</f>
        <v>-5.0385897054207048E-2</v>
      </c>
      <c r="U228" s="19">
        <f>(M228-Settings!$D$25)/Settings!$E$25</f>
        <v>0.67591191404140927</v>
      </c>
      <c r="V228" s="31">
        <f>Settings!$B$18*(N228-F$6)^2</f>
        <v>0.28364388286877368</v>
      </c>
      <c r="W228" s="31">
        <f>Settings!$B$19*(O228-G$6)^2</f>
        <v>0.54058812577687887</v>
      </c>
      <c r="X228" s="31">
        <f>Settings!$B$20*(P228-H$6)^2</f>
        <v>5.4511824863066063E-2</v>
      </c>
      <c r="Y228" s="31">
        <f>Settings!$B$21*(Q228-I$6)^2</f>
        <v>2.4209568714698465E-3</v>
      </c>
      <c r="Z228" s="31">
        <f>Settings!$B$22*(R228-J$6)^2</f>
        <v>1.5831512506655843E-3</v>
      </c>
      <c r="AA228" s="31">
        <f>Settings!$B$23*(S228-K$6)^2</f>
        <v>1.7638616733533155</v>
      </c>
      <c r="AB228" s="31">
        <f>Settings!$B$24*(T228-L$6)^2</f>
        <v>0.19736904019580576</v>
      </c>
      <c r="AC228" s="31">
        <f>Settings!$B$25*(U228-M$6)^2</f>
        <v>9.7697906339554539</v>
      </c>
      <c r="AD228" s="19">
        <f t="shared" si="12"/>
        <v>3.5515868691523553</v>
      </c>
      <c r="AE228" s="15">
        <f t="shared" si="13"/>
        <v>1.4057824716315508</v>
      </c>
      <c r="AF228" s="33">
        <f t="shared" si="14"/>
        <v>0.37227882392889733</v>
      </c>
      <c r="AG228" s="47">
        <f t="shared" si="15"/>
        <v>2.1947628587433224E-3</v>
      </c>
      <c r="AH228" s="48"/>
      <c r="AI228" s="48"/>
      <c r="AJ228" s="48"/>
      <c r="AK228" s="48"/>
      <c r="AL228" s="48"/>
      <c r="AM228" s="48"/>
      <c r="AN228" s="48"/>
      <c r="AO228" s="48"/>
      <c r="AP228" s="48"/>
      <c r="AQ228" s="48"/>
    </row>
    <row r="229" spans="1:43" ht="20" customHeight="1" x14ac:dyDescent="0.45">
      <c r="A229" s="26">
        <v>219</v>
      </c>
      <c r="B229" s="16" t="s">
        <v>269</v>
      </c>
      <c r="C229" s="16" t="s">
        <v>227</v>
      </c>
      <c r="D229" s="46">
        <v>29</v>
      </c>
      <c r="E229" s="46">
        <v>0</v>
      </c>
      <c r="F229" s="13">
        <v>0.12839789779583211</v>
      </c>
      <c r="G229" s="13">
        <v>-0.14479602474620359</v>
      </c>
      <c r="H229" s="13">
        <v>0.11030666006223599</v>
      </c>
      <c r="I229" s="13">
        <v>-1.274601032735232E-5</v>
      </c>
      <c r="J229" s="13">
        <v>0.61648667138540103</v>
      </c>
      <c r="K229" s="13">
        <v>19.853144654088052</v>
      </c>
      <c r="L229" s="13">
        <v>5.0208111247814857</v>
      </c>
      <c r="M229" s="13">
        <v>0.34013238020444092</v>
      </c>
      <c r="N229" s="19">
        <f>(F229-Settings!$D$18)/Settings!$E$18</f>
        <v>-0.22878199577068428</v>
      </c>
      <c r="O229" s="19">
        <f>(G229-Settings!$D$19)/Settings!$E$19</f>
        <v>-0.57556770745510855</v>
      </c>
      <c r="P229" s="19">
        <f>(H229-Settings!$D$20)/Settings!$E$20</f>
        <v>0.51805694115779954</v>
      </c>
      <c r="Q229" s="19">
        <f>(I229-Settings!$D$21)/Settings!$E$21</f>
        <v>3.6052382803683967E-2</v>
      </c>
      <c r="R229" s="19">
        <f>(J229-Settings!$D$22)/Settings!$E$22</f>
        <v>0.99180410702323774</v>
      </c>
      <c r="S229" s="19">
        <f>(K229-Settings!$D$23)/Settings!$E$23</f>
        <v>1.5967563898781407</v>
      </c>
      <c r="T229" s="19">
        <f>(L229-Settings!$D$24)/Settings!$E$24</f>
        <v>2.5666841889655321</v>
      </c>
      <c r="U229" s="19">
        <f>(M229-Settings!$D$25)/Settings!$E$25</f>
        <v>0.26535932345005053</v>
      </c>
      <c r="V229" s="31">
        <f>Settings!$B$18*(N229-F$6)^2</f>
        <v>0.18034074226654803</v>
      </c>
      <c r="W229" s="31">
        <f>Settings!$B$19*(O229-G$6)^2</f>
        <v>5.1381140794227877E-2</v>
      </c>
      <c r="X229" s="31">
        <f>Settings!$B$20*(P229-H$6)^2</f>
        <v>3.2349093450113164E-2</v>
      </c>
      <c r="Y229" s="31">
        <f>Settings!$B$21*(Q229-I$6)^2</f>
        <v>3.1003035578466634E-2</v>
      </c>
      <c r="Z229" s="31">
        <f>Settings!$B$22*(R229-J$6)^2</f>
        <v>2.4946413596337161E-2</v>
      </c>
      <c r="AA229" s="31">
        <f>Settings!$B$23*(S229-K$6)^2</f>
        <v>0.2025695911496993</v>
      </c>
      <c r="AB229" s="31">
        <f>Settings!$B$24*(T229-L$6)^2</f>
        <v>4.7210934353645682</v>
      </c>
      <c r="AC229" s="31">
        <f>Settings!$B$25*(U229-M$6)^2</f>
        <v>7.3718431629692569</v>
      </c>
      <c r="AD229" s="19">
        <f t="shared" si="12"/>
        <v>3.5518342606559243</v>
      </c>
      <c r="AE229" s="15">
        <f t="shared" si="13"/>
        <v>1.4058803936737705</v>
      </c>
      <c r="AF229" s="33">
        <f t="shared" si="14"/>
        <v>0.37222757885161417</v>
      </c>
      <c r="AG229" s="47">
        <f t="shared" si="15"/>
        <v>2.1944607443465714E-3</v>
      </c>
      <c r="AH229" s="18">
        <v>0.86130728363010167</v>
      </c>
      <c r="AI229" s="46">
        <v>0</v>
      </c>
      <c r="AJ229" s="18">
        <v>-1.480052043940753</v>
      </c>
      <c r="AK229" s="46">
        <v>0</v>
      </c>
      <c r="AL229" s="18">
        <v>-1.146815677821484</v>
      </c>
      <c r="AM229" s="46">
        <v>0</v>
      </c>
      <c r="AN229" s="18">
        <v>0.47519041093107323</v>
      </c>
      <c r="AO229" s="46">
        <v>1</v>
      </c>
      <c r="AP229" s="18">
        <v>-1.0015264878182609E-2</v>
      </c>
      <c r="AQ229" s="46">
        <v>1</v>
      </c>
    </row>
    <row r="230" spans="1:43" ht="20" customHeight="1" x14ac:dyDescent="0.45">
      <c r="A230" s="26">
        <v>220</v>
      </c>
      <c r="B230" s="16" t="s">
        <v>364</v>
      </c>
      <c r="C230" s="16" t="s">
        <v>220</v>
      </c>
      <c r="D230" s="46">
        <v>29</v>
      </c>
      <c r="E230" s="46">
        <v>1</v>
      </c>
      <c r="F230" s="13">
        <v>0.52997952950946559</v>
      </c>
      <c r="G230" s="13">
        <v>-0.22841512271652409</v>
      </c>
      <c r="H230" s="13">
        <v>-3.4181140688585659E-2</v>
      </c>
      <c r="I230" s="13">
        <v>-3.9677956936036399E-5</v>
      </c>
      <c r="J230" s="13">
        <v>0.20738452912848851</v>
      </c>
      <c r="K230" s="13">
        <v>15.658333333333349</v>
      </c>
      <c r="L230" s="13">
        <v>1.4396922496053071</v>
      </c>
      <c r="M230" s="13">
        <v>1.240116471143202</v>
      </c>
      <c r="N230" s="19">
        <f>(F230-Settings!$D$18)/Settings!$E$18</f>
        <v>1.2084536301969329</v>
      </c>
      <c r="O230" s="19">
        <f>(G230-Settings!$D$19)/Settings!$E$19</f>
        <v>-0.92393552737950346</v>
      </c>
      <c r="P230" s="19">
        <f>(H230-Settings!$D$20)/Settings!$E$20</f>
        <v>-0.79103031838434179</v>
      </c>
      <c r="Q230" s="19">
        <f>(I230-Settings!$D$21)/Settings!$E$21</f>
        <v>3.5721192373448063E-2</v>
      </c>
      <c r="R230" s="19">
        <f>(J230-Settings!$D$22)/Settings!$E$22</f>
        <v>-0.10890446748711551</v>
      </c>
      <c r="S230" s="19">
        <f>(K230-Settings!$D$23)/Settings!$E$23</f>
        <v>0.13999490399962644</v>
      </c>
      <c r="T230" s="19">
        <f>(L230-Settings!$D$24)/Settings!$E$24</f>
        <v>9.0860829145998925E-2</v>
      </c>
      <c r="U230" s="19">
        <f>(M230-Settings!$D$25)/Settings!$E$25</f>
        <v>0.87231861795441756</v>
      </c>
      <c r="V230" s="31">
        <f>Settings!$B$18*(N230-F$6)^2</f>
        <v>4.7561444255212165E-2</v>
      </c>
      <c r="W230" s="31">
        <f>Settings!$B$19*(O230-G$6)^2</f>
        <v>0.14628246732219186</v>
      </c>
      <c r="X230" s="31">
        <f>Settings!$B$20*(P230-H$6)^2</f>
        <v>0.16449763708118559</v>
      </c>
      <c r="Y230" s="31">
        <f>Settings!$B$21*(Q230-I$6)^2</f>
        <v>3.1055215990536914E-2</v>
      </c>
      <c r="Z230" s="31">
        <f>Settings!$B$22*(R230-J$6)^2</f>
        <v>0.11176150601751944</v>
      </c>
      <c r="AA230" s="31">
        <f>Settings!$B$23*(S230-K$6)^2</f>
        <v>1.013413016157412</v>
      </c>
      <c r="AB230" s="31">
        <f>Settings!$B$24*(T230-L$6)^2</f>
        <v>9.1818471382642639E-2</v>
      </c>
      <c r="AC230" s="31">
        <f>Settings!$B$25*(U230-M$6)^2</f>
        <v>11.036169909539295</v>
      </c>
      <c r="AD230" s="19">
        <f t="shared" si="12"/>
        <v>3.5556377301049662</v>
      </c>
      <c r="AE230" s="15">
        <f t="shared" si="13"/>
        <v>1.4073858758370508</v>
      </c>
      <c r="AF230" s="33">
        <f t="shared" si="14"/>
        <v>0.37144016102583438</v>
      </c>
      <c r="AG230" s="47">
        <f t="shared" si="15"/>
        <v>2.1898185372500323E-3</v>
      </c>
      <c r="AH230" s="18">
        <v>1.4614943540634691</v>
      </c>
      <c r="AI230" s="46">
        <v>1</v>
      </c>
      <c r="AJ230" s="18">
        <v>-0.1159707669546028</v>
      </c>
      <c r="AK230" s="46">
        <v>1</v>
      </c>
      <c r="AL230" s="18">
        <v>-1.4079184124923509</v>
      </c>
      <c r="AM230" s="46">
        <v>1</v>
      </c>
      <c r="AN230" s="18">
        <v>-2.3969216936334581E-2</v>
      </c>
      <c r="AO230" s="46">
        <v>1</v>
      </c>
      <c r="AP230" s="48"/>
      <c r="AQ230" s="48"/>
    </row>
    <row r="231" spans="1:43" ht="20" customHeight="1" x14ac:dyDescent="0.45">
      <c r="A231" s="26">
        <v>221</v>
      </c>
      <c r="B231" s="16" t="s">
        <v>768</v>
      </c>
      <c r="C231" s="16" t="s">
        <v>214</v>
      </c>
      <c r="D231" s="46">
        <v>29</v>
      </c>
      <c r="E231" s="46">
        <v>1</v>
      </c>
      <c r="F231" s="13">
        <v>-0.59061364666488092</v>
      </c>
      <c r="G231" s="13">
        <v>0.13501273749845871</v>
      </c>
      <c r="H231" s="13">
        <v>-5.251976527794377E-3</v>
      </c>
      <c r="I231" s="13">
        <v>-0.2224430966228437</v>
      </c>
      <c r="J231" s="13">
        <v>4.6678542686022083E-2</v>
      </c>
      <c r="K231" s="13">
        <v>14.05185185185185</v>
      </c>
      <c r="L231" s="13">
        <v>-0.91596970749589246</v>
      </c>
      <c r="M231" s="13">
        <v>-1.7374637894383329</v>
      </c>
      <c r="N231" s="19">
        <f>(F231-Settings!$D$18)/Settings!$E$18</f>
        <v>-2.8020794914037572</v>
      </c>
      <c r="O231" s="19">
        <f>(G231-Settings!$D$19)/Settings!$E$19</f>
        <v>0.59015125944303148</v>
      </c>
      <c r="P231" s="19">
        <f>(H231-Settings!$D$20)/Settings!$E$20</f>
        <v>-0.52892652806223994</v>
      </c>
      <c r="Q231" s="19">
        <f>(I231-Settings!$D$21)/Settings!$E$21</f>
        <v>-2.6992420460486395</v>
      </c>
      <c r="R231" s="19">
        <f>(J231-Settings!$D$22)/Settings!$E$22</f>
        <v>-0.54129149014240563</v>
      </c>
      <c r="S231" s="19">
        <f>(K231-Settings!$D$23)/Settings!$E$23</f>
        <v>-0.41789916346900546</v>
      </c>
      <c r="T231" s="19">
        <f>(L231-Settings!$D$24)/Settings!$E$24</f>
        <v>-1.5377371326969806</v>
      </c>
      <c r="U231" s="19">
        <f>(M231-Settings!$D$25)/Settings!$E$25</f>
        <v>-1.1357946725900399</v>
      </c>
      <c r="V231" s="31">
        <f>Settings!$B$18*(N231-F$6)^2</f>
        <v>2.4821343087465406</v>
      </c>
      <c r="W231" s="31">
        <f>Settings!$B$19*(O231-G$6)^2</f>
        <v>8.6819380085165682E-2</v>
      </c>
      <c r="X231" s="31">
        <f>Settings!$B$20*(P231-H$6)^2</f>
        <v>8.3155356189187679E-2</v>
      </c>
      <c r="Y231" s="31">
        <f>Settings!$B$21*(Q231-I$6)^2</f>
        <v>1.9581458451260787</v>
      </c>
      <c r="Z231" s="31">
        <f>Settings!$B$22*(R231-J$6)^2</f>
        <v>0.27844286566110166</v>
      </c>
      <c r="AA231" s="31">
        <f>Settings!$B$23*(S231-K$6)^2</f>
        <v>2.4479050580968678</v>
      </c>
      <c r="AB231" s="31">
        <f>Settings!$B$24*(T231-L$6)^2</f>
        <v>3.7311310641022257</v>
      </c>
      <c r="AC231" s="31">
        <f>Settings!$B$25*(U231-M$6)^2</f>
        <v>1.7264904709631188</v>
      </c>
      <c r="AD231" s="19">
        <f t="shared" si="12"/>
        <v>3.5769015011557541</v>
      </c>
      <c r="AE231" s="15">
        <f t="shared" si="13"/>
        <v>1.4158024619224472</v>
      </c>
      <c r="AF231" s="33">
        <f t="shared" si="14"/>
        <v>0.36705326486279505</v>
      </c>
      <c r="AG231" s="47">
        <f t="shared" si="15"/>
        <v>2.1639556727921783E-3</v>
      </c>
      <c r="AH231" s="48"/>
      <c r="AI231" s="48"/>
      <c r="AJ231" s="48"/>
      <c r="AK231" s="48"/>
      <c r="AL231" s="48"/>
      <c r="AM231" s="48"/>
      <c r="AN231" s="48"/>
      <c r="AO231" s="48"/>
      <c r="AP231" s="48"/>
      <c r="AQ231" s="48"/>
    </row>
    <row r="232" spans="1:43" ht="20" customHeight="1" x14ac:dyDescent="0.45">
      <c r="A232" s="26">
        <v>222</v>
      </c>
      <c r="B232" s="16" t="s">
        <v>656</v>
      </c>
      <c r="C232" s="16" t="s">
        <v>260</v>
      </c>
      <c r="D232" s="46">
        <v>29</v>
      </c>
      <c r="E232" s="46">
        <v>1</v>
      </c>
      <c r="F232" s="13">
        <v>0.50353548933786607</v>
      </c>
      <c r="G232" s="13">
        <v>0.21971228323812969</v>
      </c>
      <c r="H232" s="13">
        <v>-4.865372192276381E-4</v>
      </c>
      <c r="I232" s="13">
        <v>0.2661502420659872</v>
      </c>
      <c r="J232" s="13">
        <v>-1.0115448138789351E-2</v>
      </c>
      <c r="K232" s="13">
        <v>11.294672131147539</v>
      </c>
      <c r="L232" s="13">
        <v>0.80671916856896297</v>
      </c>
      <c r="M232" s="13">
        <v>-0.86106609815446677</v>
      </c>
      <c r="N232" s="19">
        <f>(F232-Settings!$D$18)/Settings!$E$18</f>
        <v>1.1138120589005549</v>
      </c>
      <c r="O232" s="19">
        <f>(G232-Settings!$D$19)/Settings!$E$19</f>
        <v>0.94302036248440535</v>
      </c>
      <c r="P232" s="19">
        <f>(H232-Settings!$D$20)/Settings!$E$20</f>
        <v>-0.48575073154136617</v>
      </c>
      <c r="Q232" s="19">
        <f>(I232-Settings!$D$21)/Settings!$E$21</f>
        <v>3.3091405043078339</v>
      </c>
      <c r="R232" s="19">
        <f>(J232-Settings!$D$22)/Settings!$E$22</f>
        <v>-0.69409839635086612</v>
      </c>
      <c r="S232" s="19">
        <f>(K232-Settings!$D$23)/Settings!$E$23</f>
        <v>-1.3754042619449693</v>
      </c>
      <c r="T232" s="19">
        <f>(L232-Settings!$D$24)/Settings!$E$24</f>
        <v>-0.34674808437816484</v>
      </c>
      <c r="U232" s="19">
        <f>(M232-Settings!$D$25)/Settings!$E$25</f>
        <v>-0.54474230870652451</v>
      </c>
      <c r="V232" s="31">
        <f>Settings!$B$18*(N232-F$6)^2</f>
        <v>3.0891882377808617E-2</v>
      </c>
      <c r="W232" s="31">
        <f>Settings!$B$19*(O232-G$6)^2</f>
        <v>0.20471927868781425</v>
      </c>
      <c r="X232" s="31">
        <f>Settings!$B$20*(P232-H$6)^2</f>
        <v>7.2392154181617027E-2</v>
      </c>
      <c r="Y232" s="31">
        <f>Settings!$B$21*(Q232-I$6)^2</f>
        <v>1.6581525368579706</v>
      </c>
      <c r="Z232" s="31">
        <f>Settings!$B$22*(R232-J$6)^2</f>
        <v>0.35523290654864903</v>
      </c>
      <c r="AA232" s="31">
        <f>Settings!$B$23*(S232-K$6)^2</f>
        <v>6.3609043485109584</v>
      </c>
      <c r="AB232" s="31">
        <f>Settings!$B$24*(T232-L$6)^2</f>
        <v>0.54852471290205795</v>
      </c>
      <c r="AC232" s="31">
        <f>Settings!$B$25*(U232-M$6)^2</f>
        <v>3.6290715111973353</v>
      </c>
      <c r="AD232" s="19">
        <f t="shared" si="12"/>
        <v>3.5860687850715034</v>
      </c>
      <c r="AE232" s="15">
        <f t="shared" si="13"/>
        <v>1.4194310390954181</v>
      </c>
      <c r="AF232" s="33">
        <f t="shared" si="14"/>
        <v>0.36517001571352053</v>
      </c>
      <c r="AG232" s="47">
        <f t="shared" si="15"/>
        <v>2.1528530125791518E-3</v>
      </c>
      <c r="AH232" s="18">
        <v>0.16407055730749559</v>
      </c>
      <c r="AI232" s="46">
        <v>1</v>
      </c>
      <c r="AJ232" s="18">
        <v>0.67158973003057842</v>
      </c>
      <c r="AK232" s="46">
        <v>1</v>
      </c>
      <c r="AL232" s="18">
        <v>-6.3191186357448581E-2</v>
      </c>
      <c r="AM232" s="46">
        <v>1</v>
      </c>
      <c r="AN232" s="18">
        <v>0.105914632788344</v>
      </c>
      <c r="AO232" s="46">
        <v>1</v>
      </c>
      <c r="AP232" s="18">
        <v>-0.69383103495125897</v>
      </c>
      <c r="AQ232" s="46">
        <v>1</v>
      </c>
    </row>
    <row r="233" spans="1:43" ht="20" customHeight="1" x14ac:dyDescent="0.45">
      <c r="A233" s="26">
        <v>223</v>
      </c>
      <c r="B233" s="16" t="s">
        <v>396</v>
      </c>
      <c r="C233" s="16" t="s">
        <v>224</v>
      </c>
      <c r="D233" s="46">
        <v>29</v>
      </c>
      <c r="E233" s="46">
        <v>0</v>
      </c>
      <c r="F233" s="13">
        <v>0.31843696277240091</v>
      </c>
      <c r="G233" s="13">
        <v>0.15775472498716681</v>
      </c>
      <c r="H233" s="13">
        <v>0.1438063520337419</v>
      </c>
      <c r="I233" s="13">
        <v>-9.6963317195428514E-2</v>
      </c>
      <c r="J233" s="13">
        <v>0.28303864301126203</v>
      </c>
      <c r="K233" s="13">
        <v>17.37345679012348</v>
      </c>
      <c r="L233" s="13">
        <v>0.91283427946896845</v>
      </c>
      <c r="M233" s="13">
        <v>1.3423547118759691</v>
      </c>
      <c r="N233" s="19">
        <f>(F233-Settings!$D$18)/Settings!$E$18</f>
        <v>0.45135597105910408</v>
      </c>
      <c r="O233" s="19">
        <f>(G233-Settings!$D$19)/Settings!$E$19</f>
        <v>0.68489727793035271</v>
      </c>
      <c r="P233" s="19">
        <f>(H233-Settings!$D$20)/Settings!$E$20</f>
        <v>0.82157059234911067</v>
      </c>
      <c r="Q233" s="19">
        <f>(I233-Settings!$D$21)/Settings!$E$21</f>
        <v>-1.1561786077351379</v>
      </c>
      <c r="R233" s="19">
        <f>(J233-Settings!$D$22)/Settings!$E$22</f>
        <v>9.4646487754416267E-2</v>
      </c>
      <c r="S233" s="19">
        <f>(K233-Settings!$D$23)/Settings!$E$23</f>
        <v>0.73561783059389507</v>
      </c>
      <c r="T233" s="19">
        <f>(L233-Settings!$D$24)/Settings!$E$24</f>
        <v>-0.27338490388805925</v>
      </c>
      <c r="U233" s="19">
        <f>(M233-Settings!$D$25)/Settings!$E$25</f>
        <v>0.94126922618328057</v>
      </c>
      <c r="V233" s="31">
        <f>Settings!$B$18*(N233-F$6)^2</f>
        <v>1.4519888954888427E-2</v>
      </c>
      <c r="W233" s="31">
        <f>Settings!$B$19*(O233-G$6)^2</f>
        <v>0.11358449791321373</v>
      </c>
      <c r="X233" s="31">
        <f>Settings!$B$20*(P233-H$6)^2</f>
        <v>9.9599552992426788E-2</v>
      </c>
      <c r="Y233" s="31">
        <f>Settings!$B$21*(Q233-I$6)^2</f>
        <v>0.50304789900697433</v>
      </c>
      <c r="Z233" s="31">
        <f>Settings!$B$22*(R233-J$6)^2</f>
        <v>5.9183575934754928E-2</v>
      </c>
      <c r="AA233" s="31">
        <f>Settings!$B$23*(S233-K$6)^2</f>
        <v>0.16897134502537151</v>
      </c>
      <c r="AB233" s="31">
        <f>Settings!$B$24*(T233-L$6)^2</f>
        <v>0.44523772518510218</v>
      </c>
      <c r="AC233" s="31">
        <f>Settings!$B$25*(U233-M$6)^2</f>
        <v>11.499042022293882</v>
      </c>
      <c r="AD233" s="19">
        <f t="shared" si="12"/>
        <v>3.5921005703218576</v>
      </c>
      <c r="AE233" s="15">
        <f t="shared" si="13"/>
        <v>1.4218185290513143</v>
      </c>
      <c r="AF233" s="33">
        <f t="shared" si="14"/>
        <v>0.36393355661587967</v>
      </c>
      <c r="AG233" s="47">
        <f t="shared" si="15"/>
        <v>2.1455634910446802E-3</v>
      </c>
      <c r="AH233" s="18">
        <v>-0.47579294675410888</v>
      </c>
      <c r="AI233" s="46">
        <v>0</v>
      </c>
      <c r="AJ233" s="48"/>
      <c r="AK233" s="48"/>
      <c r="AL233" s="48"/>
      <c r="AM233" s="48"/>
      <c r="AN233" s="48"/>
      <c r="AO233" s="48"/>
      <c r="AP233" s="48"/>
      <c r="AQ233" s="48"/>
    </row>
    <row r="234" spans="1:43" ht="20" customHeight="1" x14ac:dyDescent="0.45">
      <c r="A234" s="26">
        <v>224</v>
      </c>
      <c r="B234" s="16" t="s">
        <v>461</v>
      </c>
      <c r="C234" s="16" t="s">
        <v>220</v>
      </c>
      <c r="D234" s="46">
        <v>29</v>
      </c>
      <c r="E234" s="46">
        <v>1</v>
      </c>
      <c r="F234" s="13">
        <v>0.64394058275455457</v>
      </c>
      <c r="G234" s="13">
        <v>5.649817937794871E-2</v>
      </c>
      <c r="H234" s="13">
        <v>0.1142699977394484</v>
      </c>
      <c r="I234" s="13">
        <v>-4.8492259075171858E-2</v>
      </c>
      <c r="J234" s="13">
        <v>-0.13679898105287661</v>
      </c>
      <c r="K234" s="13">
        <v>16.013445378151289</v>
      </c>
      <c r="L234" s="13">
        <v>0.56428831057044393</v>
      </c>
      <c r="M234" s="13">
        <v>1.0856148129213701</v>
      </c>
      <c r="N234" s="19">
        <f>(F234-Settings!$D$18)/Settings!$E$18</f>
        <v>1.6163131356173195</v>
      </c>
      <c r="O234" s="19">
        <f>(G234-Settings!$D$19)/Settings!$E$19</f>
        <v>0.26304960313866088</v>
      </c>
      <c r="P234" s="19">
        <f>(H234-Settings!$D$20)/Settings!$E$20</f>
        <v>0.55396554265592712</v>
      </c>
      <c r="Q234" s="19">
        <f>(I234-Settings!$D$21)/Settings!$E$21</f>
        <v>-0.56011509899266387</v>
      </c>
      <c r="R234" s="19">
        <f>(J234-Settings!$D$22)/Settings!$E$22</f>
        <v>-1.0349464059910412</v>
      </c>
      <c r="S234" s="19">
        <f>(K234-Settings!$D$23)/Settings!$E$23</f>
        <v>0.26331714915111221</v>
      </c>
      <c r="T234" s="19">
        <f>(L234-Settings!$D$24)/Settings!$E$24</f>
        <v>-0.51435379708835716</v>
      </c>
      <c r="U234" s="19">
        <f>(M234-Settings!$D$25)/Settings!$E$25</f>
        <v>0.76812097888697439</v>
      </c>
      <c r="V234" s="31">
        <f>Settings!$B$18*(N234-F$6)^2</f>
        <v>0.16038918060113144</v>
      </c>
      <c r="W234" s="31">
        <f>Settings!$B$19*(O234-G$6)^2</f>
        <v>2.2012760088220971E-2</v>
      </c>
      <c r="X234" s="31">
        <f>Settings!$B$20*(P234-H$6)^2</f>
        <v>3.8383608859483921E-2</v>
      </c>
      <c r="Y234" s="31">
        <f>Settings!$B$21*(Q234-I$6)^2</f>
        <v>0.19597531433015691</v>
      </c>
      <c r="Z234" s="31">
        <f>Settings!$B$22*(R234-J$6)^2</f>
        <v>0.56017148540106676</v>
      </c>
      <c r="AA234" s="31">
        <f>Settings!$B$23*(S234-K$6)^2</f>
        <v>0.78032828854237113</v>
      </c>
      <c r="AB234" s="31">
        <f>Settings!$B$24*(T234-L$6)^2</f>
        <v>0.82488219641629046</v>
      </c>
      <c r="AC234" s="31">
        <f>Settings!$B$25*(U234-M$6)^2</f>
        <v>10.354722702722732</v>
      </c>
      <c r="AD234" s="19">
        <f t="shared" si="12"/>
        <v>3.5967854449440622</v>
      </c>
      <c r="AE234" s="15">
        <f t="shared" si="13"/>
        <v>1.4236728873616484</v>
      </c>
      <c r="AF234" s="33">
        <f t="shared" si="14"/>
        <v>0.36297466334376882</v>
      </c>
      <c r="AG234" s="47">
        <f t="shared" si="15"/>
        <v>2.1399103536544921E-3</v>
      </c>
      <c r="AH234" s="48"/>
      <c r="AI234" s="48"/>
      <c r="AJ234" s="48"/>
      <c r="AK234" s="48"/>
      <c r="AL234" s="18">
        <v>0.39863250835027803</v>
      </c>
      <c r="AM234" s="46">
        <v>1</v>
      </c>
      <c r="AN234" s="18">
        <v>0.86300453719181158</v>
      </c>
      <c r="AO234" s="46">
        <v>1</v>
      </c>
      <c r="AP234" s="48"/>
      <c r="AQ234" s="48"/>
    </row>
    <row r="235" spans="1:43" ht="20" customHeight="1" x14ac:dyDescent="0.45">
      <c r="A235" s="26">
        <v>225</v>
      </c>
      <c r="B235" s="16" t="s">
        <v>309</v>
      </c>
      <c r="C235" s="16" t="s">
        <v>260</v>
      </c>
      <c r="D235" s="46">
        <v>29</v>
      </c>
      <c r="E235" s="46">
        <v>1</v>
      </c>
      <c r="F235" s="13">
        <v>0.17087205957260471</v>
      </c>
      <c r="G235" s="13">
        <v>-7.7639607488418874E-2</v>
      </c>
      <c r="H235" s="13">
        <v>0.1965126006456373</v>
      </c>
      <c r="I235" s="13">
        <v>3.548703173371351E-3</v>
      </c>
      <c r="J235" s="13">
        <v>0.55142702911996788</v>
      </c>
      <c r="K235" s="13">
        <v>16.734955752212361</v>
      </c>
      <c r="L235" s="13">
        <v>2.656185746376015</v>
      </c>
      <c r="M235" s="13">
        <v>1.4252220569198719</v>
      </c>
      <c r="N235" s="19">
        <f>(F235-Settings!$D$18)/Settings!$E$18</f>
        <v>-7.6769618540689713E-2</v>
      </c>
      <c r="O235" s="19">
        <f>(G235-Settings!$D$19)/Settings!$E$19</f>
        <v>-0.29578551365135242</v>
      </c>
      <c r="P235" s="19">
        <f>(H235-Settings!$D$20)/Settings!$E$20</f>
        <v>1.2990993400880479</v>
      </c>
      <c r="Q235" s="19">
        <f>(I235-Settings!$D$21)/Settings!$E$21</f>
        <v>7.9848618721964942E-2</v>
      </c>
      <c r="R235" s="19">
        <f>(J235-Settings!$D$22)/Settings!$E$22</f>
        <v>0.81675807646208043</v>
      </c>
      <c r="S235" s="19">
        <f>(K235-Settings!$D$23)/Settings!$E$23</f>
        <v>0.51388110643653051</v>
      </c>
      <c r="T235" s="19">
        <f>(L235-Settings!$D$24)/Settings!$E$24</f>
        <v>0.93188932369026201</v>
      </c>
      <c r="U235" s="19">
        <f>(M235-Settings!$D$25)/Settings!$E$25</f>
        <v>0.99715588661616994</v>
      </c>
      <c r="V235" s="31">
        <f>Settings!$B$18*(N235-F$6)^2</f>
        <v>0.12722308042119454</v>
      </c>
      <c r="W235" s="31">
        <f>Settings!$B$19*(O235-G$6)^2</f>
        <v>1.0312744546810181E-2</v>
      </c>
      <c r="X235" s="31">
        <f>Settings!$B$20*(P235-H$6)^2</f>
        <v>0.28000111606320455</v>
      </c>
      <c r="Y235" s="31">
        <f>Settings!$B$21*(Q235-I$6)^2</f>
        <v>2.4489281827911612E-2</v>
      </c>
      <c r="Z235" s="31">
        <f>Settings!$B$22*(R235-J$6)^2</f>
        <v>6.3459342388924901E-3</v>
      </c>
      <c r="AA235" s="31">
        <f>Settings!$B$23*(S235-K$6)^2</f>
        <v>0.40043326651291039</v>
      </c>
      <c r="AB235" s="31">
        <f>Settings!$B$24*(T235-L$6)^2</f>
        <v>0.28945784355439891</v>
      </c>
      <c r="AC235" s="31">
        <f>Settings!$B$25*(U235-M$6)^2</f>
        <v>11.881191325943718</v>
      </c>
      <c r="AD235" s="19">
        <f t="shared" si="12"/>
        <v>3.6082481335281034</v>
      </c>
      <c r="AE235" s="15">
        <f t="shared" si="13"/>
        <v>1.4282100273170797</v>
      </c>
      <c r="AF235" s="33">
        <f t="shared" si="14"/>
        <v>0.36063390778381166</v>
      </c>
      <c r="AG235" s="47">
        <f t="shared" si="15"/>
        <v>2.1261104729355927E-3</v>
      </c>
      <c r="AH235" s="18">
        <v>1.9174943452392439</v>
      </c>
      <c r="AI235" s="46">
        <v>1</v>
      </c>
      <c r="AJ235" s="18">
        <v>-0.22454855144001321</v>
      </c>
      <c r="AK235" s="46">
        <v>1</v>
      </c>
      <c r="AL235" s="18">
        <v>-1.296410861045673</v>
      </c>
      <c r="AM235" s="46">
        <v>1</v>
      </c>
      <c r="AN235" s="18">
        <v>-1.0524245589806269</v>
      </c>
      <c r="AO235" s="46">
        <v>1</v>
      </c>
      <c r="AP235" s="18">
        <v>-1.4046240534256349</v>
      </c>
      <c r="AQ235" s="46">
        <v>1</v>
      </c>
    </row>
    <row r="236" spans="1:43" ht="20" customHeight="1" x14ac:dyDescent="0.45">
      <c r="A236" s="26">
        <v>226</v>
      </c>
      <c r="B236" s="16" t="s">
        <v>418</v>
      </c>
      <c r="C236" s="16" t="s">
        <v>271</v>
      </c>
      <c r="D236" s="46">
        <v>29</v>
      </c>
      <c r="E236" s="46">
        <v>1</v>
      </c>
      <c r="F236" s="13">
        <v>0.48607295502712428</v>
      </c>
      <c r="G236" s="13">
        <v>-0.25079192830674252</v>
      </c>
      <c r="H236" s="13">
        <v>-1.0292666592027421E-2</v>
      </c>
      <c r="I236" s="13">
        <v>9.6615680782198524E-2</v>
      </c>
      <c r="J236" s="13">
        <v>-0.15622676929190721</v>
      </c>
      <c r="K236" s="13">
        <v>15.488888888888891</v>
      </c>
      <c r="L236" s="13">
        <v>0.31930693338865562</v>
      </c>
      <c r="M236" s="13">
        <v>0.93445247400225417</v>
      </c>
      <c r="N236" s="19">
        <f>(F236-Settings!$D$18)/Settings!$E$18</f>
        <v>1.0513147371879494</v>
      </c>
      <c r="O236" s="19">
        <f>(G236-Settings!$D$19)/Settings!$E$19</f>
        <v>-1.0171601515329867</v>
      </c>
      <c r="P236" s="19">
        <f>(H236-Settings!$D$20)/Settings!$E$20</f>
        <v>-0.57459614935966707</v>
      </c>
      <c r="Q236" s="19">
        <f>(I236-Settings!$D$21)/Settings!$E$21</f>
        <v>1.2243218646730696</v>
      </c>
      <c r="R236" s="19">
        <f>(J236-Settings!$D$22)/Settings!$E$22</f>
        <v>-1.0872177849197862</v>
      </c>
      <c r="S236" s="19">
        <f>(K236-Settings!$D$23)/Settings!$E$23</f>
        <v>8.1150745874688665E-2</v>
      </c>
      <c r="T236" s="19">
        <f>(L236-Settings!$D$24)/Settings!$E$24</f>
        <v>-0.68372282321921751</v>
      </c>
      <c r="U236" s="19">
        <f>(M236-Settings!$D$25)/Settings!$E$25</f>
        <v>0.66617541394896074</v>
      </c>
      <c r="V236" s="31">
        <f>Settings!$B$18*(N236-F$6)^2</f>
        <v>2.1848155301654709E-2</v>
      </c>
      <c r="W236" s="31">
        <f>Settings!$B$19*(O236-G$6)^2</f>
        <v>0.17991190039603866</v>
      </c>
      <c r="X236" s="31">
        <f>Settings!$B$20*(P236-H$6)^2</f>
        <v>9.5351745760820603E-2</v>
      </c>
      <c r="Y236" s="31">
        <f>Settings!$B$21*(Q236-I$6)^2</f>
        <v>0.12626188097172261</v>
      </c>
      <c r="Z236" s="31">
        <f>Settings!$B$22*(R236-J$6)^2</f>
        <v>0.59570999990943163</v>
      </c>
      <c r="AA236" s="31">
        <f>Settings!$B$23*(S236-K$6)^2</f>
        <v>1.1353506159503257</v>
      </c>
      <c r="AB236" s="31">
        <f>Settings!$B$24*(T236-L$6)^2</f>
        <v>1.1612202110721468</v>
      </c>
      <c r="AC236" s="31">
        <f>Settings!$B$25*(U236-M$6)^2</f>
        <v>9.7090193304129411</v>
      </c>
      <c r="AD236" s="19">
        <f t="shared" si="12"/>
        <v>3.6089712993836738</v>
      </c>
      <c r="AE236" s="15">
        <f t="shared" si="13"/>
        <v>1.4284962694734165</v>
      </c>
      <c r="AF236" s="33">
        <f t="shared" si="14"/>
        <v>0.36048649098693536</v>
      </c>
      <c r="AG236" s="47">
        <f t="shared" si="15"/>
        <v>2.1252413799608045E-3</v>
      </c>
      <c r="AH236" s="18">
        <v>0.5944934299097564</v>
      </c>
      <c r="AI236" s="46">
        <v>1</v>
      </c>
      <c r="AJ236" s="18">
        <v>0.35597275571721099</v>
      </c>
      <c r="AK236" s="46">
        <v>1</v>
      </c>
      <c r="AL236" s="18">
        <v>-0.50926343092060067</v>
      </c>
      <c r="AM236" s="46">
        <v>1</v>
      </c>
      <c r="AN236" s="18">
        <v>-0.69662255304852683</v>
      </c>
      <c r="AO236" s="46">
        <v>1</v>
      </c>
      <c r="AP236" s="18">
        <v>0.24329448348735211</v>
      </c>
      <c r="AQ236" s="46">
        <v>1</v>
      </c>
    </row>
    <row r="237" spans="1:43" ht="20" customHeight="1" x14ac:dyDescent="0.45">
      <c r="A237" s="26">
        <v>227</v>
      </c>
      <c r="B237" s="16" t="s">
        <v>282</v>
      </c>
      <c r="C237" s="16" t="s">
        <v>212</v>
      </c>
      <c r="D237" s="46">
        <v>29</v>
      </c>
      <c r="E237" s="46">
        <v>0</v>
      </c>
      <c r="F237" s="13">
        <v>0.16533488591125239</v>
      </c>
      <c r="G237" s="13">
        <v>-9.9449691053930991E-2</v>
      </c>
      <c r="H237" s="13">
        <v>0.23432524446068159</v>
      </c>
      <c r="I237" s="13">
        <v>4.2997854686921473E-2</v>
      </c>
      <c r="J237" s="13">
        <v>0.45789232388721363</v>
      </c>
      <c r="K237" s="13">
        <v>18.555591397849419</v>
      </c>
      <c r="L237" s="13">
        <v>4.2448188212819566</v>
      </c>
      <c r="M237" s="13">
        <v>0.93872140508904689</v>
      </c>
      <c r="N237" s="19">
        <f>(F237-Settings!$D$18)/Settings!$E$18</f>
        <v>-9.6586817896411437E-2</v>
      </c>
      <c r="O237" s="19">
        <f>(G237-Settings!$D$19)/Settings!$E$19</f>
        <v>-0.386649101617622</v>
      </c>
      <c r="P237" s="19">
        <f>(H237-Settings!$D$20)/Settings!$E$20</f>
        <v>1.6416891643545644</v>
      </c>
      <c r="Q237" s="19">
        <f>(I237-Settings!$D$21)/Settings!$E$21</f>
        <v>0.56496696727836437</v>
      </c>
      <c r="R237" s="19">
        <f>(J237-Settings!$D$22)/Settings!$E$22</f>
        <v>0.56509854836472684</v>
      </c>
      <c r="S237" s="19">
        <f>(K237-Settings!$D$23)/Settings!$E$23</f>
        <v>1.1461459893072234</v>
      </c>
      <c r="T237" s="19">
        <f>(L237-Settings!$D$24)/Settings!$E$24</f>
        <v>2.0301982640324243</v>
      </c>
      <c r="U237" s="19">
        <f>(M237-Settings!$D$25)/Settings!$E$25</f>
        <v>0.66905442861912545</v>
      </c>
      <c r="V237" s="31">
        <f>Settings!$B$18*(N237-F$6)^2</f>
        <v>0.13362385373792982</v>
      </c>
      <c r="W237" s="31">
        <f>Settings!$B$19*(O237-G$6)^2</f>
        <v>2.0217175953693829E-2</v>
      </c>
      <c r="X237" s="31">
        <f>Settings!$B$20*(P237-H$6)^2</f>
        <v>0.46561809540651078</v>
      </c>
      <c r="Y237" s="31">
        <f>Settings!$B$21*(Q237-I$6)^2</f>
        <v>3.6555330247793425E-3</v>
      </c>
      <c r="Z237" s="31">
        <f>Settings!$B$22*(R237-J$6)^2</f>
        <v>1.0813699577831414E-3</v>
      </c>
      <c r="AA237" s="31">
        <f>Settings!$B$23*(S237-K$6)^2</f>
        <v>2.8417824544817713E-7</v>
      </c>
      <c r="AB237" s="31">
        <f>Settings!$B$24*(T237-L$6)^2</f>
        <v>2.6775490526117811</v>
      </c>
      <c r="AC237" s="31">
        <f>Settings!$B$25*(U237-M$6)^2</f>
        <v>9.7269692350993733</v>
      </c>
      <c r="AD237" s="19">
        <f t="shared" si="12"/>
        <v>3.6095310775736644</v>
      </c>
      <c r="AE237" s="15">
        <f t="shared" si="13"/>
        <v>1.428717839829565</v>
      </c>
      <c r="AF237" s="33">
        <f t="shared" si="14"/>
        <v>0.36037240174163299</v>
      </c>
      <c r="AG237" s="47">
        <f t="shared" si="15"/>
        <v>2.1245687689443382E-3</v>
      </c>
      <c r="AH237" s="18">
        <v>-0.30515589550256678</v>
      </c>
      <c r="AI237" s="46">
        <v>0</v>
      </c>
      <c r="AJ237" s="18">
        <v>-0.13619613641001971</v>
      </c>
      <c r="AK237" s="46">
        <v>0</v>
      </c>
      <c r="AL237" s="18">
        <v>-0.41322230879742999</v>
      </c>
      <c r="AM237" s="46">
        <v>0</v>
      </c>
      <c r="AN237" s="18">
        <v>-1.6041666763184359</v>
      </c>
      <c r="AO237" s="46">
        <v>0</v>
      </c>
      <c r="AP237" s="18">
        <v>-0.38547349402395059</v>
      </c>
      <c r="AQ237" s="46">
        <v>0</v>
      </c>
    </row>
    <row r="238" spans="1:43" ht="20" customHeight="1" x14ac:dyDescent="0.45">
      <c r="A238" s="26">
        <v>228</v>
      </c>
      <c r="B238" s="16" t="s">
        <v>547</v>
      </c>
      <c r="C238" s="16" t="s">
        <v>214</v>
      </c>
      <c r="D238" s="46">
        <v>29</v>
      </c>
      <c r="E238" s="46">
        <v>1</v>
      </c>
      <c r="F238" s="13">
        <v>0.28988609946410582</v>
      </c>
      <c r="G238" s="13">
        <v>0.16911762484889639</v>
      </c>
      <c r="H238" s="13">
        <v>1.7537074630236159E-3</v>
      </c>
      <c r="I238" s="13">
        <v>9.456089937739065E-2</v>
      </c>
      <c r="J238" s="13">
        <v>-0.44468166884658361</v>
      </c>
      <c r="K238" s="13">
        <v>12.773945147679321</v>
      </c>
      <c r="L238" s="13">
        <v>-9.3463933795119788E-3</v>
      </c>
      <c r="M238" s="13">
        <v>-0.14409689372132309</v>
      </c>
      <c r="N238" s="19">
        <f>(F238-Settings!$D$18)/Settings!$E$18</f>
        <v>0.34917421109236635</v>
      </c>
      <c r="O238" s="19">
        <f>(G238-Settings!$D$19)/Settings!$E$19</f>
        <v>0.73223656702738349</v>
      </c>
      <c r="P238" s="19">
        <f>(H238-Settings!$D$20)/Settings!$E$20</f>
        <v>-0.46545368392521669</v>
      </c>
      <c r="Q238" s="19">
        <f>(I238-Settings!$D$21)/Settings!$E$21</f>
        <v>1.1990535858001412</v>
      </c>
      <c r="R238" s="19">
        <f>(J238-Settings!$D$22)/Settings!$E$22</f>
        <v>-1.8633192727970236</v>
      </c>
      <c r="S238" s="19">
        <f>(K238-Settings!$D$23)/Settings!$E$23</f>
        <v>-0.86168676840222613</v>
      </c>
      <c r="T238" s="19">
        <f>(L238-Settings!$D$24)/Settings!$E$24</f>
        <v>-0.91093884481945009</v>
      </c>
      <c r="U238" s="19">
        <f>(M238-Settings!$D$25)/Settings!$E$25</f>
        <v>-6.1210291990343287E-2</v>
      </c>
      <c r="V238" s="31">
        <f>Settings!$B$18*(N238-F$6)^2</f>
        <v>2.7620968866193758E-2</v>
      </c>
      <c r="W238" s="31">
        <f>Settings!$B$19*(O238-G$6)^2</f>
        <v>0.12830277460131953</v>
      </c>
      <c r="X238" s="31">
        <f>Settings!$B$20*(P238-H$6)^2</f>
        <v>6.7590008843145533E-2</v>
      </c>
      <c r="Y238" s="31">
        <f>Settings!$B$21*(Q238-I$6)^2</f>
        <v>0.118358815656887</v>
      </c>
      <c r="Z238" s="31">
        <f>Settings!$B$22*(R238-J$6)^2</f>
        <v>1.2519498653873999</v>
      </c>
      <c r="AA238" s="31">
        <f>Settings!$B$23*(S238-K$6)^2</f>
        <v>4.0335333529939446</v>
      </c>
      <c r="AB238" s="31">
        <f>Settings!$B$24*(T238-L$6)^2</f>
        <v>1.7025429746994205</v>
      </c>
      <c r="AC238" s="31">
        <f>Settings!$B$25*(U238-M$6)^2</f>
        <v>5.7051435116299274</v>
      </c>
      <c r="AD238" s="19">
        <f t="shared" si="12"/>
        <v>3.6104074939926432</v>
      </c>
      <c r="AE238" s="15">
        <f t="shared" si="13"/>
        <v>1.429064741337269</v>
      </c>
      <c r="AF238" s="33">
        <f t="shared" si="14"/>
        <v>0.36019381497735437</v>
      </c>
      <c r="AG238" s="47">
        <f t="shared" si="15"/>
        <v>2.1235159140084456E-3</v>
      </c>
      <c r="AH238" s="48"/>
      <c r="AI238" s="48"/>
      <c r="AJ238" s="48"/>
      <c r="AK238" s="48"/>
      <c r="AL238" s="48"/>
      <c r="AM238" s="48"/>
      <c r="AN238" s="48"/>
      <c r="AO238" s="48"/>
      <c r="AP238" s="48"/>
      <c r="AQ238" s="48"/>
    </row>
    <row r="239" spans="1:43" ht="20" customHeight="1" x14ac:dyDescent="0.45">
      <c r="A239" s="26">
        <v>229</v>
      </c>
      <c r="B239" s="16" t="s">
        <v>239</v>
      </c>
      <c r="C239" s="16" t="s">
        <v>229</v>
      </c>
      <c r="D239" s="46">
        <v>29</v>
      </c>
      <c r="E239" s="46">
        <v>1</v>
      </c>
      <c r="F239" s="13">
        <v>0.16946497548087711</v>
      </c>
      <c r="G239" s="13">
        <v>-0.21746369140264621</v>
      </c>
      <c r="H239" s="13">
        <v>0.1069003796934889</v>
      </c>
      <c r="I239" s="13">
        <v>-7.7926515243302965E-4</v>
      </c>
      <c r="J239" s="13">
        <v>0.50539168827055492</v>
      </c>
      <c r="K239" s="13">
        <v>20.06610360360358</v>
      </c>
      <c r="L239" s="13">
        <v>3.76871483918754</v>
      </c>
      <c r="M239" s="13">
        <v>1.183403440563976</v>
      </c>
      <c r="N239" s="19">
        <f>(F239-Settings!$D$18)/Settings!$E$18</f>
        <v>-8.1805484789685134E-2</v>
      </c>
      <c r="O239" s="19">
        <f>(G239-Settings!$D$19)/Settings!$E$19</f>
        <v>-0.87831046869707763</v>
      </c>
      <c r="P239" s="19">
        <f>(H239-Settings!$D$20)/Settings!$E$20</f>
        <v>0.48719538599546885</v>
      </c>
      <c r="Q239" s="19">
        <f>(I239-Settings!$D$21)/Settings!$E$21</f>
        <v>2.6626261173984301E-2</v>
      </c>
      <c r="R239" s="19">
        <f>(J239-Settings!$D$22)/Settings!$E$22</f>
        <v>0.69289782453596283</v>
      </c>
      <c r="S239" s="19">
        <f>(K239-Settings!$D$23)/Settings!$E$23</f>
        <v>1.6707121347271254</v>
      </c>
      <c r="T239" s="19">
        <f>(L239-Settings!$D$24)/Settings!$E$24</f>
        <v>1.7010415390928013</v>
      </c>
      <c r="U239" s="19">
        <f>(M239-Settings!$D$25)/Settings!$E$25</f>
        <v>0.83407071849025471</v>
      </c>
      <c r="V239" s="31">
        <f>Settings!$B$18*(N239-F$6)^2</f>
        <v>0.1288347315881174</v>
      </c>
      <c r="W239" s="31">
        <f>Settings!$B$19*(O239-G$6)^2</f>
        <v>0.13109089313523778</v>
      </c>
      <c r="X239" s="31">
        <f>Settings!$B$20*(P239-H$6)^2</f>
        <v>2.7574870883336357E-2</v>
      </c>
      <c r="Y239" s="31">
        <f>Settings!$B$21*(Q239-I$6)^2</f>
        <v>3.2505305728107607E-2</v>
      </c>
      <c r="Z239" s="31">
        <f>Settings!$B$22*(R239-J$6)^2</f>
        <v>5.8900298567443111E-4</v>
      </c>
      <c r="AA239" s="31">
        <f>Settings!$B$23*(S239-K$6)^2</f>
        <v>0.27461064976153393</v>
      </c>
      <c r="AB239" s="31">
        <f>Settings!$B$24*(T239-L$6)^2</f>
        <v>1.7086805490003329</v>
      </c>
      <c r="AC239" s="31">
        <f>Settings!$B$25*(U239-M$6)^2</f>
        <v>10.783508172847244</v>
      </c>
      <c r="AD239" s="19">
        <f t="shared" si="12"/>
        <v>3.6176503667338533</v>
      </c>
      <c r="AE239" s="15">
        <f t="shared" si="13"/>
        <v>1.4319316016785679</v>
      </c>
      <c r="AF239" s="33">
        <f t="shared" si="14"/>
        <v>0.35871967110968001</v>
      </c>
      <c r="AG239" s="47">
        <f t="shared" si="15"/>
        <v>2.114825126348082E-3</v>
      </c>
      <c r="AH239" s="18">
        <v>-0.84999619380465807</v>
      </c>
      <c r="AI239" s="46">
        <v>1</v>
      </c>
      <c r="AJ239" s="18">
        <v>-0.55870972506492933</v>
      </c>
      <c r="AK239" s="46">
        <v>1</v>
      </c>
      <c r="AL239" s="18">
        <v>1.0041781895007871</v>
      </c>
      <c r="AM239" s="46">
        <v>1</v>
      </c>
      <c r="AN239" s="48"/>
      <c r="AO239" s="48"/>
      <c r="AP239" s="48"/>
      <c r="AQ239" s="48"/>
    </row>
    <row r="240" spans="1:43" ht="20" customHeight="1" x14ac:dyDescent="0.45">
      <c r="A240" s="26">
        <v>230</v>
      </c>
      <c r="B240" s="16" t="s">
        <v>616</v>
      </c>
      <c r="C240" s="16" t="s">
        <v>260</v>
      </c>
      <c r="D240" s="46">
        <v>29</v>
      </c>
      <c r="E240" s="46">
        <v>1</v>
      </c>
      <c r="F240" s="13">
        <v>0.313204819140873</v>
      </c>
      <c r="G240" s="13">
        <v>-9.2687838990628102E-2</v>
      </c>
      <c r="H240" s="13">
        <v>-5.806274885613562E-4</v>
      </c>
      <c r="I240" s="13">
        <v>-0.338841745030456</v>
      </c>
      <c r="J240" s="13">
        <v>0.25468496934948143</v>
      </c>
      <c r="K240" s="13">
        <v>12.78865546218487</v>
      </c>
      <c r="L240" s="13">
        <v>0.3352051533378208</v>
      </c>
      <c r="M240" s="13">
        <v>-0.86471548873095505</v>
      </c>
      <c r="N240" s="19">
        <f>(F240-Settings!$D$18)/Settings!$E$18</f>
        <v>0.43263045516505577</v>
      </c>
      <c r="O240" s="19">
        <f>(G240-Settings!$D$19)/Settings!$E$19</f>
        <v>-0.35847836408132144</v>
      </c>
      <c r="P240" s="19">
        <f>(H240-Settings!$D$20)/Settings!$E$20</f>
        <v>-0.48660320747491631</v>
      </c>
      <c r="Q240" s="19">
        <f>(I240-Settings!$D$21)/Settings!$E$21</f>
        <v>-4.1306320233540408</v>
      </c>
      <c r="R240" s="19">
        <f>(J240-Settings!$D$22)/Settings!$E$22</f>
        <v>1.835959385985628E-2</v>
      </c>
      <c r="S240" s="19">
        <f>(K240-Settings!$D$23)/Settings!$E$23</f>
        <v>-0.85657821452977467</v>
      </c>
      <c r="T240" s="19">
        <f>(L240-Settings!$D$24)/Settings!$E$24</f>
        <v>-0.67273151416144261</v>
      </c>
      <c r="U240" s="19">
        <f>(M240-Settings!$D$25)/Settings!$E$25</f>
        <v>-0.54720349835640569</v>
      </c>
      <c r="V240" s="31">
        <f>Settings!$B$18*(N240-F$6)^2</f>
        <v>1.6608200427556417E-2</v>
      </c>
      <c r="W240" s="31">
        <f>Settings!$B$19*(O240-G$6)^2</f>
        <v>1.6793251686511357E-2</v>
      </c>
      <c r="X240" s="31">
        <f>Settings!$B$20*(P240-H$6)^2</f>
        <v>7.2597450162106489E-2</v>
      </c>
      <c r="Y240" s="31">
        <f>Settings!$B$21*(Q240-I$6)^2</f>
        <v>4.1594570660554577</v>
      </c>
      <c r="Z240" s="31">
        <f>Settings!$B$22*(R240-J$6)^2</f>
        <v>7.6947033859960559E-2</v>
      </c>
      <c r="AA240" s="31">
        <f>Settings!$B$23*(S240-K$6)^2</f>
        <v>4.0130397601236112</v>
      </c>
      <c r="AB240" s="31">
        <f>Settings!$B$24*(T240-L$6)^2</f>
        <v>1.1376525664643999</v>
      </c>
      <c r="AC240" s="31">
        <f>Settings!$B$25*(U240-M$6)^2</f>
        <v>3.6197003759952251</v>
      </c>
      <c r="AD240" s="19">
        <f t="shared" si="12"/>
        <v>3.621159442053723</v>
      </c>
      <c r="AE240" s="15">
        <f t="shared" si="13"/>
        <v>1.4333205573082763</v>
      </c>
      <c r="AF240" s="33">
        <f t="shared" si="14"/>
        <v>0.35800658102419336</v>
      </c>
      <c r="AG240" s="47">
        <f t="shared" si="15"/>
        <v>2.1106211170572849E-3</v>
      </c>
      <c r="AH240" s="18">
        <v>-9.5541662403422323E-2</v>
      </c>
      <c r="AI240" s="46">
        <v>1</v>
      </c>
      <c r="AJ240" s="48"/>
      <c r="AK240" s="48"/>
      <c r="AL240" s="48"/>
      <c r="AM240" s="48"/>
      <c r="AN240" s="48"/>
      <c r="AO240" s="48"/>
      <c r="AP240" s="48"/>
      <c r="AQ240" s="48"/>
    </row>
    <row r="241" spans="1:43" ht="20" customHeight="1" x14ac:dyDescent="0.45">
      <c r="A241" s="26">
        <v>231</v>
      </c>
      <c r="B241" s="16" t="s">
        <v>496</v>
      </c>
      <c r="C241" s="16" t="s">
        <v>229</v>
      </c>
      <c r="D241" s="46">
        <v>29</v>
      </c>
      <c r="E241" s="46">
        <v>1</v>
      </c>
      <c r="F241" s="13">
        <v>0.48986519831513442</v>
      </c>
      <c r="G241" s="13">
        <v>0.28643011718388978</v>
      </c>
      <c r="H241" s="13">
        <v>5.2541379860325768E-2</v>
      </c>
      <c r="I241" s="13">
        <v>-7.157619590040536E-3</v>
      </c>
      <c r="J241" s="13">
        <v>-0.16400568505060939</v>
      </c>
      <c r="K241" s="13">
        <v>16.42902869757172</v>
      </c>
      <c r="L241" s="13">
        <v>2.0291344335022332</v>
      </c>
      <c r="M241" s="13">
        <v>1.351819622971965</v>
      </c>
      <c r="N241" s="19">
        <f>(F241-Settings!$D$18)/Settings!$E$18</f>
        <v>1.0648869395135563</v>
      </c>
      <c r="O241" s="19">
        <f>(G241-Settings!$D$19)/Settings!$E$19</f>
        <v>1.2209753623100648</v>
      </c>
      <c r="P241" s="19">
        <f>(H241-Settings!$D$20)/Settings!$E$20</f>
        <v>-5.3076056291896353E-3</v>
      </c>
      <c r="Q241" s="19">
        <f>(I241-Settings!$D$21)/Settings!$E$21</f>
        <v>-5.1810324977094514E-2</v>
      </c>
      <c r="R241" s="19">
        <f>(J241-Settings!$D$22)/Settings!$E$22</f>
        <v>-1.1081473240044781</v>
      </c>
      <c r="S241" s="19">
        <f>(K241-Settings!$D$23)/Settings!$E$23</f>
        <v>0.40763967705835363</v>
      </c>
      <c r="T241" s="19">
        <f>(L241-Settings!$D$24)/Settings!$E$24</f>
        <v>0.49837445240801798</v>
      </c>
      <c r="U241" s="19">
        <f>(M241-Settings!$D$25)/Settings!$E$25</f>
        <v>0.94765246764189337</v>
      </c>
      <c r="V241" s="31">
        <f>Settings!$B$18*(N241-F$6)^2</f>
        <v>2.3679327837823297E-2</v>
      </c>
      <c r="W241" s="31">
        <f>Settings!$B$19*(O241-G$6)^2</f>
        <v>0.33265717395670391</v>
      </c>
      <c r="X241" s="31">
        <f>Settings!$B$20*(P241-H$6)^2</f>
        <v>2.9373368560400336E-3</v>
      </c>
      <c r="Y241" s="31">
        <f>Settings!$B$21*(Q241-I$6)^2</f>
        <v>4.6384317158156704E-2</v>
      </c>
      <c r="Z241" s="31">
        <f>Settings!$B$22*(R241-J$6)^2</f>
        <v>0.61024608709830486</v>
      </c>
      <c r="AA241" s="31">
        <f>Settings!$B$23*(S241-K$6)^2</f>
        <v>0.54617922878421532</v>
      </c>
      <c r="AB241" s="31">
        <f>Settings!$B$24*(T241-L$6)^2</f>
        <v>1.0919830817069922E-2</v>
      </c>
      <c r="AC241" s="31">
        <f>Settings!$B$25*(U241-M$6)^2</f>
        <v>11.542374214746111</v>
      </c>
      <c r="AD241" s="19">
        <f t="shared" si="12"/>
        <v>3.6215159142622064</v>
      </c>
      <c r="AE241" s="15">
        <f t="shared" si="13"/>
        <v>1.4334616554710897</v>
      </c>
      <c r="AF241" s="33">
        <f t="shared" si="14"/>
        <v>0.35793418192584248</v>
      </c>
      <c r="AG241" s="47">
        <f t="shared" si="15"/>
        <v>2.1101942895241201E-3</v>
      </c>
      <c r="AH241" s="18">
        <v>-4.0546555802059903E-2</v>
      </c>
      <c r="AI241" s="46">
        <v>1</v>
      </c>
      <c r="AJ241" s="18">
        <v>-1.1280860055815061</v>
      </c>
      <c r="AK241" s="46">
        <v>1</v>
      </c>
      <c r="AL241" s="18">
        <v>-6.6927042127857161E-2</v>
      </c>
      <c r="AM241" s="46">
        <v>1</v>
      </c>
      <c r="AN241" s="48"/>
      <c r="AO241" s="48"/>
      <c r="AP241" s="48"/>
      <c r="AQ241" s="48"/>
    </row>
    <row r="242" spans="1:43" ht="20" customHeight="1" x14ac:dyDescent="0.45">
      <c r="A242" s="26">
        <v>232</v>
      </c>
      <c r="B242" s="16" t="s">
        <v>812</v>
      </c>
      <c r="C242" s="16" t="s">
        <v>210</v>
      </c>
      <c r="D242" s="46">
        <v>29</v>
      </c>
      <c r="E242" s="46">
        <v>0</v>
      </c>
      <c r="F242" s="13">
        <v>0.2189151904367431</v>
      </c>
      <c r="G242" s="13">
        <v>-2.9891814149895141E-2</v>
      </c>
      <c r="H242" s="13">
        <v>1.2374713590676869E-2</v>
      </c>
      <c r="I242" s="13">
        <v>8.1130014264107236E-2</v>
      </c>
      <c r="J242" s="13">
        <v>0.65768826755857768</v>
      </c>
      <c r="K242" s="13">
        <v>10.39611528822056</v>
      </c>
      <c r="L242" s="13">
        <v>0.81077803670301862</v>
      </c>
      <c r="M242" s="13">
        <v>-0.5794399101549087</v>
      </c>
      <c r="N242" s="19">
        <f>(F242-Settings!$D$18)/Settings!$E$18</f>
        <v>9.5173751892654479E-2</v>
      </c>
      <c r="O242" s="19">
        <f>(G242-Settings!$D$19)/Settings!$E$19</f>
        <v>-9.6862120846445451E-2</v>
      </c>
      <c r="P242" s="19">
        <f>(H242-Settings!$D$20)/Settings!$E$20</f>
        <v>-0.36922532600863439</v>
      </c>
      <c r="Q242" s="19">
        <f>(I242-Settings!$D$21)/Settings!$E$21</f>
        <v>1.0338898609588403</v>
      </c>
      <c r="R242" s="19">
        <f>(J242-Settings!$D$22)/Settings!$E$22</f>
        <v>1.102658941322415</v>
      </c>
      <c r="S242" s="19">
        <f>(K242-Settings!$D$23)/Settings!$E$23</f>
        <v>-1.6874523855809829</v>
      </c>
      <c r="T242" s="19">
        <f>(L242-Settings!$D$24)/Settings!$E$24</f>
        <v>-0.3439419668235702</v>
      </c>
      <c r="U242" s="19">
        <f>(M242-Settings!$D$25)/Settings!$E$25</f>
        <v>-0.35481047090718582</v>
      </c>
      <c r="V242" s="31">
        <f>Settings!$B$18*(N242-F$6)^2</f>
        <v>7.8281343278381724E-2</v>
      </c>
      <c r="W242" s="31">
        <f>Settings!$B$19*(O242-G$6)^2</f>
        <v>1.5851913887096072E-4</v>
      </c>
      <c r="X242" s="31">
        <f>Settings!$B$20*(P242-H$6)^2</f>
        <v>4.706563442697026E-2</v>
      </c>
      <c r="Y242" s="31">
        <f>Settings!$B$21*(Q242-I$6)^2</f>
        <v>7.2991665426298633E-2</v>
      </c>
      <c r="Z242" s="31">
        <f>Settings!$B$22*(R242-J$6)^2</f>
        <v>4.3064602713474773E-2</v>
      </c>
      <c r="AA242" s="31">
        <f>Settings!$B$23*(S242-K$6)^2</f>
        <v>8.0323011246350333</v>
      </c>
      <c r="AB242" s="31">
        <f>Settings!$B$24*(T242-L$6)^2</f>
        <v>0.54437602813783659</v>
      </c>
      <c r="AC242" s="31">
        <f>Settings!$B$25*(U242-M$6)^2</f>
        <v>4.3887905534556602</v>
      </c>
      <c r="AD242" s="19">
        <f t="shared" si="12"/>
        <v>3.6341476952942524</v>
      </c>
      <c r="AE242" s="15">
        <f t="shared" si="13"/>
        <v>1.4384615434126105</v>
      </c>
      <c r="AF242" s="33">
        <f t="shared" si="14"/>
        <v>0.35537354405736443</v>
      </c>
      <c r="AG242" s="47">
        <f t="shared" si="15"/>
        <v>2.0950980967589343E-3</v>
      </c>
      <c r="AH242" s="18">
        <v>-0.65487789907785965</v>
      </c>
      <c r="AI242" s="46">
        <v>0</v>
      </c>
      <c r="AJ242" s="18">
        <v>-6.8009657616501004E-2</v>
      </c>
      <c r="AK242" s="46">
        <v>0</v>
      </c>
      <c r="AL242" s="18">
        <v>-0.18305649942663729</v>
      </c>
      <c r="AM242" s="46">
        <v>0</v>
      </c>
      <c r="AN242" s="18">
        <v>-0.47050453571552259</v>
      </c>
      <c r="AO242" s="46">
        <v>0</v>
      </c>
      <c r="AP242" s="18">
        <v>0.48178537911811292</v>
      </c>
      <c r="AQ242" s="46">
        <v>0</v>
      </c>
    </row>
    <row r="243" spans="1:43" ht="20" customHeight="1" x14ac:dyDescent="0.45">
      <c r="A243" s="26">
        <v>233</v>
      </c>
      <c r="B243" s="16" t="s">
        <v>748</v>
      </c>
      <c r="C243" s="16" t="s">
        <v>229</v>
      </c>
      <c r="D243" s="46">
        <v>29</v>
      </c>
      <c r="E243" s="46">
        <v>1</v>
      </c>
      <c r="F243" s="13">
        <v>-0.45192802178706742</v>
      </c>
      <c r="G243" s="13">
        <v>-0.21588882875655829</v>
      </c>
      <c r="H243" s="13">
        <v>1.774321210656856E-3</v>
      </c>
      <c r="I243" s="13">
        <v>0.23201235520409361</v>
      </c>
      <c r="J243" s="13">
        <v>9.8396473041623869E-2</v>
      </c>
      <c r="K243" s="13">
        <v>11.65465465465466</v>
      </c>
      <c r="L243" s="13">
        <v>0.31912791150413211</v>
      </c>
      <c r="M243" s="13">
        <v>-1.161319842304021</v>
      </c>
      <c r="N243" s="19">
        <f>(F243-Settings!$D$18)/Settings!$E$18</f>
        <v>-2.3057322853987987</v>
      </c>
      <c r="O243" s="19">
        <f>(G243-Settings!$D$19)/Settings!$E$19</f>
        <v>-0.87174939018732456</v>
      </c>
      <c r="P243" s="19">
        <f>(H243-Settings!$D$20)/Settings!$E$20</f>
        <v>-0.46526691940767356</v>
      </c>
      <c r="Q243" s="19">
        <f>(I243-Settings!$D$21)/Settings!$E$21</f>
        <v>2.8893364106264112</v>
      </c>
      <c r="R243" s="19">
        <f>(J243-Settings!$D$22)/Settings!$E$22</f>
        <v>-0.40214196361024956</v>
      </c>
      <c r="S243" s="19">
        <f>(K243-Settings!$D$23)/Settings!$E$23</f>
        <v>-1.2503906115717309</v>
      </c>
      <c r="T243" s="19">
        <f>(L243-Settings!$D$24)/Settings!$E$24</f>
        <v>-0.68384659084019606</v>
      </c>
      <c r="U243" s="19">
        <f>(M243-Settings!$D$25)/Settings!$E$25</f>
        <v>-0.7472367778378779</v>
      </c>
      <c r="V243" s="31">
        <f>Settings!$B$18*(N243-F$6)^2</f>
        <v>1.8319780972438755</v>
      </c>
      <c r="W243" s="31">
        <f>Settings!$B$19*(O243-G$6)^2</f>
        <v>0.12897475928379926</v>
      </c>
      <c r="X243" s="31">
        <f>Settings!$B$20*(P243-H$6)^2</f>
        <v>6.7546586740738518E-2</v>
      </c>
      <c r="Y243" s="31">
        <f>Settings!$B$21*(Q243-I$6)^2</f>
        <v>1.2098913668697122</v>
      </c>
      <c r="Z243" s="31">
        <f>Settings!$B$22*(R243-J$6)^2</f>
        <v>0.21664118643554964</v>
      </c>
      <c r="AA243" s="31">
        <f>Settings!$B$23*(S243-K$6)^2</f>
        <v>5.7459430727914897</v>
      </c>
      <c r="AB243" s="31">
        <f>Settings!$B$24*(T243-L$6)^2</f>
        <v>1.1614869701894015</v>
      </c>
      <c r="AC243" s="31">
        <f>Settings!$B$25*(U243-M$6)^2</f>
        <v>2.898566649882893</v>
      </c>
      <c r="AD243" s="19">
        <f t="shared" si="12"/>
        <v>3.6415695365374336</v>
      </c>
      <c r="AE243" s="15">
        <f t="shared" si="13"/>
        <v>1.4413992427316156</v>
      </c>
      <c r="AF243" s="33">
        <f t="shared" si="14"/>
        <v>0.35387345961252631</v>
      </c>
      <c r="AG243" s="47">
        <f t="shared" si="15"/>
        <v>2.0862543769100232E-3</v>
      </c>
      <c r="AH243" s="18">
        <v>-0.29999600786891151</v>
      </c>
      <c r="AI243" s="46">
        <v>1</v>
      </c>
      <c r="AJ243" s="18">
        <v>0.43773636258499288</v>
      </c>
      <c r="AK243" s="46">
        <v>1</v>
      </c>
      <c r="AL243" s="18">
        <v>-0.2058997240262741</v>
      </c>
      <c r="AM243" s="46">
        <v>1</v>
      </c>
      <c r="AN243" s="48"/>
      <c r="AO243" s="48"/>
      <c r="AP243" s="48"/>
      <c r="AQ243" s="48"/>
    </row>
    <row r="244" spans="1:43" ht="20" customHeight="1" x14ac:dyDescent="0.45">
      <c r="A244" s="26">
        <v>234</v>
      </c>
      <c r="B244" s="16" t="s">
        <v>607</v>
      </c>
      <c r="C244" s="16" t="s">
        <v>214</v>
      </c>
      <c r="D244" s="46">
        <v>29</v>
      </c>
      <c r="E244" s="46">
        <v>1</v>
      </c>
      <c r="F244" s="13">
        <v>-3.5085577560989283E-2</v>
      </c>
      <c r="G244" s="13">
        <v>0.63988456231481528</v>
      </c>
      <c r="H244" s="13">
        <v>6.3159621522349262E-5</v>
      </c>
      <c r="I244" s="13">
        <v>-0.1198720324689658</v>
      </c>
      <c r="J244" s="13">
        <v>0.20509466803370721</v>
      </c>
      <c r="K244" s="13">
        <v>11.04701986754967</v>
      </c>
      <c r="L244" s="13">
        <v>0.58689240910073026</v>
      </c>
      <c r="M244" s="13">
        <v>-1.1949292776761811</v>
      </c>
      <c r="N244" s="19">
        <f>(F244-Settings!$D$18)/Settings!$E$18</f>
        <v>-0.81387916278298167</v>
      </c>
      <c r="O244" s="19">
        <f>(G244-Settings!$D$19)/Settings!$E$19</f>
        <v>2.6935116307179272</v>
      </c>
      <c r="P244" s="19">
        <f>(H244-Settings!$D$20)/Settings!$E$20</f>
        <v>-0.4807703724584747</v>
      </c>
      <c r="Q244" s="19">
        <f>(I244-Settings!$D$21)/Settings!$E$21</f>
        <v>-1.4378941249175516</v>
      </c>
      <c r="R244" s="19">
        <f>(J244-Settings!$D$22)/Settings!$E$22</f>
        <v>-0.11506544657062422</v>
      </c>
      <c r="S244" s="19">
        <f>(K244-Settings!$D$23)/Settings!$E$23</f>
        <v>-1.4614081967858579</v>
      </c>
      <c r="T244" s="19">
        <f>(L244-Settings!$D$24)/Settings!$E$24</f>
        <v>-0.49872634736674126</v>
      </c>
      <c r="U244" s="19">
        <f>(M244-Settings!$D$25)/Settings!$E$25</f>
        <v>-0.76990335537804078</v>
      </c>
      <c r="V244" s="31">
        <f>Settings!$B$18*(N244-F$6)^2</f>
        <v>0.4710472975303554</v>
      </c>
      <c r="W244" s="31">
        <f>Settings!$B$19*(O244-G$6)^2</f>
        <v>1.5259726119834971</v>
      </c>
      <c r="X244" s="31">
        <f>Settings!$B$20*(P244-H$6)^2</f>
        <v>7.1198578102926943E-2</v>
      </c>
      <c r="Y244" s="31">
        <f>Settings!$B$21*(Q244-I$6)^2</f>
        <v>0.69763538966165251</v>
      </c>
      <c r="Z244" s="31">
        <f>Settings!$B$22*(R244-J$6)^2</f>
        <v>0.11361131482545272</v>
      </c>
      <c r="AA244" s="31">
        <f>Settings!$B$23*(S244-K$6)^2</f>
        <v>6.8021192069264087</v>
      </c>
      <c r="AB244" s="31">
        <f>Settings!$B$24*(T244-L$6)^2</f>
        <v>0.79673976830427895</v>
      </c>
      <c r="AC244" s="31">
        <f>Settings!$B$25*(U244-M$6)^2</f>
        <v>2.8218999229541746</v>
      </c>
      <c r="AD244" s="19">
        <f t="shared" si="12"/>
        <v>3.6469472288872988</v>
      </c>
      <c r="AE244" s="15">
        <f t="shared" si="13"/>
        <v>1.4435278308590607</v>
      </c>
      <c r="AF244" s="33">
        <f t="shared" si="14"/>
        <v>0.35278858908627742</v>
      </c>
      <c r="AG244" s="47">
        <f t="shared" si="15"/>
        <v>2.0798585429691401E-3</v>
      </c>
      <c r="AH244" s="48"/>
      <c r="AI244" s="48"/>
      <c r="AJ244" s="48"/>
      <c r="AK244" s="48"/>
      <c r="AL244" s="48"/>
      <c r="AM244" s="48"/>
      <c r="AN244" s="48"/>
      <c r="AO244" s="48"/>
      <c r="AP244" s="48"/>
      <c r="AQ244" s="48"/>
    </row>
    <row r="245" spans="1:43" ht="20" customHeight="1" x14ac:dyDescent="0.45">
      <c r="A245" s="26">
        <v>235</v>
      </c>
      <c r="B245" s="16" t="s">
        <v>343</v>
      </c>
      <c r="C245" s="16" t="s">
        <v>216</v>
      </c>
      <c r="D245" s="46">
        <v>29</v>
      </c>
      <c r="E245" s="46">
        <v>1</v>
      </c>
      <c r="F245" s="13">
        <v>0.60254010631344701</v>
      </c>
      <c r="G245" s="13">
        <v>-0.2479780498310013</v>
      </c>
      <c r="H245" s="13">
        <v>0.1146337445770534</v>
      </c>
      <c r="I245" s="13">
        <v>1.5920219417128639E-4</v>
      </c>
      <c r="J245" s="13">
        <v>-3.4688897084327042E-2</v>
      </c>
      <c r="K245" s="13">
        <v>19.42402298850579</v>
      </c>
      <c r="L245" s="13">
        <v>1.950054853814672</v>
      </c>
      <c r="M245" s="13">
        <v>1.560573927643782</v>
      </c>
      <c r="N245" s="19">
        <f>(F245-Settings!$D$18)/Settings!$E$18</f>
        <v>1.4681434112719001</v>
      </c>
      <c r="O245" s="19">
        <f>(G245-Settings!$D$19)/Settings!$E$19</f>
        <v>-1.0054371751565363</v>
      </c>
      <c r="P245" s="19">
        <f>(H245-Settings!$D$20)/Settings!$E$20</f>
        <v>0.55726115895247974</v>
      </c>
      <c r="Q245" s="19">
        <f>(I245-Settings!$D$21)/Settings!$E$21</f>
        <v>3.8166882756235955E-2</v>
      </c>
      <c r="R245" s="19">
        <f>(J245-Settings!$D$22)/Settings!$E$22</f>
        <v>-0.76021441767118403</v>
      </c>
      <c r="S245" s="19">
        <f>(K245-Settings!$D$23)/Settings!$E$23</f>
        <v>1.4477323057475082</v>
      </c>
      <c r="T245" s="19">
        <f>(L245-Settings!$D$24)/Settings!$E$24</f>
        <v>0.44370241344490419</v>
      </c>
      <c r="U245" s="19">
        <f>(M245-Settings!$D$25)/Settings!$E$25</f>
        <v>1.088438695714204</v>
      </c>
      <c r="V245" s="31">
        <f>Settings!$B$18*(N245-F$6)^2</f>
        <v>0.11170478987896107</v>
      </c>
      <c r="W245" s="31">
        <f>Settings!$B$19*(O245-G$6)^2</f>
        <v>0.17549191806339395</v>
      </c>
      <c r="X245" s="31">
        <f>Settings!$B$20*(P245-H$6)^2</f>
        <v>3.8963284466630416E-2</v>
      </c>
      <c r="Y245" s="31">
        <f>Settings!$B$21*(Q245-I$6)^2</f>
        <v>3.0670921711763922E-2</v>
      </c>
      <c r="Z245" s="31">
        <f>Settings!$B$22*(R245-J$6)^2</f>
        <v>0.39135304740846499</v>
      </c>
      <c r="AA245" s="31">
        <f>Settings!$B$23*(S245-K$6)^2</f>
        <v>9.0633048935332777E-2</v>
      </c>
      <c r="AB245" s="31">
        <f>Settings!$B$24*(T245-L$6)^2</f>
        <v>2.4826258273061264E-3</v>
      </c>
      <c r="AC245" s="31">
        <f>Settings!$B$25*(U245-M$6)^2</f>
        <v>12.518811205761009</v>
      </c>
      <c r="AD245" s="19">
        <f t="shared" si="12"/>
        <v>3.6551485389861877</v>
      </c>
      <c r="AE245" s="15">
        <f t="shared" si="13"/>
        <v>1.4467740580826072</v>
      </c>
      <c r="AF245" s="33">
        <f t="shared" si="14"/>
        <v>0.35113743214738319</v>
      </c>
      <c r="AG245" s="47">
        <f t="shared" si="15"/>
        <v>2.0701241780509425E-3</v>
      </c>
      <c r="AH245" s="18">
        <v>2.081291944475065</v>
      </c>
      <c r="AI245" s="46">
        <v>1</v>
      </c>
      <c r="AJ245" s="18">
        <v>0.48150131815902242</v>
      </c>
      <c r="AK245" s="46">
        <v>1</v>
      </c>
      <c r="AL245" s="48"/>
      <c r="AM245" s="48"/>
      <c r="AN245" s="48"/>
      <c r="AO245" s="48"/>
      <c r="AP245" s="48"/>
      <c r="AQ245" s="48"/>
    </row>
    <row r="246" spans="1:43" ht="20" customHeight="1" x14ac:dyDescent="0.45">
      <c r="A246" s="26">
        <v>236</v>
      </c>
      <c r="B246" s="16" t="s">
        <v>253</v>
      </c>
      <c r="C246" s="16" t="s">
        <v>214</v>
      </c>
      <c r="D246" s="46">
        <v>29</v>
      </c>
      <c r="E246" s="46">
        <v>1</v>
      </c>
      <c r="F246" s="13">
        <v>0.33569310698579302</v>
      </c>
      <c r="G246" s="13">
        <v>-7.4360201962171232E-2</v>
      </c>
      <c r="H246" s="13">
        <v>0.19986035419522091</v>
      </c>
      <c r="I246" s="13">
        <v>-1.068151046441008E-2</v>
      </c>
      <c r="J246" s="13">
        <v>0.37940482639240491</v>
      </c>
      <c r="K246" s="13">
        <v>18.559552845528419</v>
      </c>
      <c r="L246" s="13">
        <v>2.6682494264202798</v>
      </c>
      <c r="M246" s="13">
        <v>1.6124739594394399</v>
      </c>
      <c r="N246" s="19">
        <f>(F246-Settings!$D$18)/Settings!$E$18</f>
        <v>0.51311463547931269</v>
      </c>
      <c r="O246" s="19">
        <f>(G246-Settings!$D$19)/Settings!$E$19</f>
        <v>-0.28212309224814142</v>
      </c>
      <c r="P246" s="19">
        <f>(H246-Settings!$D$20)/Settings!$E$20</f>
        <v>1.3294306310141573</v>
      </c>
      <c r="Q246" s="19">
        <f>(I246-Settings!$D$21)/Settings!$E$21</f>
        <v>-9.5144694814679825E-2</v>
      </c>
      <c r="R246" s="19">
        <f>(J246-Settings!$D$22)/Settings!$E$22</f>
        <v>0.35392424111765675</v>
      </c>
      <c r="S246" s="19">
        <f>(K246-Settings!$D$23)/Settings!$E$23</f>
        <v>1.1475217089679712</v>
      </c>
      <c r="T246" s="19">
        <f>(L246-Settings!$D$24)/Settings!$E$24</f>
        <v>0.94022960556864843</v>
      </c>
      <c r="U246" s="19">
        <f>(M246-Settings!$D$25)/Settings!$E$25</f>
        <v>1.1234406551939415</v>
      </c>
      <c r="V246" s="31">
        <f>Settings!$B$18*(N246-F$6)^2</f>
        <v>8.6265434724349475E-3</v>
      </c>
      <c r="W246" s="31">
        <f>Settings!$B$19*(O246-G$6)^2</f>
        <v>9.109111134912291E-3</v>
      </c>
      <c r="X246" s="31">
        <f>Settings!$B$20*(P246-H$6)^2</f>
        <v>0.29454052907834205</v>
      </c>
      <c r="Y246" s="31">
        <f>Settings!$B$21*(Q246-I$6)^2</f>
        <v>5.5107518212042184E-2</v>
      </c>
      <c r="Z246" s="31">
        <f>Settings!$B$22*(R246-J$6)^2</f>
        <v>1.6211454785656103E-2</v>
      </c>
      <c r="AA246" s="31">
        <f>Settings!$B$23*(S246-K$6)^2</f>
        <v>7.1003533983249982E-7</v>
      </c>
      <c r="AB246" s="31">
        <f>Settings!$B$24*(T246-L$6)^2</f>
        <v>0.29850176176286547</v>
      </c>
      <c r="AC246" s="31">
        <f>Settings!$B$25*(U246-M$6)^2</f>
        <v>12.767723733807388</v>
      </c>
      <c r="AD246" s="19">
        <f t="shared" si="12"/>
        <v>3.6673998094411497</v>
      </c>
      <c r="AE246" s="15">
        <f t="shared" si="13"/>
        <v>1.4516233330392165</v>
      </c>
      <c r="AF246" s="33">
        <f t="shared" si="14"/>
        <v>0.34867844221519528</v>
      </c>
      <c r="AG246" s="47">
        <f t="shared" si="15"/>
        <v>2.05562724879713E-3</v>
      </c>
      <c r="AH246" s="48"/>
      <c r="AI246" s="48"/>
      <c r="AJ246" s="48"/>
      <c r="AK246" s="48"/>
      <c r="AL246" s="48"/>
      <c r="AM246" s="48"/>
      <c r="AN246" s="48"/>
      <c r="AO246" s="48"/>
      <c r="AP246" s="48"/>
      <c r="AQ246" s="48"/>
    </row>
    <row r="247" spans="1:43" ht="20" customHeight="1" x14ac:dyDescent="0.45">
      <c r="A247" s="26">
        <v>237</v>
      </c>
      <c r="B247" s="16" t="s">
        <v>211</v>
      </c>
      <c r="C247" s="16" t="s">
        <v>227</v>
      </c>
      <c r="D247" s="46">
        <v>29</v>
      </c>
      <c r="E247" s="46">
        <v>0</v>
      </c>
      <c r="F247" s="13">
        <v>0.34311096425766519</v>
      </c>
      <c r="G247" s="13">
        <v>-1.123420026399701E-2</v>
      </c>
      <c r="H247" s="13">
        <v>0.33857127611618559</v>
      </c>
      <c r="I247" s="13">
        <v>3.7070104772793121E-2</v>
      </c>
      <c r="J247" s="13">
        <v>0.2700134545893591</v>
      </c>
      <c r="K247" s="13">
        <v>17.406924882629109</v>
      </c>
      <c r="L247" s="13">
        <v>2.4011650053717051</v>
      </c>
      <c r="M247" s="13">
        <v>1.4304740431586609</v>
      </c>
      <c r="N247" s="19">
        <f>(F247-Settings!$D$18)/Settings!$E$18</f>
        <v>0.53966268423837571</v>
      </c>
      <c r="O247" s="19">
        <f>(G247-Settings!$D$19)/Settings!$E$19</f>
        <v>-1.9132123367538917E-2</v>
      </c>
      <c r="P247" s="19">
        <f>(H247-Settings!$D$20)/Settings!$E$20</f>
        <v>2.586178257474566</v>
      </c>
      <c r="Q247" s="19">
        <f>(I247-Settings!$D$21)/Settings!$E$21</f>
        <v>0.49207160353373369</v>
      </c>
      <c r="R247" s="19">
        <f>(J247-Settings!$D$22)/Settings!$E$22</f>
        <v>5.9601605071797473E-2</v>
      </c>
      <c r="S247" s="19">
        <f>(K247-Settings!$D$23)/Settings!$E$23</f>
        <v>0.7472405293138098</v>
      </c>
      <c r="T247" s="19">
        <f>(L247-Settings!$D$24)/Settings!$E$24</f>
        <v>0.75557953621192941</v>
      </c>
      <c r="U247" s="19">
        <f>(M247-Settings!$D$25)/Settings!$E$25</f>
        <v>1.0006978846296204</v>
      </c>
      <c r="V247" s="31">
        <f>Settings!$B$18*(N247-F$6)^2</f>
        <v>6.5620593883826467E-3</v>
      </c>
      <c r="W247" s="31">
        <f>Settings!$B$19*(O247-G$6)^2</f>
        <v>4.9157422651919646E-4</v>
      </c>
      <c r="X247" s="31">
        <f>Settings!$B$20*(P247-H$6)^2</f>
        <v>1.2204736830019765</v>
      </c>
      <c r="Y247" s="31">
        <f>Settings!$B$21*(Q247-I$6)^2</f>
        <v>7.7624682488504739E-4</v>
      </c>
      <c r="Z247" s="31">
        <f>Settings!$B$22*(R247-J$6)^2</f>
        <v>6.7054737698400882E-2</v>
      </c>
      <c r="AA247" s="31">
        <f>Settings!$B$23*(S247-K$6)^2</f>
        <v>0.15955115019858698</v>
      </c>
      <c r="AB247" s="31">
        <f>Settings!$B$24*(T247-L$6)^2</f>
        <v>0.130829116724891</v>
      </c>
      <c r="AC247" s="31">
        <f>Settings!$B$25*(U247-M$6)^2</f>
        <v>11.905621771293204</v>
      </c>
      <c r="AD247" s="19">
        <f t="shared" si="12"/>
        <v>3.6730587171125979</v>
      </c>
      <c r="AE247" s="15">
        <f t="shared" si="13"/>
        <v>1.4538632312892632</v>
      </c>
      <c r="AF247" s="33">
        <f t="shared" si="14"/>
        <v>0.34754568755274845</v>
      </c>
      <c r="AG247" s="47">
        <f t="shared" si="15"/>
        <v>2.0489491148249395E-3</v>
      </c>
      <c r="AH247" s="18">
        <v>1.704444149765743</v>
      </c>
      <c r="AI247" s="46">
        <v>0</v>
      </c>
      <c r="AJ247" s="18">
        <v>-0.91910327767958311</v>
      </c>
      <c r="AK247" s="46">
        <v>0</v>
      </c>
      <c r="AL247" s="18">
        <v>-1.9730392854931571</v>
      </c>
      <c r="AM247" s="46">
        <v>0</v>
      </c>
      <c r="AN247" s="18">
        <v>-0.54406145876415379</v>
      </c>
      <c r="AO247" s="46">
        <v>1</v>
      </c>
      <c r="AP247" s="18">
        <v>-0.45058183926256618</v>
      </c>
      <c r="AQ247" s="46">
        <v>1</v>
      </c>
    </row>
    <row r="248" spans="1:43" ht="20" customHeight="1" x14ac:dyDescent="0.45">
      <c r="A248" s="26">
        <v>238</v>
      </c>
      <c r="B248" s="16" t="s">
        <v>745</v>
      </c>
      <c r="C248" s="16" t="s">
        <v>236</v>
      </c>
      <c r="D248" s="46">
        <v>29</v>
      </c>
      <c r="E248" s="46">
        <v>0</v>
      </c>
      <c r="F248" s="13">
        <v>7.9910643938656142E-2</v>
      </c>
      <c r="G248" s="13">
        <v>-0.53299825913552656</v>
      </c>
      <c r="H248" s="13">
        <v>3.863953298258023E-2</v>
      </c>
      <c r="I248" s="13">
        <v>-3.831915865616344E-5</v>
      </c>
      <c r="J248" s="13">
        <v>0.34841324478458108</v>
      </c>
      <c r="K248" s="13">
        <v>13.112274774774781</v>
      </c>
      <c r="L248" s="13">
        <v>8.2789975545923683E-2</v>
      </c>
      <c r="M248" s="13">
        <v>0.28514204770089618</v>
      </c>
      <c r="N248" s="19">
        <f>(F248-Settings!$D$18)/Settings!$E$18</f>
        <v>-0.40231485471021633</v>
      </c>
      <c r="O248" s="19">
        <f>(G248-Settings!$D$19)/Settings!$E$19</f>
        <v>-2.1928676947377759</v>
      </c>
      <c r="P248" s="19">
        <f>(H248-Settings!$D$20)/Settings!$E$20</f>
        <v>-0.13126101164128087</v>
      </c>
      <c r="Q248" s="19">
        <f>(I248-Settings!$D$21)/Settings!$E$21</f>
        <v>3.5737901933787453E-2</v>
      </c>
      <c r="R248" s="19">
        <f>(J248-Settings!$D$22)/Settings!$E$22</f>
        <v>0.2705399317000185</v>
      </c>
      <c r="S248" s="19">
        <f>(K248-Settings!$D$23)/Settings!$E$23</f>
        <v>-0.74419267090950914</v>
      </c>
      <c r="T248" s="19">
        <f>(L248-Settings!$D$24)/Settings!$E$24</f>
        <v>-0.84723993327094105</v>
      </c>
      <c r="U248" s="19">
        <f>(M248-Settings!$D$25)/Settings!$E$25</f>
        <v>0.22827323075468173</v>
      </c>
      <c r="V248" s="31">
        <f>Settings!$B$18*(N248-F$6)^2</f>
        <v>0.25227686187044857</v>
      </c>
      <c r="W248" s="31">
        <f>Settings!$B$19*(O248-G$6)^2</f>
        <v>0.90240999407357636</v>
      </c>
      <c r="X248" s="31">
        <f>Settings!$B$20*(P248-H$6)^2</f>
        <v>1.2215837290288419E-2</v>
      </c>
      <c r="Y248" s="31">
        <f>Settings!$B$21*(Q248-I$6)^2</f>
        <v>3.1052582279732673E-2</v>
      </c>
      <c r="Z248" s="31">
        <f>Settings!$B$22*(R248-J$6)^2</f>
        <v>2.7098035056571393E-2</v>
      </c>
      <c r="AA248" s="31">
        <f>Settings!$B$23*(S248-K$6)^2</f>
        <v>3.5753959519932237</v>
      </c>
      <c r="AB248" s="31">
        <f>Settings!$B$24*(T248-L$6)^2</f>
        <v>1.5403698968978992</v>
      </c>
      <c r="AC248" s="31">
        <f>Settings!$B$25*(U248-M$6)^2</f>
        <v>7.1718326141594879</v>
      </c>
      <c r="AD248" s="19">
        <f t="shared" si="12"/>
        <v>3.6759558993030956</v>
      </c>
      <c r="AE248" s="15">
        <f t="shared" si="13"/>
        <v>1.4550099885249934</v>
      </c>
      <c r="AF248" s="33">
        <f t="shared" si="14"/>
        <v>0.34696650420826258</v>
      </c>
      <c r="AG248" s="47">
        <f t="shared" si="15"/>
        <v>2.0455345502266506E-3</v>
      </c>
      <c r="AH248" s="48"/>
      <c r="AI248" s="48"/>
      <c r="AJ248" s="48"/>
      <c r="AK248" s="48"/>
      <c r="AL248" s="48"/>
      <c r="AM248" s="48"/>
      <c r="AN248" s="48"/>
      <c r="AO248" s="48"/>
      <c r="AP248" s="48"/>
      <c r="AQ248" s="48"/>
    </row>
    <row r="249" spans="1:43" ht="20" customHeight="1" x14ac:dyDescent="0.45">
      <c r="A249" s="26">
        <v>239</v>
      </c>
      <c r="B249" s="16" t="s">
        <v>813</v>
      </c>
      <c r="C249" s="16" t="s">
        <v>246</v>
      </c>
      <c r="D249" s="46">
        <v>29</v>
      </c>
      <c r="E249" s="46">
        <v>1</v>
      </c>
      <c r="F249" s="13">
        <v>0.30199908470664738</v>
      </c>
      <c r="G249" s="13">
        <v>-0.38310735000247043</v>
      </c>
      <c r="H249" s="13">
        <v>8.3737740063486721E-3</v>
      </c>
      <c r="I249" s="13">
        <v>-8.9369974418880855E-3</v>
      </c>
      <c r="J249" s="13">
        <v>0.29758279384264552</v>
      </c>
      <c r="K249" s="13">
        <v>10.922685185185181</v>
      </c>
      <c r="L249" s="13">
        <v>6.2277517082439124E-3</v>
      </c>
      <c r="M249" s="13">
        <v>-0.63692998272090906</v>
      </c>
      <c r="N249" s="19">
        <f>(F249-Settings!$D$18)/Settings!$E$18</f>
        <v>0.39252583017193415</v>
      </c>
      <c r="O249" s="19">
        <f>(G249-Settings!$D$19)/Settings!$E$19</f>
        <v>-1.5684030627502106</v>
      </c>
      <c r="P249" s="19">
        <f>(H249-Settings!$D$20)/Settings!$E$20</f>
        <v>-0.40547460801600893</v>
      </c>
      <c r="Q249" s="19">
        <f>(I249-Settings!$D$21)/Settings!$E$21</f>
        <v>-7.3691881660249509E-2</v>
      </c>
      <c r="R249" s="19">
        <f>(J249-Settings!$D$22)/Settings!$E$22</f>
        <v>0.13377821031338119</v>
      </c>
      <c r="S249" s="19">
        <f>(K249-Settings!$D$23)/Settings!$E$23</f>
        <v>-1.5045867721204309</v>
      </c>
      <c r="T249" s="19">
        <f>(L249-Settings!$D$24)/Settings!$E$24</f>
        <v>-0.90017158643973838</v>
      </c>
      <c r="U249" s="19">
        <f>(M249-Settings!$D$25)/Settings!$E$25</f>
        <v>-0.39358241614153644</v>
      </c>
      <c r="V249" s="31">
        <f>Settings!$B$18*(N249-F$6)^2</f>
        <v>2.1552630178172657E-2</v>
      </c>
      <c r="W249" s="31">
        <f>Settings!$B$19*(O249-G$6)^2</f>
        <v>0.44981642953218198</v>
      </c>
      <c r="X249" s="31">
        <f>Settings!$B$20*(P249-H$6)^2</f>
        <v>5.4362339289862484E-2</v>
      </c>
      <c r="Y249" s="31">
        <f>Settings!$B$21*(Q249-I$6)^2</f>
        <v>5.0695186494286226E-2</v>
      </c>
      <c r="Z249" s="31">
        <f>Settings!$B$22*(R249-J$6)^2</f>
        <v>5.0975032143022736E-2</v>
      </c>
      <c r="AA249" s="31">
        <f>Settings!$B$23*(S249-K$6)^2</f>
        <v>7.029210581611288</v>
      </c>
      <c r="AB249" s="31">
        <f>Settings!$B$24*(T249-L$6)^2</f>
        <v>1.6745603415440398</v>
      </c>
      <c r="AC249" s="31">
        <f>Settings!$B$25*(U249-M$6)^2</f>
        <v>4.2278437055965323</v>
      </c>
      <c r="AD249" s="19">
        <f t="shared" si="12"/>
        <v>3.6822569500768663</v>
      </c>
      <c r="AE249" s="15">
        <f t="shared" si="13"/>
        <v>1.4575040586567318</v>
      </c>
      <c r="AF249" s="33">
        <f t="shared" si="14"/>
        <v>0.34570860511736146</v>
      </c>
      <c r="AG249" s="47">
        <f t="shared" si="15"/>
        <v>2.0381186296120411E-3</v>
      </c>
      <c r="AH249" s="48"/>
      <c r="AI249" s="48"/>
      <c r="AJ249" s="48"/>
      <c r="AK249" s="48"/>
      <c r="AL249" s="48"/>
      <c r="AM249" s="48"/>
      <c r="AN249" s="48"/>
      <c r="AO249" s="48"/>
      <c r="AP249" s="48"/>
      <c r="AQ249" s="48"/>
    </row>
    <row r="250" spans="1:43" ht="20" customHeight="1" x14ac:dyDescent="0.45">
      <c r="A250" s="26">
        <v>240</v>
      </c>
      <c r="B250" s="16" t="s">
        <v>744</v>
      </c>
      <c r="C250" s="16" t="s">
        <v>260</v>
      </c>
      <c r="D250" s="46">
        <v>29</v>
      </c>
      <c r="E250" s="46">
        <v>1</v>
      </c>
      <c r="F250" s="13">
        <v>0.25241311715237469</v>
      </c>
      <c r="G250" s="13">
        <v>0.18062536716559821</v>
      </c>
      <c r="H250" s="13">
        <v>0.1227812777888521</v>
      </c>
      <c r="I250" s="13">
        <v>-8.8426343467322741E-2</v>
      </c>
      <c r="J250" s="13">
        <v>0.35575389442585231</v>
      </c>
      <c r="K250" s="13">
        <v>19.701443569553859</v>
      </c>
      <c r="L250" s="13">
        <v>2.8921059438693102</v>
      </c>
      <c r="M250" s="13">
        <v>1.508115895798849</v>
      </c>
      <c r="N250" s="19">
        <f>(F250-Settings!$D$18)/Settings!$E$18</f>
        <v>0.21506074340248968</v>
      </c>
      <c r="O250" s="19">
        <f>(G250-Settings!$D$19)/Settings!$E$19</f>
        <v>0.78017928825291061</v>
      </c>
      <c r="P250" s="19">
        <f>(H250-Settings!$D$20)/Settings!$E$20</f>
        <v>0.631079376607104</v>
      </c>
      <c r="Q250" s="19">
        <f>(I250-Settings!$D$21)/Settings!$E$21</f>
        <v>-1.0511968162959602</v>
      </c>
      <c r="R250" s="19">
        <f>(J250-Settings!$D$22)/Settings!$E$22</f>
        <v>0.29029029516193722</v>
      </c>
      <c r="S250" s="19">
        <f>(K250-Settings!$D$23)/Settings!$E$23</f>
        <v>1.5440740925309377</v>
      </c>
      <c r="T250" s="19">
        <f>(L250-Settings!$D$24)/Settings!$E$24</f>
        <v>1.094993860670594</v>
      </c>
      <c r="U250" s="19">
        <f>(M250-Settings!$D$25)/Settings!$E$25</f>
        <v>1.0530604147865086</v>
      </c>
      <c r="V250" s="31">
        <f>Settings!$B$18*(N250-F$6)^2</f>
        <v>5.1154198895895925E-2</v>
      </c>
      <c r="W250" s="31">
        <f>Settings!$B$19*(O250-G$6)^2</f>
        <v>0.14412228037769656</v>
      </c>
      <c r="X250" s="31">
        <f>Settings!$B$20*(P250-H$6)^2</f>
        <v>5.3085868226255821E-2</v>
      </c>
      <c r="Y250" s="31">
        <f>Settings!$B$21*(Q250-I$6)^2</f>
        <v>0.43865375775752569</v>
      </c>
      <c r="Z250" s="31">
        <f>Settings!$B$22*(R250-J$6)^2</f>
        <v>2.4268086694688339E-2</v>
      </c>
      <c r="AA250" s="31">
        <f>Settings!$B$23*(S250-K$6)^2</f>
        <v>0.15792280153163601</v>
      </c>
      <c r="AB250" s="31">
        <f>Settings!$B$24*(T250-L$6)^2</f>
        <v>0.49156561220525968</v>
      </c>
      <c r="AC250" s="31">
        <f>Settings!$B$25*(U250-M$6)^2</f>
        <v>12.269712441658024</v>
      </c>
      <c r="AD250" s="19">
        <f t="shared" si="12"/>
        <v>3.6919486788614737</v>
      </c>
      <c r="AE250" s="15">
        <f t="shared" si="13"/>
        <v>1.4613402206167685</v>
      </c>
      <c r="AF250" s="33">
        <f t="shared" si="14"/>
        <v>0.34377853580490486</v>
      </c>
      <c r="AG250" s="47">
        <f t="shared" si="15"/>
        <v>2.0267399420007656E-3</v>
      </c>
      <c r="AH250" s="18">
        <v>9.6827347148967569E-2</v>
      </c>
      <c r="AI250" s="46">
        <v>1</v>
      </c>
      <c r="AJ250" s="18">
        <v>-0.51005393204079486</v>
      </c>
      <c r="AK250" s="46">
        <v>1</v>
      </c>
      <c r="AL250" s="18">
        <v>0.36536997758661988</v>
      </c>
      <c r="AM250" s="46">
        <v>1</v>
      </c>
      <c r="AN250" s="18">
        <v>-0.49273093044716049</v>
      </c>
      <c r="AO250" s="46">
        <v>1</v>
      </c>
      <c r="AP250" s="18">
        <v>-0.39896911809989932</v>
      </c>
      <c r="AQ250" s="46">
        <v>1</v>
      </c>
    </row>
    <row r="251" spans="1:43" ht="20" customHeight="1" x14ac:dyDescent="0.45">
      <c r="A251" s="26">
        <v>241</v>
      </c>
      <c r="B251" s="16" t="s">
        <v>779</v>
      </c>
      <c r="C251" s="16" t="s">
        <v>210</v>
      </c>
      <c r="D251" s="46">
        <v>29</v>
      </c>
      <c r="E251" s="46">
        <v>0</v>
      </c>
      <c r="F251" s="13">
        <v>0.60418643416451123</v>
      </c>
      <c r="G251" s="13">
        <v>0.13743452555224839</v>
      </c>
      <c r="H251" s="13">
        <v>-3.982246275637305E-2</v>
      </c>
      <c r="I251" s="13">
        <v>-6.3634350996088539E-3</v>
      </c>
      <c r="J251" s="13">
        <v>0.21219314242725851</v>
      </c>
      <c r="K251" s="13">
        <v>16.708539944903549</v>
      </c>
      <c r="L251" s="13">
        <v>1.267897218531844</v>
      </c>
      <c r="M251" s="13">
        <v>1.564784845075136</v>
      </c>
      <c r="N251" s="19">
        <f>(F251-Settings!$D$18)/Settings!$E$18</f>
        <v>1.4740355160215006</v>
      </c>
      <c r="O251" s="19">
        <f>(G251-Settings!$D$19)/Settings!$E$19</f>
        <v>0.60024073714724091</v>
      </c>
      <c r="P251" s="19">
        <f>(H251-Settings!$D$20)/Settings!$E$20</f>
        <v>-0.84214178113440663</v>
      </c>
      <c r="Q251" s="19">
        <f>(I251-Settings!$D$21)/Settings!$E$21</f>
        <v>-4.2043994050686928E-2</v>
      </c>
      <c r="R251" s="19">
        <f>(J251-Settings!$D$22)/Settings!$E$22</f>
        <v>-9.5966667014448295E-2</v>
      </c>
      <c r="S251" s="19">
        <f>(K251-Settings!$D$23)/Settings!$E$23</f>
        <v>0.50470750415423715</v>
      </c>
      <c r="T251" s="19">
        <f>(L251-Settings!$D$24)/Settings!$E$24</f>
        <v>-2.7910472745418299E-2</v>
      </c>
      <c r="U251" s="19">
        <f>(M251-Settings!$D$25)/Settings!$E$25</f>
        <v>1.0912785853290137</v>
      </c>
      <c r="V251" s="31">
        <f>Settings!$B$18*(N251-F$6)^2</f>
        <v>0.11347310632277018</v>
      </c>
      <c r="W251" s="31">
        <f>Settings!$B$19*(O251-G$6)^2</f>
        <v>8.9498762136924634E-2</v>
      </c>
      <c r="X251" s="31">
        <f>Settings!$B$20*(P251-H$6)^2</f>
        <v>0.18356153955136556</v>
      </c>
      <c r="Y251" s="31">
        <f>Settings!$B$21*(Q251-I$6)^2</f>
        <v>4.4522076257453663E-2</v>
      </c>
      <c r="Z251" s="31">
        <f>Settings!$B$22*(R251-J$6)^2</f>
        <v>0.10792640350436056</v>
      </c>
      <c r="AA251" s="31">
        <f>Settings!$B$23*(S251-K$6)^2</f>
        <v>0.41212749523271619</v>
      </c>
      <c r="AB251" s="31">
        <f>Settings!$B$24*(T251-L$6)^2</f>
        <v>0.1779042150212152</v>
      </c>
      <c r="AC251" s="31">
        <f>Settings!$B$25*(U251-M$6)^2</f>
        <v>12.538915427050187</v>
      </c>
      <c r="AD251" s="19">
        <f t="shared" si="12"/>
        <v>3.6970162327310643</v>
      </c>
      <c r="AE251" s="15">
        <f t="shared" si="13"/>
        <v>1.4633460503110369</v>
      </c>
      <c r="AF251" s="33">
        <f t="shared" si="14"/>
        <v>0.34277163816805195</v>
      </c>
      <c r="AG251" s="47">
        <f t="shared" si="15"/>
        <v>2.0208037957741318E-3</v>
      </c>
      <c r="AH251" s="18">
        <v>0.83171682377209222</v>
      </c>
      <c r="AI251" s="46">
        <v>0</v>
      </c>
      <c r="AJ251" s="18">
        <v>0.1215748693117789</v>
      </c>
      <c r="AK251" s="46">
        <v>0</v>
      </c>
      <c r="AL251" s="18">
        <v>-0.17425235602514011</v>
      </c>
      <c r="AM251" s="46">
        <v>0</v>
      </c>
      <c r="AN251" s="18">
        <v>0.32006955436166029</v>
      </c>
      <c r="AO251" s="46">
        <v>0</v>
      </c>
      <c r="AP251" s="18">
        <v>-0.107264734789585</v>
      </c>
      <c r="AQ251" s="46">
        <v>0</v>
      </c>
    </row>
    <row r="252" spans="1:43" ht="20" customHeight="1" x14ac:dyDescent="0.45">
      <c r="A252" s="26">
        <v>242</v>
      </c>
      <c r="B252" s="16" t="s">
        <v>750</v>
      </c>
      <c r="C252" s="16" t="s">
        <v>246</v>
      </c>
      <c r="D252" s="46">
        <v>29</v>
      </c>
      <c r="E252" s="46">
        <v>1</v>
      </c>
      <c r="F252" s="13">
        <v>0.26925633973097629</v>
      </c>
      <c r="G252" s="13">
        <v>0.38562519133541312</v>
      </c>
      <c r="H252" s="13">
        <v>-7.1424658744931608E-3</v>
      </c>
      <c r="I252" s="13">
        <v>1.2620239271331579E-3</v>
      </c>
      <c r="J252" s="13">
        <v>-0.33671397913198409</v>
      </c>
      <c r="K252" s="13">
        <v>11.437310606060599</v>
      </c>
      <c r="L252" s="13">
        <v>0.30263149929537719</v>
      </c>
      <c r="M252" s="13">
        <v>-0.4834124913099625</v>
      </c>
      <c r="N252" s="19">
        <f>(F252-Settings!$D$18)/Settings!$E$18</f>
        <v>0.27534158703263556</v>
      </c>
      <c r="O252" s="19">
        <f>(G252-Settings!$D$19)/Settings!$E$19</f>
        <v>1.6342346842614952</v>
      </c>
      <c r="P252" s="19">
        <f>(H252-Settings!$D$20)/Settings!$E$20</f>
        <v>-0.54605472508097308</v>
      </c>
      <c r="Q252" s="19">
        <f>(I252-Settings!$D$21)/Settings!$E$21</f>
        <v>5.1728620773916927E-2</v>
      </c>
      <c r="R252" s="19">
        <f>(J252-Settings!$D$22)/Settings!$E$22</f>
        <v>-1.5728271204379143</v>
      </c>
      <c r="S252" s="19">
        <f>(K252-Settings!$D$23)/Settings!$E$23</f>
        <v>-1.3258692004680184</v>
      </c>
      <c r="T252" s="19">
        <f>(L252-Settings!$D$24)/Settings!$E$24</f>
        <v>-0.69525146292717432</v>
      </c>
      <c r="U252" s="19">
        <f>(M252-Settings!$D$25)/Settings!$E$25</f>
        <v>-0.29004851013251498</v>
      </c>
      <c r="V252" s="31">
        <f>Settings!$B$18*(N252-F$6)^2</f>
        <v>3.9686427934527868E-2</v>
      </c>
      <c r="W252" s="31">
        <f>Settings!$B$19*(O252-G$6)^2</f>
        <v>0.58000346882789999</v>
      </c>
      <c r="X252" s="31">
        <f>Settings!$B$20*(P252-H$6)^2</f>
        <v>8.7631787541459991E-2</v>
      </c>
      <c r="Y252" s="31">
        <f>Settings!$B$21*(Q252-I$6)^2</f>
        <v>2.8583367174850424E-2</v>
      </c>
      <c r="Z252" s="31">
        <f>Settings!$B$22*(R252-J$6)^2</f>
        <v>0.97810837119412497</v>
      </c>
      <c r="AA252" s="31">
        <f>Settings!$B$23*(S252-K$6)^2</f>
        <v>6.1134949647314585</v>
      </c>
      <c r="AB252" s="31">
        <f>Settings!$B$24*(T252-L$6)^2</f>
        <v>1.1861996283331329</v>
      </c>
      <c r="AC252" s="31">
        <f>Settings!$B$25*(U252-M$6)^2</f>
        <v>4.664330033208743</v>
      </c>
      <c r="AD252" s="19">
        <f t="shared" si="12"/>
        <v>3.698383166864434</v>
      </c>
      <c r="AE252" s="15">
        <f t="shared" si="13"/>
        <v>1.4638871076229827</v>
      </c>
      <c r="AF252" s="33">
        <f t="shared" si="14"/>
        <v>0.34250030460164249</v>
      </c>
      <c r="AG252" s="47">
        <f t="shared" si="15"/>
        <v>2.019204153797183E-3</v>
      </c>
      <c r="AH252" s="48"/>
      <c r="AI252" s="48"/>
      <c r="AJ252" s="48"/>
      <c r="AK252" s="48"/>
      <c r="AL252" s="48"/>
      <c r="AM252" s="48"/>
      <c r="AN252" s="48"/>
      <c r="AO252" s="48"/>
      <c r="AP252" s="48"/>
      <c r="AQ252" s="48"/>
    </row>
    <row r="253" spans="1:43" ht="20" customHeight="1" x14ac:dyDescent="0.45">
      <c r="A253" s="26">
        <v>243</v>
      </c>
      <c r="B253" s="16" t="s">
        <v>746</v>
      </c>
      <c r="C253" s="16" t="s">
        <v>212</v>
      </c>
      <c r="D253" s="46">
        <v>29</v>
      </c>
      <c r="E253" s="46">
        <v>0</v>
      </c>
      <c r="F253" s="13">
        <v>0.25705313743339181</v>
      </c>
      <c r="G253" s="13">
        <v>-5.2761042524830402E-2</v>
      </c>
      <c r="H253" s="13">
        <v>9.4297704167760454E-2</v>
      </c>
      <c r="I253" s="13">
        <v>2.575497567509911E-3</v>
      </c>
      <c r="J253" s="13">
        <v>0.59331261830650739</v>
      </c>
      <c r="K253" s="13">
        <v>18.405439814814791</v>
      </c>
      <c r="L253" s="13">
        <v>3.2773133657699551</v>
      </c>
      <c r="M253" s="13">
        <v>1.5898884171768899</v>
      </c>
      <c r="N253" s="19">
        <f>(F253-Settings!$D$18)/Settings!$E$18</f>
        <v>0.2316670867370513</v>
      </c>
      <c r="O253" s="19">
        <f>(G253-Settings!$D$19)/Settings!$E$19</f>
        <v>-0.19213824108344035</v>
      </c>
      <c r="P253" s="19">
        <f>(H253-Settings!$D$20)/Settings!$E$20</f>
        <v>0.37301272226092624</v>
      </c>
      <c r="Q253" s="19">
        <f>(I253-Settings!$D$21)/Settings!$E$21</f>
        <v>6.7880810082046106E-2</v>
      </c>
      <c r="R253" s="19">
        <f>(J253-Settings!$D$22)/Settings!$E$22</f>
        <v>0.92945322616650161</v>
      </c>
      <c r="S253" s="19">
        <f>(K253-Settings!$D$23)/Settings!$E$23</f>
        <v>1.0940017981903789</v>
      </c>
      <c r="T253" s="19">
        <f>(L253-Settings!$D$24)/Settings!$E$24</f>
        <v>1.3613088216534392</v>
      </c>
      <c r="U253" s="19">
        <f>(M253-Settings!$D$25)/Settings!$E$25</f>
        <v>1.1082087139455392</v>
      </c>
      <c r="V253" s="31">
        <f>Settings!$B$18*(N253-F$6)^2</f>
        <v>4.7849969018929579E-2</v>
      </c>
      <c r="W253" s="31">
        <f>Settings!$B$19*(O253-G$6)^2</f>
        <v>3.0469533020847507E-3</v>
      </c>
      <c r="X253" s="31">
        <f>Settings!$B$20*(P253-H$6)^2</f>
        <v>1.3223341910583788E-2</v>
      </c>
      <c r="Y253" s="31">
        <f>Settings!$B$21*(Q253-I$6)^2</f>
        <v>2.619305419175802E-2</v>
      </c>
      <c r="Z253" s="31">
        <f>Settings!$B$22*(R253-J$6)^2</f>
        <v>1.6915649227253624E-2</v>
      </c>
      <c r="AA253" s="31">
        <f>Settings!$B$23*(S253-K$6)^2</f>
        <v>2.7748952835367517E-3</v>
      </c>
      <c r="AB253" s="31">
        <f>Settings!$B$24*(T253-L$6)^2</f>
        <v>0.93592537807532517</v>
      </c>
      <c r="AC253" s="31">
        <f>Settings!$B$25*(U253-M$6)^2</f>
        <v>12.659102347998108</v>
      </c>
      <c r="AD253" s="19">
        <f t="shared" si="12"/>
        <v>3.7020307385281903</v>
      </c>
      <c r="AE253" s="15">
        <f t="shared" si="13"/>
        <v>1.4653308826164837</v>
      </c>
      <c r="AF253" s="33">
        <f t="shared" si="14"/>
        <v>0.3417768303430721</v>
      </c>
      <c r="AG253" s="47">
        <f t="shared" si="15"/>
        <v>2.0149389248077672E-3</v>
      </c>
      <c r="AH253" s="18">
        <v>-0.58991412138162591</v>
      </c>
      <c r="AI253" s="46">
        <v>0</v>
      </c>
      <c r="AJ253" s="18">
        <v>-1.0215725355032801</v>
      </c>
      <c r="AK253" s="46">
        <v>0</v>
      </c>
      <c r="AL253" s="18">
        <v>1.1010840299806679</v>
      </c>
      <c r="AM253" s="46">
        <v>0</v>
      </c>
      <c r="AN253" s="18">
        <v>-0.20646350176322331</v>
      </c>
      <c r="AO253" s="46">
        <v>0</v>
      </c>
      <c r="AP253" s="18">
        <v>-1.2038369342482651</v>
      </c>
      <c r="AQ253" s="46">
        <v>0</v>
      </c>
    </row>
    <row r="254" spans="1:43" ht="20" customHeight="1" x14ac:dyDescent="0.45">
      <c r="A254" s="26">
        <v>244</v>
      </c>
      <c r="B254" s="16" t="s">
        <v>553</v>
      </c>
      <c r="C254" s="16" t="s">
        <v>246</v>
      </c>
      <c r="D254" s="46">
        <v>29</v>
      </c>
      <c r="E254" s="46">
        <v>1</v>
      </c>
      <c r="F254" s="13">
        <v>0.3880211167629074</v>
      </c>
      <c r="G254" s="13">
        <v>-0.55580268146067213</v>
      </c>
      <c r="H254" s="13">
        <v>1.2564569741995071E-2</v>
      </c>
      <c r="I254" s="13">
        <v>-6.9486951924056418E-5</v>
      </c>
      <c r="J254" s="13">
        <v>-4.3542145082501128E-2</v>
      </c>
      <c r="K254" s="13">
        <v>13.771969696969739</v>
      </c>
      <c r="L254" s="13">
        <v>-0.58800412495655985</v>
      </c>
      <c r="M254" s="13">
        <v>0.12906444568414099</v>
      </c>
      <c r="N254" s="19">
        <f>(F254-Settings!$D$18)/Settings!$E$18</f>
        <v>0.70039332042992541</v>
      </c>
      <c r="O254" s="19">
        <f>(G254-Settings!$D$19)/Settings!$E$19</f>
        <v>-2.2878738247114083</v>
      </c>
      <c r="P254" s="19">
        <f>(H254-Settings!$D$20)/Settings!$E$20</f>
        <v>-0.36750519276870097</v>
      </c>
      <c r="Q254" s="19">
        <f>(I254-Settings!$D$21)/Settings!$E$21</f>
        <v>3.5354621994469267E-2</v>
      </c>
      <c r="R254" s="19">
        <f>(J254-Settings!$D$22)/Settings!$E$22</f>
        <v>-0.78403449822636517</v>
      </c>
      <c r="S254" s="19">
        <f>(K254-Settings!$D$23)/Settings!$E$23</f>
        <v>-0.51509579822577223</v>
      </c>
      <c r="T254" s="19">
        <f>(L254-Settings!$D$24)/Settings!$E$24</f>
        <v>-1.3109965863006385</v>
      </c>
      <c r="U254" s="19">
        <f>(M254-Settings!$D$25)/Settings!$E$25</f>
        <v>0.12301275763986406</v>
      </c>
      <c r="V254" s="31">
        <f>Settings!$B$18*(N254-F$6)^2</f>
        <v>8.3276820880559931E-5</v>
      </c>
      <c r="W254" s="31">
        <f>Settings!$B$19*(O254-G$6)^2</f>
        <v>0.98493846413467845</v>
      </c>
      <c r="X254" s="31">
        <f>Settings!$B$20*(P254-H$6)^2</f>
        <v>4.6732447174688455E-2</v>
      </c>
      <c r="Y254" s="31">
        <f>Settings!$B$21*(Q254-I$6)^2</f>
        <v>3.1113021814481879E-2</v>
      </c>
      <c r="Z254" s="31">
        <f>Settings!$B$22*(R254-J$6)^2</f>
        <v>0.40479475974803053</v>
      </c>
      <c r="AA254" s="31">
        <f>Settings!$B$23*(S254-K$6)^2</f>
        <v>2.7614957227058374</v>
      </c>
      <c r="AB254" s="31">
        <f>Settings!$B$24*(T254-L$6)^2</f>
        <v>2.9065920974803183</v>
      </c>
      <c r="AC254" s="31">
        <f>Settings!$B$25*(U254-M$6)^2</f>
        <v>6.6191314460141983</v>
      </c>
      <c r="AD254" s="19">
        <f t="shared" si="12"/>
        <v>3.708757370857942</v>
      </c>
      <c r="AE254" s="15">
        <f t="shared" si="13"/>
        <v>1.4679934056436994</v>
      </c>
      <c r="AF254" s="33">
        <f t="shared" si="14"/>
        <v>0.34044478691510766</v>
      </c>
      <c r="AG254" s="47">
        <f t="shared" si="15"/>
        <v>2.007085887637735E-3</v>
      </c>
      <c r="AH254" s="18">
        <v>0.11230061230012529</v>
      </c>
      <c r="AI254" s="46">
        <v>1</v>
      </c>
      <c r="AJ254" s="48"/>
      <c r="AK254" s="48"/>
      <c r="AL254" s="48"/>
      <c r="AM254" s="48"/>
      <c r="AN254" s="48"/>
      <c r="AO254" s="48"/>
      <c r="AP254" s="48"/>
      <c r="AQ254" s="48"/>
    </row>
    <row r="255" spans="1:43" ht="20" customHeight="1" x14ac:dyDescent="0.45">
      <c r="A255" s="26">
        <v>245</v>
      </c>
      <c r="B255" s="16" t="s">
        <v>598</v>
      </c>
      <c r="C255" s="16" t="s">
        <v>260</v>
      </c>
      <c r="D255" s="46">
        <v>29</v>
      </c>
      <c r="E255" s="46">
        <v>1</v>
      </c>
      <c r="F255" s="13">
        <v>-0.38366349543761191</v>
      </c>
      <c r="G255" s="13">
        <v>-0.33019566238174508</v>
      </c>
      <c r="H255" s="13">
        <v>-5.4049200716755298E-3</v>
      </c>
      <c r="I255" s="13">
        <v>3.0493974509254009E-3</v>
      </c>
      <c r="J255" s="13">
        <v>-0.27768652465804222</v>
      </c>
      <c r="K255" s="13">
        <v>13.60578947368421</v>
      </c>
      <c r="L255" s="13">
        <v>-1.08070359643449</v>
      </c>
      <c r="M255" s="13">
        <v>-0.76772975944916078</v>
      </c>
      <c r="N255" s="19">
        <f>(F255-Settings!$D$18)/Settings!$E$18</f>
        <v>-2.0614178010918915</v>
      </c>
      <c r="O255" s="19">
        <f>(G255-Settings!$D$19)/Settings!$E$19</f>
        <v>-1.3479662281948421</v>
      </c>
      <c r="P255" s="19">
        <f>(H255-Settings!$D$20)/Settings!$E$20</f>
        <v>-0.53031222598056682</v>
      </c>
      <c r="Q255" s="19">
        <f>(I255-Settings!$D$21)/Settings!$E$21</f>
        <v>7.3708502694005751E-2</v>
      </c>
      <c r="R255" s="19">
        <f>(J255-Settings!$D$22)/Settings!$E$22</f>
        <v>-1.4140109751286936</v>
      </c>
      <c r="S255" s="19">
        <f>(K255-Settings!$D$23)/Settings!$E$23</f>
        <v>-0.57280636742331514</v>
      </c>
      <c r="T255" s="19">
        <f>(L255-Settings!$D$24)/Settings!$E$24</f>
        <v>-1.6516266807975115</v>
      </c>
      <c r="U255" s="19">
        <f>(M255-Settings!$D$25)/Settings!$E$25</f>
        <v>-0.48179524234993931</v>
      </c>
      <c r="V255" s="31">
        <f>Settings!$B$18*(N255-F$6)^2</f>
        <v>1.5481458569288336</v>
      </c>
      <c r="W255" s="31">
        <f>Settings!$B$19*(O255-G$6)^2</f>
        <v>0.32729978828506728</v>
      </c>
      <c r="X255" s="31">
        <f>Settings!$B$20*(P255-H$6)^2</f>
        <v>8.351314361472939E-2</v>
      </c>
      <c r="Y255" s="31">
        <f>Settings!$B$21*(Q255-I$6)^2</f>
        <v>2.5356250225309043E-2</v>
      </c>
      <c r="Z255" s="31">
        <f>Settings!$B$22*(R255-J$6)^2</f>
        <v>0.84266685726486434</v>
      </c>
      <c r="AA255" s="31">
        <f>Settings!$B$23*(S255-K$6)^2</f>
        <v>2.9566301798985428</v>
      </c>
      <c r="AB255" s="31">
        <f>Settings!$B$24*(T255-L$6)^2</f>
        <v>4.1840830911872811</v>
      </c>
      <c r="AC255" s="31">
        <f>Settings!$B$25*(U255-M$6)^2</f>
        <v>3.872863704047091</v>
      </c>
      <c r="AD255" s="19">
        <f t="shared" si="12"/>
        <v>3.720290159577841</v>
      </c>
      <c r="AE255" s="15">
        <f t="shared" si="13"/>
        <v>1.4725582925037901</v>
      </c>
      <c r="AF255" s="33">
        <f t="shared" si="14"/>
        <v>0.33816749381439648</v>
      </c>
      <c r="AG255" s="47">
        <f t="shared" si="15"/>
        <v>1.9936601486629391E-3</v>
      </c>
      <c r="AH255" s="18">
        <v>-0.1463179125615468</v>
      </c>
      <c r="AI255" s="46">
        <v>1</v>
      </c>
      <c r="AJ255" s="48"/>
      <c r="AK255" s="48"/>
      <c r="AL255" s="48"/>
      <c r="AM255" s="48"/>
      <c r="AN255" s="48"/>
      <c r="AO255" s="48"/>
      <c r="AP255" s="48"/>
      <c r="AQ255" s="48"/>
    </row>
    <row r="256" spans="1:43" ht="20" customHeight="1" x14ac:dyDescent="0.45">
      <c r="A256" s="26">
        <v>246</v>
      </c>
      <c r="B256" s="16" t="s">
        <v>584</v>
      </c>
      <c r="C256" s="16" t="s">
        <v>229</v>
      </c>
      <c r="D256" s="46">
        <v>29</v>
      </c>
      <c r="E256" s="46">
        <v>1</v>
      </c>
      <c r="F256" s="13">
        <v>-8.3000006896778333E-2</v>
      </c>
      <c r="G256" s="13">
        <v>-0.39527292422019211</v>
      </c>
      <c r="H256" s="13">
        <v>1.810604457673708E-2</v>
      </c>
      <c r="I256" s="13">
        <v>-0.1268788418393052</v>
      </c>
      <c r="J256" s="13">
        <v>0.37674218246698732</v>
      </c>
      <c r="K256" s="13">
        <v>14.94275362318839</v>
      </c>
      <c r="L256" s="13">
        <v>-0.28655570945072401</v>
      </c>
      <c r="M256" s="13">
        <v>0.54976908163981941</v>
      </c>
      <c r="N256" s="19">
        <f>(F256-Settings!$D$18)/Settings!$E$18</f>
        <v>-0.98536191846940424</v>
      </c>
      <c r="O256" s="19">
        <f>(G256-Settings!$D$19)/Settings!$E$19</f>
        <v>-1.6190863955202004</v>
      </c>
      <c r="P256" s="19">
        <f>(H256-Settings!$D$20)/Settings!$E$20</f>
        <v>-0.31729836515046766</v>
      </c>
      <c r="Q256" s="19">
        <f>(I256-Settings!$D$21)/Settings!$E$21</f>
        <v>-1.524059014654686</v>
      </c>
      <c r="R256" s="19">
        <f>(J256-Settings!$D$22)/Settings!$E$22</f>
        <v>0.3467602722774874</v>
      </c>
      <c r="S256" s="19">
        <f>(K256-Settings!$D$23)/Settings!$E$23</f>
        <v>-0.10850947012029015</v>
      </c>
      <c r="T256" s="19">
        <f>(L256-Settings!$D$24)/Settings!$E$24</f>
        <v>-1.1025888079206998</v>
      </c>
      <c r="U256" s="19">
        <f>(M256-Settings!$D$25)/Settings!$E$25</f>
        <v>0.40674064972740354</v>
      </c>
      <c r="V256" s="31">
        <f>Settings!$B$18*(N256-F$6)^2</f>
        <v>0.58219688794330171</v>
      </c>
      <c r="W256" s="31">
        <f>Settings!$B$19*(O256-G$6)^2</f>
        <v>0.48073398596354233</v>
      </c>
      <c r="X256" s="31">
        <f>Settings!$B$20*(P256-H$6)^2</f>
        <v>3.7528876872007975E-2</v>
      </c>
      <c r="Y256" s="31">
        <f>Settings!$B$21*(Q256-I$6)^2</f>
        <v>0.76349116738542211</v>
      </c>
      <c r="Z256" s="31">
        <f>Settings!$B$22*(R256-J$6)^2</f>
        <v>1.7037568070503613E-2</v>
      </c>
      <c r="AA256" s="31">
        <f>Settings!$B$23*(S256-K$6)^2</f>
        <v>1.5754982788321052</v>
      </c>
      <c r="AB256" s="31">
        <f>Settings!$B$24*(T256-L$6)^2</f>
        <v>2.2394082923681484</v>
      </c>
      <c r="AC256" s="31">
        <f>Settings!$B$25*(U256-M$6)^2</f>
        <v>8.1595646337136145</v>
      </c>
      <c r="AD256" s="19">
        <f t="shared" si="12"/>
        <v>3.7222922629944906</v>
      </c>
      <c r="AE256" s="15">
        <f t="shared" si="13"/>
        <v>1.4733507613334182</v>
      </c>
      <c r="AF256" s="33">
        <f t="shared" si="14"/>
        <v>0.33777299114835041</v>
      </c>
      <c r="AG256" s="47">
        <f t="shared" si="15"/>
        <v>1.9913343655577512E-3</v>
      </c>
      <c r="AH256" s="18">
        <v>-0.38217234091796187</v>
      </c>
      <c r="AI256" s="46">
        <v>1</v>
      </c>
      <c r="AJ256" s="18">
        <v>-1.046738280150568</v>
      </c>
      <c r="AK256" s="46">
        <v>1</v>
      </c>
      <c r="AL256" s="18">
        <v>0.1993237858547747</v>
      </c>
      <c r="AM256" s="46">
        <v>1</v>
      </c>
      <c r="AN256" s="48"/>
      <c r="AO256" s="48"/>
      <c r="AP256" s="48"/>
      <c r="AQ256" s="48"/>
    </row>
    <row r="257" spans="1:43" ht="20" customHeight="1" x14ac:dyDescent="0.45">
      <c r="A257" s="26">
        <v>247</v>
      </c>
      <c r="B257" s="16" t="s">
        <v>758</v>
      </c>
      <c r="C257" s="16" t="s">
        <v>234</v>
      </c>
      <c r="D257" s="46">
        <v>29</v>
      </c>
      <c r="E257" s="46">
        <v>1</v>
      </c>
      <c r="F257" s="13">
        <v>0.1781580534058422</v>
      </c>
      <c r="G257" s="13">
        <v>0.19171501190129919</v>
      </c>
      <c r="H257" s="13">
        <v>7.2209611017640752E-3</v>
      </c>
      <c r="I257" s="13">
        <v>-8.0186163943171324E-2</v>
      </c>
      <c r="J257" s="13">
        <v>-0.54271980964792332</v>
      </c>
      <c r="K257" s="13">
        <v>13.085888077858881</v>
      </c>
      <c r="L257" s="13">
        <v>-0.2284606063731883</v>
      </c>
      <c r="M257" s="13">
        <v>-7.1103363242878692E-2</v>
      </c>
      <c r="N257" s="19">
        <f>(F257-Settings!$D$18)/Settings!$E$18</f>
        <v>-5.0693500808351249E-2</v>
      </c>
      <c r="O257" s="19">
        <f>(G257-Settings!$D$19)/Settings!$E$19</f>
        <v>0.8263801616668216</v>
      </c>
      <c r="P257" s="19">
        <f>(H257-Settings!$D$20)/Settings!$E$20</f>
        <v>-0.41591931461535747</v>
      </c>
      <c r="Q257" s="19">
        <f>(I257-Settings!$D$21)/Settings!$E$21</f>
        <v>-0.94986479446041994</v>
      </c>
      <c r="R257" s="19">
        <f>(J257-Settings!$D$22)/Settings!$E$22</f>
        <v>-2.1270955063160368</v>
      </c>
      <c r="S257" s="19">
        <f>(K257-Settings!$D$23)/Settings!$E$23</f>
        <v>-0.75335616382191894</v>
      </c>
      <c r="T257" s="19">
        <f>(L257-Settings!$D$24)/Settings!$E$24</f>
        <v>-1.062424485455026</v>
      </c>
      <c r="U257" s="19">
        <f>(M257-Settings!$D$25)/Settings!$E$25</f>
        <v>-1.1982642070035673E-2</v>
      </c>
      <c r="V257" s="31">
        <f>Settings!$B$18*(N257-F$6)^2</f>
        <v>0.11904007788199443</v>
      </c>
      <c r="W257" s="31">
        <f>Settings!$B$19*(O257-G$6)^2</f>
        <v>0.16023693748456611</v>
      </c>
      <c r="X257" s="31">
        <f>Settings!$B$20*(P257-H$6)^2</f>
        <v>5.656232031884937E-2</v>
      </c>
      <c r="Y257" s="31">
        <f>Settings!$B$21*(Q257-I$6)^2</f>
        <v>0.38067956560842797</v>
      </c>
      <c r="Z257" s="31">
        <f>Settings!$B$22*(R257-J$6)^2</f>
        <v>1.529847330272273</v>
      </c>
      <c r="AA257" s="31">
        <f>Settings!$B$23*(S257-K$6)^2</f>
        <v>3.610133901243139</v>
      </c>
      <c r="AB257" s="31">
        <f>Settings!$B$24*(T257-L$6)^2</f>
        <v>2.1208124381620301</v>
      </c>
      <c r="AC257" s="31">
        <f>Settings!$B$25*(U257-M$6)^2</f>
        <v>5.9427317109366102</v>
      </c>
      <c r="AD257" s="19">
        <f t="shared" si="12"/>
        <v>3.730957555629371</v>
      </c>
      <c r="AE257" s="15">
        <f t="shared" si="13"/>
        <v>1.4767806412565243</v>
      </c>
      <c r="AF257" s="33">
        <f t="shared" si="14"/>
        <v>0.33606841247257307</v>
      </c>
      <c r="AG257" s="47">
        <f t="shared" si="15"/>
        <v>1.981285053786753E-3</v>
      </c>
      <c r="AH257" s="18">
        <v>0.24322495229402971</v>
      </c>
      <c r="AI257" s="46">
        <v>1</v>
      </c>
      <c r="AJ257" s="18">
        <v>-0.14890848665398421</v>
      </c>
      <c r="AK257" s="46">
        <v>1</v>
      </c>
      <c r="AL257" s="18">
        <v>-0.63852917435728074</v>
      </c>
      <c r="AM257" s="46">
        <v>1</v>
      </c>
      <c r="AN257" s="18">
        <v>0.2740717550737784</v>
      </c>
      <c r="AO257" s="46">
        <v>1</v>
      </c>
      <c r="AP257" s="48"/>
      <c r="AQ257" s="48"/>
    </row>
    <row r="258" spans="1:43" ht="20" customHeight="1" x14ac:dyDescent="0.45">
      <c r="A258" s="26">
        <v>248</v>
      </c>
      <c r="B258" s="16" t="s">
        <v>392</v>
      </c>
      <c r="C258" s="16" t="s">
        <v>224</v>
      </c>
      <c r="D258" s="46">
        <v>29</v>
      </c>
      <c r="E258" s="46">
        <v>0</v>
      </c>
      <c r="F258" s="13">
        <v>0.76414398304493758</v>
      </c>
      <c r="G258" s="13">
        <v>-8.4161353568326255E-2</v>
      </c>
      <c r="H258" s="13">
        <v>-1.688605004651804E-4</v>
      </c>
      <c r="I258" s="13">
        <v>8.5481232176114794E-2</v>
      </c>
      <c r="J258" s="13">
        <v>-6.6044570710156195E-2</v>
      </c>
      <c r="K258" s="13">
        <v>14.60630081300811</v>
      </c>
      <c r="L258" s="13">
        <v>0.82118731372592912</v>
      </c>
      <c r="M258" s="13">
        <v>1.173266301306982</v>
      </c>
      <c r="N258" s="19">
        <f>(F258-Settings!$D$18)/Settings!$E$18</f>
        <v>2.0465136119752114</v>
      </c>
      <c r="O258" s="19">
        <f>(G258-Settings!$D$19)/Settings!$E$19</f>
        <v>-0.32295593905780928</v>
      </c>
      <c r="P258" s="19">
        <f>(H258-Settings!$D$20)/Settings!$E$20</f>
        <v>-0.48287251938072662</v>
      </c>
      <c r="Q258" s="19">
        <f>(I258-Settings!$D$21)/Settings!$E$21</f>
        <v>1.0873981258186582</v>
      </c>
      <c r="R258" s="19">
        <f>(J258-Settings!$D$22)/Settings!$E$22</f>
        <v>-0.84457833380493064</v>
      </c>
      <c r="S258" s="19">
        <f>(K258-Settings!$D$23)/Settings!$E$23</f>
        <v>-0.22535179226746238</v>
      </c>
      <c r="T258" s="19">
        <f>(L258-Settings!$D$24)/Settings!$E$24</f>
        <v>-0.33674546424701535</v>
      </c>
      <c r="U258" s="19">
        <f>(M258-Settings!$D$25)/Settings!$E$25</f>
        <v>0.82723411887292186</v>
      </c>
      <c r="V258" s="31">
        <f>Settings!$B$18*(N258-F$6)^2</f>
        <v>0.35150394593835405</v>
      </c>
      <c r="W258" s="31">
        <f>Settings!$B$19*(O258-G$6)^2</f>
        <v>1.2928296654229962E-2</v>
      </c>
      <c r="X258" s="31">
        <f>Settings!$B$20*(P258-H$6)^2</f>
        <v>7.1701161467093141E-2</v>
      </c>
      <c r="Y258" s="31">
        <f>Settings!$B$21*(Q258-I$6)^2</f>
        <v>8.649441059981744E-2</v>
      </c>
      <c r="Z258" s="31">
        <f>Settings!$B$22*(R258-J$6)^2</f>
        <v>0.43998129308950945</v>
      </c>
      <c r="AA258" s="31">
        <f>Settings!$B$23*(S258-K$6)^2</f>
        <v>1.8824686953030598</v>
      </c>
      <c r="AB258" s="31">
        <f>Settings!$B$24*(T258-L$6)^2</f>
        <v>0.53380839339537056</v>
      </c>
      <c r="AC258" s="31">
        <f>Settings!$B$25*(U258-M$6)^2</f>
        <v>10.738654515254042</v>
      </c>
      <c r="AD258" s="19">
        <f t="shared" si="12"/>
        <v>3.7573315945896333</v>
      </c>
      <c r="AE258" s="15">
        <f t="shared" si="13"/>
        <v>1.487219964027563</v>
      </c>
      <c r="AF258" s="33">
        <f t="shared" si="14"/>
        <v>0.33090908443937095</v>
      </c>
      <c r="AG258" s="47">
        <f t="shared" si="15"/>
        <v>1.9508683316540217E-3</v>
      </c>
      <c r="AH258" s="18">
        <v>-0.33537809592941592</v>
      </c>
      <c r="AI258" s="46">
        <v>0</v>
      </c>
      <c r="AJ258" s="18">
        <v>-0.39680260885289242</v>
      </c>
      <c r="AK258" s="46">
        <v>1</v>
      </c>
      <c r="AL258" s="18">
        <v>0.14465656181076919</v>
      </c>
      <c r="AM258" s="46">
        <v>1</v>
      </c>
      <c r="AN258" s="18">
        <v>0.24398696348803581</v>
      </c>
      <c r="AO258" s="46">
        <v>1</v>
      </c>
      <c r="AP258" s="18">
        <v>-0.2119962084900095</v>
      </c>
      <c r="AQ258" s="46">
        <v>1</v>
      </c>
    </row>
    <row r="259" spans="1:43" ht="20" customHeight="1" x14ac:dyDescent="0.45">
      <c r="A259" s="26">
        <v>249</v>
      </c>
      <c r="B259" s="16" t="s">
        <v>814</v>
      </c>
      <c r="C259" s="16" t="s">
        <v>214</v>
      </c>
      <c r="D259" s="46">
        <v>29</v>
      </c>
      <c r="E259" s="46">
        <v>1</v>
      </c>
      <c r="F259" s="13">
        <v>0.22136284576495299</v>
      </c>
      <c r="G259" s="13">
        <v>1.450418913723108E-2</v>
      </c>
      <c r="H259" s="13">
        <v>1.310812414036247E-5</v>
      </c>
      <c r="I259" s="13">
        <v>6.9534747871727615E-2</v>
      </c>
      <c r="J259" s="13">
        <v>0.69458510910194793</v>
      </c>
      <c r="K259" s="13">
        <v>9.7016260162601711</v>
      </c>
      <c r="L259" s="13">
        <v>0.50211995302772405</v>
      </c>
      <c r="M259" s="13">
        <v>-0.90613592760929551</v>
      </c>
      <c r="N259" s="19">
        <f>(F259-Settings!$D$18)/Settings!$E$18</f>
        <v>0.10393375772952826</v>
      </c>
      <c r="O259" s="19">
        <f>(G259-Settings!$D$19)/Settings!$E$19</f>
        <v>8.8097287397613064E-2</v>
      </c>
      <c r="P259" s="19">
        <f>(H259-Settings!$D$20)/Settings!$E$20</f>
        <v>-0.4812238486495668</v>
      </c>
      <c r="Q259" s="19">
        <f>(I259-Settings!$D$21)/Settings!$E$21</f>
        <v>0.8912993040640842</v>
      </c>
      <c r="R259" s="19">
        <f>(J259-Settings!$D$22)/Settings!$E$22</f>
        <v>1.2019316306197325</v>
      </c>
      <c r="S259" s="19">
        <f>(K259-Settings!$D$23)/Settings!$E$23</f>
        <v>-1.9286325356254155</v>
      </c>
      <c r="T259" s="19">
        <f>(L259-Settings!$D$24)/Settings!$E$24</f>
        <v>-0.55733418316624361</v>
      </c>
      <c r="U259" s="19">
        <f>(M259-Settings!$D$25)/Settings!$E$25</f>
        <v>-0.57513790365620943</v>
      </c>
      <c r="V259" s="31">
        <f>Settings!$B$18*(N259-F$6)^2</f>
        <v>7.6104499145978721E-2</v>
      </c>
      <c r="W259" s="31">
        <f>Settings!$B$19*(O259-G$6)^2</f>
        <v>4.917645159579453E-3</v>
      </c>
      <c r="X259" s="31">
        <f>Settings!$B$20*(P259-H$6)^2</f>
        <v>7.1306846112374478E-2</v>
      </c>
      <c r="Y259" s="31">
        <f>Settings!$B$21*(Q259-I$6)^2</f>
        <v>4.260148088418899E-2</v>
      </c>
      <c r="Z259" s="31">
        <f>Settings!$B$22*(R259-J$6)^2</f>
        <v>6.346178308812396E-2</v>
      </c>
      <c r="AA259" s="31">
        <f>Settings!$B$23*(S259-K$6)^2</f>
        <v>9.4575414902728347</v>
      </c>
      <c r="AB259" s="31">
        <f>Settings!$B$24*(T259-L$6)^2</f>
        <v>0.904801684033822</v>
      </c>
      <c r="AC259" s="31">
        <f>Settings!$B$25*(U259-M$6)^2</f>
        <v>3.5141874445153789</v>
      </c>
      <c r="AD259" s="19">
        <f t="shared" si="12"/>
        <v>3.7596439822425052</v>
      </c>
      <c r="AE259" s="15">
        <f t="shared" si="13"/>
        <v>1.4881352489832145</v>
      </c>
      <c r="AF259" s="33">
        <f t="shared" si="14"/>
        <v>0.3304588090659854</v>
      </c>
      <c r="AG259" s="47">
        <f t="shared" si="15"/>
        <v>1.9482137415935833E-3</v>
      </c>
      <c r="AH259" s="48"/>
      <c r="AI259" s="48"/>
      <c r="AJ259" s="48"/>
      <c r="AK259" s="48"/>
      <c r="AL259" s="48"/>
      <c r="AM259" s="48"/>
      <c r="AN259" s="48"/>
      <c r="AO259" s="48"/>
      <c r="AP259" s="48"/>
      <c r="AQ259" s="48"/>
    </row>
    <row r="260" spans="1:43" ht="20" customHeight="1" x14ac:dyDescent="0.45">
      <c r="A260" s="26">
        <v>250</v>
      </c>
      <c r="B260" s="16" t="s">
        <v>756</v>
      </c>
      <c r="C260" s="16" t="s">
        <v>216</v>
      </c>
      <c r="D260" s="46">
        <v>29</v>
      </c>
      <c r="E260" s="46">
        <v>1</v>
      </c>
      <c r="F260" s="13">
        <v>0.53184603565872124</v>
      </c>
      <c r="G260" s="13">
        <v>-0.30056967384997929</v>
      </c>
      <c r="H260" s="13">
        <v>-8.5649745629648426E-3</v>
      </c>
      <c r="I260" s="13">
        <v>2.0671772627183789E-2</v>
      </c>
      <c r="J260" s="13">
        <v>0.13834754330115079</v>
      </c>
      <c r="K260" s="13">
        <v>10.422717622080681</v>
      </c>
      <c r="L260" s="13">
        <v>0.18682486768586259</v>
      </c>
      <c r="M260" s="13">
        <v>-0.64043302494432686</v>
      </c>
      <c r="N260" s="19">
        <f>(F260-Settings!$D$18)/Settings!$E$18</f>
        <v>1.2151337393502091</v>
      </c>
      <c r="O260" s="19">
        <f>(G260-Settings!$D$19)/Settings!$E$19</f>
        <v>-1.224540583952906</v>
      </c>
      <c r="P260" s="19">
        <f>(H260-Settings!$D$20)/Settings!$E$20</f>
        <v>-0.55894292734434436</v>
      </c>
      <c r="Q260" s="19">
        <f>(I260-Settings!$D$21)/Settings!$E$21</f>
        <v>0.2904162699120495</v>
      </c>
      <c r="R260" s="19">
        <f>(J260-Settings!$D$22)/Settings!$E$22</f>
        <v>-0.29465172815723822</v>
      </c>
      <c r="S260" s="19">
        <f>(K260-Settings!$D$23)/Settings!$E$23</f>
        <v>-1.67821400691776</v>
      </c>
      <c r="T260" s="19">
        <f>(L260-Settings!$D$24)/Settings!$E$24</f>
        <v>-0.77531492179427097</v>
      </c>
      <c r="U260" s="19">
        <f>(M260-Settings!$D$25)/Settings!$E$25</f>
        <v>-0.39594490683215172</v>
      </c>
      <c r="V260" s="31">
        <f>Settings!$B$18*(N260-F$6)^2</f>
        <v>4.8873403991552003E-2</v>
      </c>
      <c r="W260" s="31">
        <f>Settings!$B$19*(O260-G$6)^2</f>
        <v>0.26718930940867203</v>
      </c>
      <c r="X260" s="31">
        <f>Settings!$B$20*(P260-H$6)^2</f>
        <v>9.1077473427774447E-2</v>
      </c>
      <c r="Y260" s="31">
        <f>Settings!$B$21*(Q260-I$6)^2</f>
        <v>3.8840067988726635E-3</v>
      </c>
      <c r="Z260" s="31">
        <f>Settings!$B$22*(R260-J$6)^2</f>
        <v>0.17420289440002382</v>
      </c>
      <c r="AA260" s="31">
        <f>Settings!$B$23*(S260-K$6)^2</f>
        <v>7.980020913083532</v>
      </c>
      <c r="AB260" s="31">
        <f>Settings!$B$24*(T260-L$6)^2</f>
        <v>1.3670084827891804</v>
      </c>
      <c r="AC260" s="31">
        <f>Settings!$B$25*(U260-M$6)^2</f>
        <v>4.2181339120687964</v>
      </c>
      <c r="AD260" s="19">
        <f t="shared" si="12"/>
        <v>3.7617004660084787</v>
      </c>
      <c r="AE260" s="15">
        <f t="shared" si="13"/>
        <v>1.4889492425409985</v>
      </c>
      <c r="AF260" s="33">
        <f t="shared" si="14"/>
        <v>0.33005864657029388</v>
      </c>
      <c r="AG260" s="47">
        <f t="shared" si="15"/>
        <v>1.945854591068348E-3</v>
      </c>
      <c r="AH260" s="18">
        <v>-0.63173381879945212</v>
      </c>
      <c r="AI260" s="46">
        <v>1</v>
      </c>
      <c r="AJ260" s="18">
        <v>-0.1148534148344094</v>
      </c>
      <c r="AK260" s="46">
        <v>1</v>
      </c>
      <c r="AL260" s="48"/>
      <c r="AM260" s="48"/>
      <c r="AN260" s="48"/>
      <c r="AO260" s="48"/>
      <c r="AP260" s="48"/>
      <c r="AQ260" s="48"/>
    </row>
    <row r="261" spans="1:43" ht="20" customHeight="1" x14ac:dyDescent="0.45">
      <c r="A261" s="26">
        <v>251</v>
      </c>
      <c r="B261" s="16" t="s">
        <v>390</v>
      </c>
      <c r="C261" s="16" t="s">
        <v>220</v>
      </c>
      <c r="D261" s="46">
        <v>29</v>
      </c>
      <c r="E261" s="46">
        <v>1</v>
      </c>
      <c r="F261" s="13">
        <v>1.1740922624580759E-2</v>
      </c>
      <c r="G261" s="13">
        <v>0.1243142522704912</v>
      </c>
      <c r="H261" s="13">
        <v>0.37272081834625959</v>
      </c>
      <c r="I261" s="13">
        <v>2.1503953759935779E-5</v>
      </c>
      <c r="J261" s="13">
        <v>0.49120250280490863</v>
      </c>
      <c r="K261" s="13">
        <v>19.430952380952341</v>
      </c>
      <c r="L261" s="13">
        <v>3.2508407273691748</v>
      </c>
      <c r="M261" s="13">
        <v>1.266118623778532</v>
      </c>
      <c r="N261" s="19">
        <f>(F261-Settings!$D$18)/Settings!$E$18</f>
        <v>-0.64629003770548699</v>
      </c>
      <c r="O261" s="19">
        <f>(G261-Settings!$D$19)/Settings!$E$19</f>
        <v>0.545580006394078</v>
      </c>
      <c r="P261" s="19">
        <f>(H261-Settings!$D$20)/Settings!$E$20</f>
        <v>2.8955796769735196</v>
      </c>
      <c r="Q261" s="19">
        <f>(I261-Settings!$D$21)/Settings!$E$21</f>
        <v>3.6473565145474868E-2</v>
      </c>
      <c r="R261" s="19">
        <f>(J261-Settings!$D$22)/Settings!$E$22</f>
        <v>0.65472115300549094</v>
      </c>
      <c r="S261" s="19">
        <f>(K261-Settings!$D$23)/Settings!$E$23</f>
        <v>1.4501387243596466</v>
      </c>
      <c r="T261" s="19">
        <f>(L261-Settings!$D$24)/Settings!$E$24</f>
        <v>1.3430068387164773</v>
      </c>
      <c r="U261" s="19">
        <f>(M261-Settings!$D$25)/Settings!$E$25</f>
        <v>0.88985475929072999</v>
      </c>
      <c r="V261" s="31">
        <f>Settings!$B$18*(N261-F$6)^2</f>
        <v>0.37378638484149818</v>
      </c>
      <c r="W261" s="31">
        <f>Settings!$B$19*(O261-G$6)^2</f>
        <v>7.5470207668207001E-2</v>
      </c>
      <c r="X261" s="31">
        <f>Settings!$B$20*(P261-H$6)^2</f>
        <v>1.5453449187602288</v>
      </c>
      <c r="Y261" s="31">
        <f>Settings!$B$21*(Q261-I$6)^2</f>
        <v>3.0936739948471365E-2</v>
      </c>
      <c r="Z261" s="31">
        <f>Settings!$B$22*(R261-J$6)^2</f>
        <v>5.1786117269267602E-5</v>
      </c>
      <c r="AA261" s="31">
        <f>Settings!$B$23*(S261-K$6)^2</f>
        <v>9.2087759990826662E-2</v>
      </c>
      <c r="AB261" s="31">
        <f>Settings!$B$24*(T261-L$6)^2</f>
        <v>0.90084847943344259</v>
      </c>
      <c r="AC261" s="31">
        <f>Settings!$B$25*(U261-M$6)^2</f>
        <v>11.152990113817046</v>
      </c>
      <c r="AD261" s="19">
        <f t="shared" si="12"/>
        <v>3.7645074565707781</v>
      </c>
      <c r="AE261" s="15">
        <f t="shared" si="13"/>
        <v>1.4900603002951505</v>
      </c>
      <c r="AF261" s="33">
        <f t="shared" si="14"/>
        <v>0.32951287572164556</v>
      </c>
      <c r="AG261" s="47">
        <f t="shared" si="15"/>
        <v>1.9426370092157016E-3</v>
      </c>
      <c r="AH261" s="48"/>
      <c r="AI261" s="48"/>
      <c r="AJ261" s="48"/>
      <c r="AK261" s="48"/>
      <c r="AL261" s="48"/>
      <c r="AM261" s="48"/>
      <c r="AN261" s="48"/>
      <c r="AO261" s="48"/>
      <c r="AP261" s="48"/>
      <c r="AQ261" s="48"/>
    </row>
    <row r="262" spans="1:43" ht="20" customHeight="1" x14ac:dyDescent="0.45">
      <c r="A262" s="26">
        <v>252</v>
      </c>
      <c r="B262" s="16" t="s">
        <v>663</v>
      </c>
      <c r="C262" s="16" t="s">
        <v>246</v>
      </c>
      <c r="D262" s="46">
        <v>29</v>
      </c>
      <c r="E262" s="46">
        <v>1</v>
      </c>
      <c r="F262" s="13">
        <v>-0.45025644823875771</v>
      </c>
      <c r="G262" s="13">
        <v>-8.5258455486349888E-2</v>
      </c>
      <c r="H262" s="13">
        <v>-1.5737646407500781E-2</v>
      </c>
      <c r="I262" s="13">
        <v>-6.498618008151086E-3</v>
      </c>
      <c r="J262" s="13">
        <v>0.44224883185924052</v>
      </c>
      <c r="K262" s="13">
        <v>10.871223021582731</v>
      </c>
      <c r="L262" s="13">
        <v>-0.22169489985291191</v>
      </c>
      <c r="M262" s="13">
        <v>-1.1309278223428649</v>
      </c>
      <c r="N262" s="19">
        <f>(F262-Settings!$D$18)/Settings!$E$18</f>
        <v>-2.2997498278725317</v>
      </c>
      <c r="O262" s="19">
        <f>(G262-Settings!$D$19)/Settings!$E$19</f>
        <v>-0.32752660548083651</v>
      </c>
      <c r="P262" s="19">
        <f>(H262-Settings!$D$20)/Settings!$E$20</f>
        <v>-0.62392871354751089</v>
      </c>
      <c r="Q262" s="19">
        <f>(I262-Settings!$D$21)/Settings!$E$21</f>
        <v>-4.37063798518754E-2</v>
      </c>
      <c r="R262" s="19">
        <f>(J262-Settings!$D$22)/Settings!$E$22</f>
        <v>0.52300899655871103</v>
      </c>
      <c r="S262" s="19">
        <f>(K262-Settings!$D$23)/Settings!$E$23</f>
        <v>-1.5224583978465054</v>
      </c>
      <c r="T262" s="19">
        <f>(L262-Settings!$D$24)/Settings!$E$24</f>
        <v>-1.0577469824643553</v>
      </c>
      <c r="U262" s="19">
        <f>(M262-Settings!$D$25)/Settings!$E$25</f>
        <v>-0.7267400610848691</v>
      </c>
      <c r="V262" s="31">
        <f>Settings!$B$18*(N262-F$6)^2</f>
        <v>1.824742817705574</v>
      </c>
      <c r="W262" s="31">
        <f>Settings!$B$19*(O262-G$6)^2</f>
        <v>1.3397305949750256E-2</v>
      </c>
      <c r="X262" s="31">
        <f>Settings!$B$20*(P262-H$6)^2</f>
        <v>0.10946368995546188</v>
      </c>
      <c r="Y262" s="31">
        <f>Settings!$B$21*(Q262-I$6)^2</f>
        <v>4.4836365081038429E-2</v>
      </c>
      <c r="Z262" s="31">
        <f>Settings!$B$22*(R262-J$6)^2</f>
        <v>2.673635554065538E-3</v>
      </c>
      <c r="AA262" s="31">
        <f>Settings!$B$23*(S262-K$6)^2</f>
        <v>7.1242948383867528</v>
      </c>
      <c r="AB262" s="31">
        <f>Settings!$B$24*(T262-L$6)^2</f>
        <v>2.1072106131587871</v>
      </c>
      <c r="AC262" s="31">
        <f>Settings!$B$25*(U262-M$6)^2</f>
        <v>2.9687788129862693</v>
      </c>
      <c r="AD262" s="19">
        <f t="shared" si="12"/>
        <v>3.7676780752577175</v>
      </c>
      <c r="AE262" s="15">
        <f t="shared" si="13"/>
        <v>1.4913152886534644</v>
      </c>
      <c r="AF262" s="33">
        <f t="shared" si="14"/>
        <v>0.32889700067634758</v>
      </c>
      <c r="AG262" s="47">
        <f t="shared" si="15"/>
        <v>1.9390061293800412E-3</v>
      </c>
      <c r="AH262" s="18">
        <v>-0.23832513091592419</v>
      </c>
      <c r="AI262" s="46">
        <v>1</v>
      </c>
      <c r="AJ262" s="48"/>
      <c r="AK262" s="48"/>
      <c r="AL262" s="48"/>
      <c r="AM262" s="48"/>
      <c r="AN262" s="48"/>
      <c r="AO262" s="48"/>
      <c r="AP262" s="48"/>
      <c r="AQ262" s="48"/>
    </row>
    <row r="263" spans="1:43" ht="20" customHeight="1" x14ac:dyDescent="0.45">
      <c r="A263" s="26">
        <v>253</v>
      </c>
      <c r="B263" s="16" t="s">
        <v>471</v>
      </c>
      <c r="C263" s="16" t="s">
        <v>216</v>
      </c>
      <c r="D263" s="46">
        <v>29</v>
      </c>
      <c r="E263" s="46">
        <v>1</v>
      </c>
      <c r="F263" s="13">
        <v>0.32555314695293852</v>
      </c>
      <c r="G263" s="13">
        <v>-2.279993385753842E-2</v>
      </c>
      <c r="H263" s="13">
        <v>-2.7051773567065411E-3</v>
      </c>
      <c r="I263" s="13">
        <v>-1.173464374068775E-3</v>
      </c>
      <c r="J263" s="13">
        <v>-0.64776827745874788</v>
      </c>
      <c r="K263" s="13">
        <v>13.68982188295166</v>
      </c>
      <c r="L263" s="13">
        <v>-0.47123260077829709</v>
      </c>
      <c r="M263" s="13">
        <v>0.19462272826874499</v>
      </c>
      <c r="N263" s="19">
        <f>(F263-Settings!$D$18)/Settings!$E$18</f>
        <v>0.47682435063008288</v>
      </c>
      <c r="O263" s="19">
        <f>(G263-Settings!$D$19)/Settings!$E$19</f>
        <v>-6.7316443643732835E-2</v>
      </c>
      <c r="P263" s="19">
        <f>(H263-Settings!$D$20)/Settings!$E$20</f>
        <v>-0.50585203782736377</v>
      </c>
      <c r="Q263" s="19">
        <f>(I263-Settings!$D$21)/Settings!$E$21</f>
        <v>2.1778672111480244E-2</v>
      </c>
      <c r="R263" s="19">
        <f>(J263-Settings!$D$22)/Settings!$E$22</f>
        <v>-2.4097333547043647</v>
      </c>
      <c r="S263" s="19">
        <f>(K263-Settings!$D$23)/Settings!$E$23</f>
        <v>-0.54362384453349455</v>
      </c>
      <c r="T263" s="19">
        <f>(L263-Settings!$D$24)/Settings!$E$24</f>
        <v>-1.2302660444227036</v>
      </c>
      <c r="U263" s="19">
        <f>(M263-Settings!$D$25)/Settings!$E$25</f>
        <v>0.16722599357047202</v>
      </c>
      <c r="V263" s="31">
        <f>Settings!$B$18*(N263-F$6)^2</f>
        <v>1.1904707603636731E-2</v>
      </c>
      <c r="W263" s="31">
        <f>Settings!$B$19*(O263-G$6)^2</f>
        <v>3.8786756168060372E-7</v>
      </c>
      <c r="X263" s="31">
        <f>Settings!$B$20*(P263-H$6)^2</f>
        <v>7.7310400371212951E-2</v>
      </c>
      <c r="Y263" s="31">
        <f>Settings!$B$21*(Q263-I$6)^2</f>
        <v>3.3291719602483914E-2</v>
      </c>
      <c r="Z263" s="31">
        <f>Settings!$B$22*(R263-J$6)^2</f>
        <v>1.8585036245715512</v>
      </c>
      <c r="AA263" s="31">
        <f>Settings!$B$23*(S263-K$6)^2</f>
        <v>2.8571239530918238</v>
      </c>
      <c r="AB263" s="31">
        <f>Settings!$B$24*(T263-L$6)^2</f>
        <v>2.6378388684591907</v>
      </c>
      <c r="AC263" s="31">
        <f>Settings!$B$25*(U263-M$6)^2</f>
        <v>6.8485869892028735</v>
      </c>
      <c r="AD263" s="19">
        <f t="shared" si="12"/>
        <v>3.7847801324212131</v>
      </c>
      <c r="AE263" s="15">
        <f t="shared" si="13"/>
        <v>1.4980845929320954</v>
      </c>
      <c r="AF263" s="33">
        <f t="shared" si="14"/>
        <v>0.32558597380039161</v>
      </c>
      <c r="AG263" s="47">
        <f t="shared" si="15"/>
        <v>1.9194860322255573E-3</v>
      </c>
      <c r="AH263" s="18">
        <v>-0.35813415553651529</v>
      </c>
      <c r="AI263" s="46">
        <v>1</v>
      </c>
      <c r="AJ263" s="18">
        <v>0.73207235165509121</v>
      </c>
      <c r="AK263" s="46">
        <v>1</v>
      </c>
      <c r="AL263" s="48"/>
      <c r="AM263" s="48"/>
      <c r="AN263" s="48"/>
      <c r="AO263" s="48"/>
      <c r="AP263" s="48"/>
      <c r="AQ263" s="48"/>
    </row>
    <row r="264" spans="1:43" ht="20" customHeight="1" x14ac:dyDescent="0.45">
      <c r="A264" s="26">
        <v>254</v>
      </c>
      <c r="B264" s="16" t="s">
        <v>612</v>
      </c>
      <c r="C264" s="16" t="s">
        <v>227</v>
      </c>
      <c r="D264" s="46">
        <v>29</v>
      </c>
      <c r="E264" s="46">
        <v>0</v>
      </c>
      <c r="F264" s="13">
        <v>0.2141974041825272</v>
      </c>
      <c r="G264" s="13">
        <v>0.12463629512752231</v>
      </c>
      <c r="H264" s="13">
        <v>7.804478071161647E-3</v>
      </c>
      <c r="I264" s="13">
        <v>-2.9518563423528859E-2</v>
      </c>
      <c r="J264" s="13">
        <v>0.62384325919525996</v>
      </c>
      <c r="K264" s="13">
        <v>14.573761261261209</v>
      </c>
      <c r="L264" s="13">
        <v>2.045510460011235</v>
      </c>
      <c r="M264" s="13">
        <v>1.4638316615717011</v>
      </c>
      <c r="N264" s="19">
        <f>(F264-Settings!$D$18)/Settings!$E$18</f>
        <v>7.8289088987816724E-2</v>
      </c>
      <c r="O264" s="19">
        <f>(G264-Settings!$D$19)/Settings!$E$19</f>
        <v>0.54692167798285751</v>
      </c>
      <c r="P264" s="19">
        <f>(H264-Settings!$D$20)/Settings!$E$20</f>
        <v>-0.41063253866336996</v>
      </c>
      <c r="Q264" s="19">
        <f>(I264-Settings!$D$21)/Settings!$E$21</f>
        <v>-0.32678972829678965</v>
      </c>
      <c r="R264" s="19">
        <f>(J264-Settings!$D$22)/Settings!$E$22</f>
        <v>1.0115973528781199</v>
      </c>
      <c r="S264" s="19">
        <f>(K264-Settings!$D$23)/Settings!$E$23</f>
        <v>-0.23665203013945021</v>
      </c>
      <c r="T264" s="19">
        <f>(L264-Settings!$D$24)/Settings!$E$24</f>
        <v>0.5096960952758538</v>
      </c>
      <c r="U264" s="19">
        <f>(M264-Settings!$D$25)/Settings!$E$25</f>
        <v>1.0231946340079405</v>
      </c>
      <c r="V264" s="31">
        <f>Settings!$B$18*(N264-F$6)^2</f>
        <v>8.256374894756599E-2</v>
      </c>
      <c r="W264" s="31">
        <f>Settings!$B$19*(O264-G$6)^2</f>
        <v>7.5800237351618449E-2</v>
      </c>
      <c r="X264" s="31">
        <f>Settings!$B$20*(P264-H$6)^2</f>
        <v>5.5443306619393763E-2</v>
      </c>
      <c r="Y264" s="31">
        <f>Settings!$B$21*(Q264-I$6)^2</f>
        <v>0.11447714547358956</v>
      </c>
      <c r="Z264" s="31">
        <f>Settings!$B$22*(R264-J$6)^2</f>
        <v>2.7820954208455685E-2</v>
      </c>
      <c r="AA264" s="31">
        <f>Settings!$B$23*(S264-K$6)^2</f>
        <v>1.9136049409699516</v>
      </c>
      <c r="AB264" s="31">
        <f>Settings!$B$24*(T264-L$6)^2</f>
        <v>1.3414188358507204E-2</v>
      </c>
      <c r="AC264" s="31">
        <f>Settings!$B$25*(U264-M$6)^2</f>
        <v>12.061375800838253</v>
      </c>
      <c r="AD264" s="19">
        <f t="shared" si="12"/>
        <v>3.7874134079563238</v>
      </c>
      <c r="AE264" s="15">
        <f t="shared" si="13"/>
        <v>1.4991268911291034</v>
      </c>
      <c r="AF264" s="33">
        <f t="shared" si="14"/>
        <v>0.32507780742209019</v>
      </c>
      <c r="AG264" s="47">
        <f t="shared" si="15"/>
        <v>1.9164901468260399E-3</v>
      </c>
      <c r="AH264" s="18">
        <v>-0.15347630957372951</v>
      </c>
      <c r="AI264" s="46">
        <v>0</v>
      </c>
      <c r="AJ264" s="18">
        <v>-1.413607029835998</v>
      </c>
      <c r="AK264" s="46">
        <v>0</v>
      </c>
      <c r="AL264" s="48"/>
      <c r="AM264" s="48"/>
      <c r="AN264" s="48"/>
      <c r="AO264" s="48"/>
      <c r="AP264" s="48"/>
      <c r="AQ264" s="48"/>
    </row>
    <row r="265" spans="1:43" ht="20" customHeight="1" x14ac:dyDescent="0.45">
      <c r="A265" s="26">
        <v>255</v>
      </c>
      <c r="B265" s="16" t="s">
        <v>355</v>
      </c>
      <c r="C265" s="16" t="s">
        <v>232</v>
      </c>
      <c r="D265" s="46">
        <v>29</v>
      </c>
      <c r="E265" s="46">
        <v>0</v>
      </c>
      <c r="F265" s="13">
        <v>0.22612980835234411</v>
      </c>
      <c r="G265" s="13">
        <v>-8.5861492258544322E-2</v>
      </c>
      <c r="H265" s="13">
        <v>-1.1842555417600971E-2</v>
      </c>
      <c r="I265" s="13">
        <v>1.2986389293458319E-2</v>
      </c>
      <c r="J265" s="13">
        <v>-0.66317975467805224</v>
      </c>
      <c r="K265" s="13">
        <v>16.185639412997929</v>
      </c>
      <c r="L265" s="13">
        <v>-0.36346386872851461</v>
      </c>
      <c r="M265" s="13">
        <v>0.81101283226586618</v>
      </c>
      <c r="N265" s="19">
        <f>(F265-Settings!$D$18)/Settings!$E$18</f>
        <v>0.12099441966522878</v>
      </c>
      <c r="O265" s="19">
        <f>(G265-Settings!$D$19)/Settings!$E$19</f>
        <v>-0.33003893353462849</v>
      </c>
      <c r="P265" s="19">
        <f>(H265-Settings!$D$20)/Settings!$E$20</f>
        <v>-0.58863844016014866</v>
      </c>
      <c r="Q265" s="19">
        <f>(I265-Settings!$D$21)/Settings!$E$21</f>
        <v>0.19590674745504152</v>
      </c>
      <c r="R265" s="19">
        <f>(J265-Settings!$D$22)/Settings!$E$22</f>
        <v>-2.4511986597442643</v>
      </c>
      <c r="S265" s="19">
        <f>(K265-Settings!$D$23)/Settings!$E$23</f>
        <v>0.32311617677876681</v>
      </c>
      <c r="T265" s="19">
        <f>(L265-Settings!$D$24)/Settings!$E$24</f>
        <v>-1.1557596251813547</v>
      </c>
      <c r="U265" s="19">
        <f>(M265-Settings!$D$25)/Settings!$E$25</f>
        <v>0.58292634475259431</v>
      </c>
      <c r="V265" s="31">
        <f>Settings!$B$18*(N265-F$6)^2</f>
        <v>7.1953061919732067E-2</v>
      </c>
      <c r="W265" s="31">
        <f>Settings!$B$19*(O265-G$6)^2</f>
        <v>1.365866215566729E-2</v>
      </c>
      <c r="X265" s="31">
        <f>Settings!$B$20*(P265-H$6)^2</f>
        <v>9.9269535458389735E-2</v>
      </c>
      <c r="Y265" s="31">
        <f>Settings!$B$21*(Q265-I$6)^2</f>
        <v>1.093859613163814E-2</v>
      </c>
      <c r="Z265" s="31">
        <f>Settings!$B$22*(R265-J$6)^2</f>
        <v>1.909408022652668</v>
      </c>
      <c r="AA265" s="31">
        <f>Settings!$B$23*(S265-K$6)^2</f>
        <v>0.67825584406620687</v>
      </c>
      <c r="AB265" s="31">
        <f>Settings!$B$24*(T265-L$6)^2</f>
        <v>2.4013719905679629</v>
      </c>
      <c r="AC265" s="31">
        <f>Settings!$B$25*(U265-M$6)^2</f>
        <v>9.1971532051812304</v>
      </c>
      <c r="AD265" s="19">
        <f t="shared" si="12"/>
        <v>3.7923619181367032</v>
      </c>
      <c r="AE265" s="15">
        <f t="shared" si="13"/>
        <v>1.5010856011729683</v>
      </c>
      <c r="AF265" s="33">
        <f t="shared" si="14"/>
        <v>0.32412404191997279</v>
      </c>
      <c r="AG265" s="47">
        <f t="shared" si="15"/>
        <v>1.9108672401081501E-3</v>
      </c>
      <c r="AH265" s="18">
        <v>0.7653082685456436</v>
      </c>
      <c r="AI265" s="46">
        <v>0</v>
      </c>
      <c r="AJ265" s="48"/>
      <c r="AK265" s="48"/>
      <c r="AL265" s="48"/>
      <c r="AM265" s="48"/>
      <c r="AN265" s="48"/>
      <c r="AO265" s="48"/>
      <c r="AP265" s="48"/>
      <c r="AQ265" s="48"/>
    </row>
    <row r="266" spans="1:43" ht="20" customHeight="1" x14ac:dyDescent="0.45">
      <c r="A266" s="26">
        <v>256</v>
      </c>
      <c r="B266" s="16" t="s">
        <v>357</v>
      </c>
      <c r="C266" s="16" t="s">
        <v>246</v>
      </c>
      <c r="D266" s="46">
        <v>29</v>
      </c>
      <c r="E266" s="46">
        <v>1</v>
      </c>
      <c r="F266" s="13">
        <v>0.35440660536067609</v>
      </c>
      <c r="G266" s="13">
        <v>-0.40115017186050272</v>
      </c>
      <c r="H266" s="13">
        <v>4.3807034983666983E-2</v>
      </c>
      <c r="I266" s="13">
        <v>-6.428465460887936E-5</v>
      </c>
      <c r="J266" s="13">
        <v>0.2005719031405454</v>
      </c>
      <c r="K266" s="13">
        <v>15.2312101910828</v>
      </c>
      <c r="L266" s="13">
        <v>0.5774141341953487</v>
      </c>
      <c r="M266" s="13">
        <v>1.362070968945609</v>
      </c>
      <c r="N266" s="19">
        <f>(F266-Settings!$D$18)/Settings!$E$18</f>
        <v>0.58008907959444667</v>
      </c>
      <c r="O266" s="19">
        <f>(G266-Settings!$D$19)/Settings!$E$19</f>
        <v>-1.6435717582819167</v>
      </c>
      <c r="P266" s="19">
        <f>(H266-Settings!$D$20)/Settings!$E$20</f>
        <v>-8.4442449810255699E-2</v>
      </c>
      <c r="Q266" s="19">
        <f>(I266-Settings!$D$21)/Settings!$E$21</f>
        <v>3.5418596244495185E-2</v>
      </c>
      <c r="R266" s="19">
        <f>(J266-Settings!$D$22)/Settings!$E$22</f>
        <v>-0.12723415845009248</v>
      </c>
      <c r="S266" s="19">
        <f>(K266-Settings!$D$23)/Settings!$E$23</f>
        <v>-8.3351389463968886E-3</v>
      </c>
      <c r="T266" s="19">
        <f>(L266-Settings!$D$24)/Settings!$E$24</f>
        <v>-0.50527919725513837</v>
      </c>
      <c r="U266" s="19">
        <f>(M266-Settings!$D$25)/Settings!$E$25</f>
        <v>0.9545660895409126</v>
      </c>
      <c r="V266" s="31">
        <f>Settings!$B$18*(N266-F$6)^2</f>
        <v>3.959845783810023E-3</v>
      </c>
      <c r="W266" s="31">
        <f>Settings!$B$19*(O266-G$6)^2</f>
        <v>0.49603851330203491</v>
      </c>
      <c r="X266" s="31">
        <f>Settings!$B$20*(P266-H$6)^2</f>
        <v>8.0258989405819561E-3</v>
      </c>
      <c r="Y266" s="31">
        <f>Settings!$B$21*(Q266-I$6)^2</f>
        <v>3.1102929609310756E-2</v>
      </c>
      <c r="Z266" s="31">
        <f>Settings!$B$22*(R266-J$6)^2</f>
        <v>0.11730953061498531</v>
      </c>
      <c r="AA266" s="31">
        <f>Settings!$B$23*(S266-K$6)^2</f>
        <v>1.3340578298457011</v>
      </c>
      <c r="AB266" s="31">
        <f>Settings!$B$24*(T266-L$6)^2</f>
        <v>0.80848089253414268</v>
      </c>
      <c r="AC266" s="31">
        <f>Settings!$B$25*(U266-M$6)^2</f>
        <v>11.589398787562423</v>
      </c>
      <c r="AD266" s="19">
        <f t="shared" si="12"/>
        <v>3.7932010529621274</v>
      </c>
      <c r="AE266" s="15">
        <f t="shared" si="13"/>
        <v>1.5014177459500433</v>
      </c>
      <c r="AF266" s="33">
        <f t="shared" si="14"/>
        <v>0.32396246329575396</v>
      </c>
      <c r="AG266" s="47">
        <f t="shared" si="15"/>
        <v>1.9099146563445618E-3</v>
      </c>
      <c r="AH266" s="18">
        <v>0.70544762457944388</v>
      </c>
      <c r="AI266" s="46">
        <v>1</v>
      </c>
      <c r="AJ266" s="48"/>
      <c r="AK266" s="48"/>
      <c r="AL266" s="48"/>
      <c r="AM266" s="48"/>
      <c r="AN266" s="48"/>
      <c r="AO266" s="48"/>
      <c r="AP266" s="48"/>
      <c r="AQ266" s="48"/>
    </row>
    <row r="267" spans="1:43" ht="20" customHeight="1" x14ac:dyDescent="0.45">
      <c r="A267" s="26">
        <v>257</v>
      </c>
      <c r="B267" s="16" t="s">
        <v>410</v>
      </c>
      <c r="C267" s="16" t="s">
        <v>229</v>
      </c>
      <c r="D267" s="46">
        <v>29</v>
      </c>
      <c r="E267" s="46">
        <v>1</v>
      </c>
      <c r="F267" s="13">
        <v>0.16183818915283099</v>
      </c>
      <c r="G267" s="13">
        <v>0.58989494259715114</v>
      </c>
      <c r="H267" s="13">
        <v>3.9723288475450418E-2</v>
      </c>
      <c r="I267" s="13">
        <v>9.6088384283956899E-2</v>
      </c>
      <c r="J267" s="13">
        <v>0.1124551954906106</v>
      </c>
      <c r="K267" s="13">
        <v>17.15277777777775</v>
      </c>
      <c r="L267" s="13">
        <v>1.430047534533867</v>
      </c>
      <c r="M267" s="13">
        <v>1.520656724069313</v>
      </c>
      <c r="N267" s="19">
        <f>(F267-Settings!$D$18)/Settings!$E$18</f>
        <v>-0.10910127761650253</v>
      </c>
      <c r="O267" s="19">
        <f>(G267-Settings!$D$19)/Settings!$E$19</f>
        <v>2.485248503482647</v>
      </c>
      <c r="P267" s="19">
        <f>(H267-Settings!$D$20)/Settings!$E$20</f>
        <v>-0.12144197847167879</v>
      </c>
      <c r="Q267" s="19">
        <f>(I267-Settings!$D$21)/Settings!$E$21</f>
        <v>1.2178375374667243</v>
      </c>
      <c r="R267" s="19">
        <f>(J267-Settings!$D$22)/Settings!$E$22</f>
        <v>-0.36431630896837525</v>
      </c>
      <c r="S267" s="19">
        <f>(K267-Settings!$D$23)/Settings!$E$23</f>
        <v>0.65898108549492096</v>
      </c>
      <c r="T267" s="19">
        <f>(L267-Settings!$D$24)/Settings!$E$24</f>
        <v>8.4192910066797716E-2</v>
      </c>
      <c r="U267" s="19">
        <f>(M267-Settings!$D$25)/Settings!$E$25</f>
        <v>1.0615180890456186</v>
      </c>
      <c r="V267" s="31">
        <f>Settings!$B$18*(N267-F$6)^2</f>
        <v>0.13774683189702566</v>
      </c>
      <c r="W267" s="31">
        <f>Settings!$B$19*(O267-G$6)^2</f>
        <v>1.3045398316228818</v>
      </c>
      <c r="X267" s="31">
        <f>Settings!$B$20*(P267-H$6)^2</f>
        <v>1.1264441629211639E-2</v>
      </c>
      <c r="Y267" s="31">
        <f>Settings!$B$21*(Q267-I$6)^2</f>
        <v>0.12420944188467641</v>
      </c>
      <c r="Z267" s="31">
        <f>Settings!$B$22*(R267-J$6)^2</f>
        <v>0.20118019265274367</v>
      </c>
      <c r="AA267" s="31">
        <f>Settings!$B$23*(S267-K$6)^2</f>
        <v>0.23784932703657985</v>
      </c>
      <c r="AB267" s="31">
        <f>Settings!$B$24*(T267-L$6)^2</f>
        <v>9.5903899914516033E-2</v>
      </c>
      <c r="AC267" s="31">
        <f>Settings!$B$25*(U267-M$6)^2</f>
        <v>12.329035309266569</v>
      </c>
      <c r="AD267" s="19">
        <f t="shared" ref="AD267:AD330" si="16">SQRT(SUM(V267:AC267))</f>
        <v>3.8002275294913863</v>
      </c>
      <c r="AE267" s="15">
        <f t="shared" ref="AE267:AE330" si="17">AD267/Yardstick</f>
        <v>1.5041989527474771</v>
      </c>
      <c r="AF267" s="33">
        <f t="shared" ref="AF267:AF330" si="18">EXP(-(AD267^2)/(2*Yardstick^2))</f>
        <v>0.32261124879606173</v>
      </c>
      <c r="AG267" s="47">
        <f t="shared" ref="AG267:AG330" si="19">AF267/$E$7</f>
        <v>1.9019485964789425E-3</v>
      </c>
      <c r="AH267" s="18">
        <v>0.16421918688212789</v>
      </c>
      <c r="AI267" s="46">
        <v>1</v>
      </c>
      <c r="AJ267" s="18">
        <v>-0.29674618775059641</v>
      </c>
      <c r="AK267" s="46">
        <v>1</v>
      </c>
      <c r="AL267" s="18">
        <v>-0.43234195118198832</v>
      </c>
      <c r="AM267" s="46">
        <v>1</v>
      </c>
      <c r="AN267" s="48"/>
      <c r="AO267" s="48"/>
      <c r="AP267" s="48"/>
      <c r="AQ267" s="48"/>
    </row>
    <row r="268" spans="1:43" ht="20" customHeight="1" x14ac:dyDescent="0.45">
      <c r="A268" s="26">
        <v>258</v>
      </c>
      <c r="B268" s="16" t="s">
        <v>512</v>
      </c>
      <c r="C268" s="16" t="s">
        <v>271</v>
      </c>
      <c r="D268" s="46">
        <v>29</v>
      </c>
      <c r="E268" s="46">
        <v>1</v>
      </c>
      <c r="F268" s="13">
        <v>0.35435530334848803</v>
      </c>
      <c r="G268" s="13">
        <v>0.45453267844919548</v>
      </c>
      <c r="H268" s="13">
        <v>-8.9639222201819428E-4</v>
      </c>
      <c r="I268" s="13">
        <v>3.099863478128953E-2</v>
      </c>
      <c r="J268" s="13">
        <v>-0.15921699119900881</v>
      </c>
      <c r="K268" s="13">
        <v>12.8743961352657</v>
      </c>
      <c r="L268" s="13">
        <v>0.63936668957186837</v>
      </c>
      <c r="M268" s="13">
        <v>0.59885248077338926</v>
      </c>
      <c r="N268" s="19">
        <f>(F268-Settings!$D$18)/Settings!$E$18</f>
        <v>0.57990547289090821</v>
      </c>
      <c r="O268" s="19">
        <f>(G268-Settings!$D$19)/Settings!$E$19</f>
        <v>1.9213120582702057</v>
      </c>
      <c r="P268" s="19">
        <f>(H268-Settings!$D$20)/Settings!$E$20</f>
        <v>-0.48946409668101565</v>
      </c>
      <c r="Q268" s="19">
        <f>(I268-Settings!$D$21)/Settings!$E$21</f>
        <v>0.41740886979721037</v>
      </c>
      <c r="R268" s="19">
        <f>(J268-Settings!$D$22)/Settings!$E$22</f>
        <v>-1.0952631177422392</v>
      </c>
      <c r="S268" s="19">
        <f>(K268-Settings!$D$23)/Settings!$E$23</f>
        <v>-0.82680245090973625</v>
      </c>
      <c r="T268" s="19">
        <f>(L268-Settings!$D$24)/Settings!$E$24</f>
        <v>-0.46244800701877553</v>
      </c>
      <c r="U268" s="19">
        <f>(M268-Settings!$D$25)/Settings!$E$25</f>
        <v>0.43984304076957476</v>
      </c>
      <c r="V268" s="31">
        <f>Settings!$B$18*(N268-F$6)^2</f>
        <v>3.9701866261761722E-3</v>
      </c>
      <c r="W268" s="31">
        <f>Settings!$B$19*(O268-G$6)^2</f>
        <v>0.79203679808378469</v>
      </c>
      <c r="X268" s="31">
        <f>Settings!$B$20*(P268-H$6)^2</f>
        <v>7.3288543354937438E-2</v>
      </c>
      <c r="Y268" s="31">
        <f>Settings!$B$21*(Q268-I$6)^2</f>
        <v>3.056965471200811E-5</v>
      </c>
      <c r="Z268" s="31">
        <f>Settings!$B$22*(R268-J$6)^2</f>
        <v>0.60127695277959459</v>
      </c>
      <c r="AA268" s="31">
        <f>Settings!$B$23*(S268-K$6)^2</f>
        <v>3.8946293252943316</v>
      </c>
      <c r="AB268" s="31">
        <f>Settings!$B$24*(T268-L$6)^2</f>
        <v>0.73329158953906604</v>
      </c>
      <c r="AC268" s="31">
        <f>Settings!$B$25*(U268-M$6)^2</f>
        <v>8.3497740420001794</v>
      </c>
      <c r="AD268" s="19">
        <f t="shared" si="16"/>
        <v>3.8010916862570916</v>
      </c>
      <c r="AE268" s="15">
        <f t="shared" si="17"/>
        <v>1.5045410016621528</v>
      </c>
      <c r="AF268" s="33">
        <f t="shared" si="18"/>
        <v>0.32244528603616601</v>
      </c>
      <c r="AG268" s="47">
        <f t="shared" si="19"/>
        <v>1.9009701661252913E-3</v>
      </c>
      <c r="AH268" s="18">
        <v>-0.18440053295378861</v>
      </c>
      <c r="AI268" s="46">
        <v>1</v>
      </c>
      <c r="AJ268" s="18">
        <v>-1.0145493997066199</v>
      </c>
      <c r="AK268" s="46">
        <v>1</v>
      </c>
      <c r="AL268" s="18">
        <v>-8.1413745571939256E-2</v>
      </c>
      <c r="AM268" s="46">
        <v>1</v>
      </c>
      <c r="AN268" s="48"/>
      <c r="AO268" s="48"/>
      <c r="AP268" s="48"/>
      <c r="AQ268" s="48"/>
    </row>
    <row r="269" spans="1:43" ht="20" customHeight="1" x14ac:dyDescent="0.45">
      <c r="A269" s="26">
        <v>259</v>
      </c>
      <c r="B269" s="16" t="s">
        <v>387</v>
      </c>
      <c r="C269" s="16" t="s">
        <v>260</v>
      </c>
      <c r="D269" s="46">
        <v>29</v>
      </c>
      <c r="E269" s="46">
        <v>1</v>
      </c>
      <c r="F269" s="13">
        <v>0.48851286588418658</v>
      </c>
      <c r="G269" s="13">
        <v>-0.10409587013344</v>
      </c>
      <c r="H269" s="13">
        <v>7.3352127592351379E-2</v>
      </c>
      <c r="I269" s="13">
        <v>-1.2717823824075271E-4</v>
      </c>
      <c r="J269" s="13">
        <v>-0.33391195815178137</v>
      </c>
      <c r="K269" s="13">
        <v>18.033050847457599</v>
      </c>
      <c r="L269" s="13">
        <v>1.0036812302509719</v>
      </c>
      <c r="M269" s="13">
        <v>1.6868410829304801</v>
      </c>
      <c r="N269" s="19">
        <f>(F269-Settings!$D$18)/Settings!$E$18</f>
        <v>1.0600470260453636</v>
      </c>
      <c r="O269" s="19">
        <f>(G269-Settings!$D$19)/Settings!$E$19</f>
        <v>-0.40600567584760688</v>
      </c>
      <c r="P269" s="19">
        <f>(H269-Settings!$D$20)/Settings!$E$20</f>
        <v>0.18324177069167127</v>
      </c>
      <c r="Q269" s="19">
        <f>(I269-Settings!$D$21)/Settings!$E$21</f>
        <v>3.4645174503958931E-2</v>
      </c>
      <c r="R269" s="19">
        <f>(J269-Settings!$D$22)/Settings!$E$22</f>
        <v>-1.5652881510698926</v>
      </c>
      <c r="S269" s="19">
        <f>(K269-Settings!$D$23)/Settings!$E$23</f>
        <v>0.96467967523147802</v>
      </c>
      <c r="T269" s="19">
        <f>(L269-Settings!$D$24)/Settings!$E$24</f>
        <v>-0.21057743763119163</v>
      </c>
      <c r="U269" s="19">
        <f>(M269-Settings!$D$25)/Settings!$E$25</f>
        <v>1.1735946715403396</v>
      </c>
      <c r="V269" s="31">
        <f>Settings!$B$18*(N269-F$6)^2</f>
        <v>2.3017870086122709E-2</v>
      </c>
      <c r="W269" s="31">
        <f>Settings!$B$19*(O269-G$6)^2</f>
        <v>2.2753803471546614E-2</v>
      </c>
      <c r="X269" s="31">
        <f>Settings!$B$20*(P269-H$6)^2</f>
        <v>9.0749400242034648E-4</v>
      </c>
      <c r="Y269" s="31">
        <f>Settings!$B$21*(Q269-I$6)^2</f>
        <v>3.1225049859995514E-2</v>
      </c>
      <c r="Z269" s="31">
        <f>Settings!$B$22*(R269-J$6)^2</f>
        <v>0.97145089591432443</v>
      </c>
      <c r="AA269" s="31">
        <f>Settings!$B$23*(S269-K$6)^2</f>
        <v>3.3123780795596518E-2</v>
      </c>
      <c r="AB269" s="31">
        <f>Settings!$B$24*(T269-L$6)^2</f>
        <v>0.3653645120491622</v>
      </c>
      <c r="AC269" s="31">
        <f>Settings!$B$25*(U269-M$6)^2</f>
        <v>13.128659337246104</v>
      </c>
      <c r="AD269" s="19">
        <f t="shared" si="16"/>
        <v>3.8179186402312548</v>
      </c>
      <c r="AE269" s="15">
        <f t="shared" si="17"/>
        <v>1.5112014151109374</v>
      </c>
      <c r="AF269" s="33">
        <f t="shared" si="18"/>
        <v>0.31922316036102338</v>
      </c>
      <c r="AG269" s="47">
        <f t="shared" si="19"/>
        <v>1.8819741843410656E-3</v>
      </c>
      <c r="AH269" s="18">
        <v>0.81555035032648937</v>
      </c>
      <c r="AI269" s="46">
        <v>1</v>
      </c>
      <c r="AJ269" s="18">
        <v>-0.45772889262783839</v>
      </c>
      <c r="AK269" s="46">
        <v>1</v>
      </c>
      <c r="AL269" s="48"/>
      <c r="AM269" s="48"/>
      <c r="AN269" s="48"/>
      <c r="AO269" s="48"/>
      <c r="AP269" s="18">
        <v>-8.7771561279767818E-2</v>
      </c>
      <c r="AQ269" s="46">
        <v>1</v>
      </c>
    </row>
    <row r="270" spans="1:43" ht="20" customHeight="1" x14ac:dyDescent="0.45">
      <c r="A270" s="26">
        <v>260</v>
      </c>
      <c r="B270" s="16" t="s">
        <v>332</v>
      </c>
      <c r="C270" s="16" t="s">
        <v>260</v>
      </c>
      <c r="D270" s="46">
        <v>29</v>
      </c>
      <c r="E270" s="46">
        <v>1</v>
      </c>
      <c r="F270" s="13">
        <v>0.32691437715245608</v>
      </c>
      <c r="G270" s="13">
        <v>0.196658396067279</v>
      </c>
      <c r="H270" s="13">
        <v>1.9780710704999881E-2</v>
      </c>
      <c r="I270" s="13">
        <v>9.3890993846543175E-2</v>
      </c>
      <c r="J270" s="13">
        <v>0.36275552222872171</v>
      </c>
      <c r="K270" s="13">
        <v>15.019179894179899</v>
      </c>
      <c r="L270" s="13">
        <v>1.790581448218258</v>
      </c>
      <c r="M270" s="13">
        <v>1.6213397619674721</v>
      </c>
      <c r="N270" s="19">
        <f>(F270-Settings!$D$18)/Settings!$E$18</f>
        <v>0.48169610865731444</v>
      </c>
      <c r="O270" s="19">
        <f>(G270-Settings!$D$19)/Settings!$E$19</f>
        <v>0.84697493016770165</v>
      </c>
      <c r="P270" s="19">
        <f>(H270-Settings!$D$20)/Settings!$E$20</f>
        <v>-0.30212556799317447</v>
      </c>
      <c r="Q270" s="19">
        <f>(I270-Settings!$D$21)/Settings!$E$21</f>
        <v>1.1908155514611289</v>
      </c>
      <c r="R270" s="19">
        <f>(J270-Settings!$D$22)/Settings!$E$22</f>
        <v>0.30912850440628931</v>
      </c>
      <c r="S270" s="19">
        <f>(K270-Settings!$D$23)/Settings!$E$23</f>
        <v>-8.1968384103168618E-2</v>
      </c>
      <c r="T270" s="19">
        <f>(L270-Settings!$D$24)/Settings!$E$24</f>
        <v>0.33344972521875516</v>
      </c>
      <c r="U270" s="19">
        <f>(M270-Settings!$D$25)/Settings!$E$25</f>
        <v>1.1294198511617461</v>
      </c>
      <c r="V270" s="31">
        <f>Settings!$B$18*(N270-F$6)^2</f>
        <v>1.1434020591776164E-2</v>
      </c>
      <c r="W270" s="31">
        <f>Settings!$B$19*(O270-G$6)^2</f>
        <v>0.16769542837990647</v>
      </c>
      <c r="X270" s="31">
        <f>Settings!$B$20*(P270-H$6)^2</f>
        <v>3.4945902416770029E-2</v>
      </c>
      <c r="Y270" s="31">
        <f>Settings!$B$21*(Q270-I$6)^2</f>
        <v>0.11583744162203319</v>
      </c>
      <c r="Z270" s="31">
        <f>Settings!$B$22*(R270-J$6)^2</f>
        <v>2.1714225081043939E-2</v>
      </c>
      <c r="AA270" s="31">
        <f>Settings!$B$23*(S270-K$6)^2</f>
        <v>1.5095745738966588</v>
      </c>
      <c r="AB270" s="31">
        <f>Settings!$B$24*(T270-L$6)^2</f>
        <v>3.6513900451565807E-3</v>
      </c>
      <c r="AC270" s="31">
        <f>Settings!$B$25*(U270-M$6)^2</f>
        <v>12.810489152915329</v>
      </c>
      <c r="AD270" s="19">
        <f t="shared" si="16"/>
        <v>3.8308409174682096</v>
      </c>
      <c r="AE270" s="15">
        <f t="shared" si="17"/>
        <v>1.5163162867169389</v>
      </c>
      <c r="AF270" s="33">
        <f t="shared" si="18"/>
        <v>0.31676106081783983</v>
      </c>
      <c r="AG270" s="47">
        <f t="shared" si="19"/>
        <v>1.867458922433662E-3</v>
      </c>
      <c r="AH270" s="18">
        <v>0.77831942710259971</v>
      </c>
      <c r="AI270" s="46">
        <v>1</v>
      </c>
      <c r="AJ270" s="18">
        <v>-0.62046171441563858</v>
      </c>
      <c r="AK270" s="46">
        <v>1</v>
      </c>
      <c r="AL270" s="18">
        <v>-1.2870955523678811</v>
      </c>
      <c r="AM270" s="46">
        <v>1</v>
      </c>
      <c r="AN270" s="18">
        <v>-0.64880079477377151</v>
      </c>
      <c r="AO270" s="46">
        <v>1</v>
      </c>
      <c r="AP270" s="18">
        <v>6.1250562681232877E-2</v>
      </c>
      <c r="AQ270" s="46">
        <v>1</v>
      </c>
    </row>
    <row r="271" spans="1:43" ht="20" customHeight="1" x14ac:dyDescent="0.45">
      <c r="A271" s="26">
        <v>261</v>
      </c>
      <c r="B271" s="16" t="s">
        <v>532</v>
      </c>
      <c r="C271" s="16" t="s">
        <v>260</v>
      </c>
      <c r="D271" s="46">
        <v>29</v>
      </c>
      <c r="E271" s="46">
        <v>1</v>
      </c>
      <c r="F271" s="13">
        <v>0.10195880205031491</v>
      </c>
      <c r="G271" s="13">
        <v>0.32403450628742891</v>
      </c>
      <c r="H271" s="13">
        <v>-1.1283862621582141E-3</v>
      </c>
      <c r="I271" s="13">
        <v>1.9678736340710261E-2</v>
      </c>
      <c r="J271" s="13">
        <v>0.55319956905938783</v>
      </c>
      <c r="K271" s="13">
        <v>14.412074829931971</v>
      </c>
      <c r="L271" s="13">
        <v>2.6535770442981699</v>
      </c>
      <c r="M271" s="13">
        <v>1.3655395125255969</v>
      </c>
      <c r="N271" s="19">
        <f>(F271-Settings!$D$18)/Settings!$E$18</f>
        <v>-0.32340587127434101</v>
      </c>
      <c r="O271" s="19">
        <f>(G271-Settings!$D$19)/Settings!$E$19</f>
        <v>1.3776400402313493</v>
      </c>
      <c r="P271" s="19">
        <f>(H271-Settings!$D$20)/Settings!$E$20</f>
        <v>-0.49156600729671368</v>
      </c>
      <c r="Q271" s="19">
        <f>(I271-Settings!$D$21)/Settings!$E$21</f>
        <v>0.27820459729381464</v>
      </c>
      <c r="R271" s="19">
        <f>(J271-Settings!$D$22)/Settings!$E$22</f>
        <v>0.82152717862130686</v>
      </c>
      <c r="S271" s="19">
        <f>(K271-Settings!$D$23)/Settings!$E$23</f>
        <v>-0.29280200875331536</v>
      </c>
      <c r="T271" s="19">
        <f>(L271-Settings!$D$24)/Settings!$E$24</f>
        <v>0.93008578525206342</v>
      </c>
      <c r="U271" s="19">
        <f>(M271-Settings!$D$25)/Settings!$E$25</f>
        <v>0.95690531396216993</v>
      </c>
      <c r="V271" s="31">
        <f>Settings!$B$18*(N271-F$6)^2</f>
        <v>0.21807268430054308</v>
      </c>
      <c r="W271" s="31">
        <f>Settings!$B$19*(O271-G$6)^2</f>
        <v>0.41838513511846964</v>
      </c>
      <c r="X271" s="31">
        <f>Settings!$B$20*(P271-H$6)^2</f>
        <v>7.3798379495853453E-2</v>
      </c>
      <c r="Y271" s="31">
        <f>Settings!$B$21*(Q271-I$6)^2</f>
        <v>4.5945386637037565E-3</v>
      </c>
      <c r="Z271" s="31">
        <f>Settings!$B$22*(R271-J$6)^2</f>
        <v>6.6902878225838921E-3</v>
      </c>
      <c r="AA271" s="31">
        <f>Settings!$B$23*(S271-K$6)^2</f>
        <v>2.07210578478495</v>
      </c>
      <c r="AB271" s="31">
        <f>Settings!$B$24*(T271-L$6)^2</f>
        <v>0.28752044253857617</v>
      </c>
      <c r="AC271" s="31">
        <f>Settings!$B$25*(U271-M$6)^2</f>
        <v>11.605331199331404</v>
      </c>
      <c r="AD271" s="19">
        <f t="shared" si="16"/>
        <v>3.8322967593932602</v>
      </c>
      <c r="AE271" s="15">
        <f t="shared" si="17"/>
        <v>1.516892535344694</v>
      </c>
      <c r="AF271" s="33">
        <f t="shared" si="18"/>
        <v>0.31648435120442409</v>
      </c>
      <c r="AG271" s="47">
        <f t="shared" si="19"/>
        <v>1.8658275860719189E-3</v>
      </c>
      <c r="AH271" s="18">
        <v>0.33623809482984962</v>
      </c>
      <c r="AI271" s="46">
        <v>1</v>
      </c>
      <c r="AJ271" s="18">
        <v>-1.6559922640052629</v>
      </c>
      <c r="AK271" s="46">
        <v>1</v>
      </c>
      <c r="AL271" s="18">
        <v>-0.54847316455345607</v>
      </c>
      <c r="AM271" s="46">
        <v>1</v>
      </c>
      <c r="AN271" s="18">
        <v>0.86767317012642786</v>
      </c>
      <c r="AO271" s="46">
        <v>1</v>
      </c>
      <c r="AP271" s="18">
        <v>-0.46695243109231011</v>
      </c>
      <c r="AQ271" s="46">
        <v>1</v>
      </c>
    </row>
    <row r="272" spans="1:43" ht="20" customHeight="1" x14ac:dyDescent="0.45">
      <c r="A272" s="26">
        <v>262</v>
      </c>
      <c r="B272" s="16" t="s">
        <v>688</v>
      </c>
      <c r="C272" s="16" t="s">
        <v>260</v>
      </c>
      <c r="D272" s="46">
        <v>29</v>
      </c>
      <c r="E272" s="46">
        <v>1</v>
      </c>
      <c r="F272" s="13">
        <v>-0.43206289030896089</v>
      </c>
      <c r="G272" s="13">
        <v>0.24723269847924731</v>
      </c>
      <c r="H272" s="13">
        <v>-8.2743232634098062E-4</v>
      </c>
      <c r="I272" s="13">
        <v>3.0468449609700999E-3</v>
      </c>
      <c r="J272" s="13">
        <v>0.31683013392448078</v>
      </c>
      <c r="K272" s="13">
        <v>10.372993827160499</v>
      </c>
      <c r="L272" s="13">
        <v>-0.16713690496474939</v>
      </c>
      <c r="M272" s="13">
        <v>-1.3483499604150959</v>
      </c>
      <c r="N272" s="19">
        <f>(F272-Settings!$D$18)/Settings!$E$18</f>
        <v>-2.2346362181981325</v>
      </c>
      <c r="O272" s="19">
        <f>(G272-Settings!$D$19)/Settings!$E$19</f>
        <v>1.0576739200289402</v>
      </c>
      <c r="P272" s="19">
        <f>(H272-Settings!$D$20)/Settings!$E$20</f>
        <v>-0.48883930676531834</v>
      </c>
      <c r="Q272" s="19">
        <f>(I272-Settings!$D$21)/Settings!$E$21</f>
        <v>7.3677113940019578E-2</v>
      </c>
      <c r="R272" s="19">
        <f>(J272-Settings!$D$22)/Settings!$E$22</f>
        <v>0.18556408497958726</v>
      </c>
      <c r="S272" s="19">
        <f>(K272-Settings!$D$23)/Settings!$E$23</f>
        <v>-1.6954819371851004</v>
      </c>
      <c r="T272" s="19">
        <f>(L272-Settings!$D$24)/Settings!$E$24</f>
        <v>-1.0200280563640922</v>
      </c>
      <c r="U272" s="19">
        <f>(M272-Settings!$D$25)/Settings!$E$25</f>
        <v>-0.87337197254043719</v>
      </c>
      <c r="V272" s="31">
        <f>Settings!$B$18*(N272-F$6)^2</f>
        <v>1.7469192440712544</v>
      </c>
      <c r="W272" s="31">
        <f>Settings!$B$19*(O272-G$6)^2</f>
        <v>0.2537477166635374</v>
      </c>
      <c r="X272" s="31">
        <f>Settings!$B$20*(P272-H$6)^2</f>
        <v>7.3137336016318943E-2</v>
      </c>
      <c r="Y272" s="31">
        <f>Settings!$B$21*(Q272-I$6)^2</f>
        <v>2.5360720978820545E-2</v>
      </c>
      <c r="Z272" s="31">
        <f>Settings!$B$22*(R272-J$6)^2</f>
        <v>4.1053714367413882E-2</v>
      </c>
      <c r="AA272" s="31">
        <f>Settings!$B$23*(S272-K$6)^2</f>
        <v>8.0778792079333854</v>
      </c>
      <c r="AB272" s="31">
        <f>Settings!$B$24*(T272-L$6)^2</f>
        <v>1.9991259759857956</v>
      </c>
      <c r="AC272" s="31">
        <f>Settings!$B$25*(U272-M$6)^2</f>
        <v>2.4849819243668265</v>
      </c>
      <c r="AD272" s="19">
        <f t="shared" si="16"/>
        <v>3.834345555682658</v>
      </c>
      <c r="AE272" s="15">
        <f t="shared" si="17"/>
        <v>1.5177034860598786</v>
      </c>
      <c r="AF272" s="33">
        <f t="shared" si="18"/>
        <v>0.316095171281084</v>
      </c>
      <c r="AG272" s="47">
        <f t="shared" si="19"/>
        <v>1.8635331830970173E-3</v>
      </c>
      <c r="AH272" s="18">
        <v>-0.58571574765147805</v>
      </c>
      <c r="AI272" s="46">
        <v>1</v>
      </c>
      <c r="AJ272" s="18">
        <v>0.23471383547503311</v>
      </c>
      <c r="AK272" s="46">
        <v>1</v>
      </c>
      <c r="AL272" s="18">
        <v>-0.43033575721576939</v>
      </c>
      <c r="AM272" s="46">
        <v>1</v>
      </c>
      <c r="AN272" s="18">
        <v>-0.12106009823738829</v>
      </c>
      <c r="AO272" s="46">
        <v>1</v>
      </c>
      <c r="AP272" s="18">
        <v>0.29486348382401761</v>
      </c>
      <c r="AQ272" s="46">
        <v>1</v>
      </c>
    </row>
    <row r="273" spans="1:43" ht="20" customHeight="1" x14ac:dyDescent="0.45">
      <c r="A273" s="26">
        <v>263</v>
      </c>
      <c r="B273" s="16" t="s">
        <v>430</v>
      </c>
      <c r="C273" s="16" t="s">
        <v>220</v>
      </c>
      <c r="D273" s="46">
        <v>29</v>
      </c>
      <c r="E273" s="46">
        <v>1</v>
      </c>
      <c r="F273" s="13">
        <v>0.78668474982532577</v>
      </c>
      <c r="G273" s="13">
        <v>-6.7342267419931323E-2</v>
      </c>
      <c r="H273" s="13">
        <v>9.6939295222387048E-2</v>
      </c>
      <c r="I273" s="13">
        <v>-1.2499350843305061E-3</v>
      </c>
      <c r="J273" s="13">
        <v>-4.7783752448025248E-2</v>
      </c>
      <c r="K273" s="13">
        <v>10.75412541254126</v>
      </c>
      <c r="L273" s="13">
        <v>0.398186207992278</v>
      </c>
      <c r="M273" s="13">
        <v>-0.21956699953706679</v>
      </c>
      <c r="N273" s="19">
        <f>(F273-Settings!$D$18)/Settings!$E$18</f>
        <v>2.1271856111280587</v>
      </c>
      <c r="O273" s="19">
        <f>(G273-Settings!$D$19)/Settings!$E$19</f>
        <v>-0.25288548246526643</v>
      </c>
      <c r="P273" s="19">
        <f>(H273-Settings!$D$20)/Settings!$E$20</f>
        <v>0.39694604518896937</v>
      </c>
      <c r="Q273" s="19">
        <f>(I273-Settings!$D$21)/Settings!$E$21</f>
        <v>2.0838288269197515E-2</v>
      </c>
      <c r="R273" s="19">
        <f>(J273-Settings!$D$22)/Settings!$E$22</f>
        <v>-0.79544674254066339</v>
      </c>
      <c r="S273" s="19">
        <f>(K273-Settings!$D$23)/Settings!$E$23</f>
        <v>-1.5631237040775814</v>
      </c>
      <c r="T273" s="19">
        <f>(L273-Settings!$D$24)/Settings!$E$24</f>
        <v>-0.62918926611699466</v>
      </c>
      <c r="U273" s="19">
        <f>(M273-Settings!$D$25)/Settings!$E$25</f>
        <v>-0.11210817190099012</v>
      </c>
      <c r="V273" s="31">
        <f>Settings!$B$18*(N273-F$6)^2</f>
        <v>0.39558476550164462</v>
      </c>
      <c r="W273" s="31">
        <f>Settings!$B$19*(O273-G$6)^2</f>
        <v>6.7841920427639674E-3</v>
      </c>
      <c r="X273" s="31">
        <f>Settings!$B$20*(P273-H$6)^2</f>
        <v>1.5799509074678551E-2</v>
      </c>
      <c r="Y273" s="31">
        <f>Settings!$B$21*(Q273-I$6)^2</f>
        <v>3.344536461971085E-2</v>
      </c>
      <c r="Z273" s="31">
        <f>Settings!$B$22*(R273-J$6)^2</f>
        <v>0.41131512478119725</v>
      </c>
      <c r="AA273" s="31">
        <f>Settings!$B$23*(S273-K$6)^2</f>
        <v>7.3430310907689185</v>
      </c>
      <c r="AB273" s="31">
        <f>Settings!$B$24*(T273-L$6)^2</f>
        <v>1.0466634760414901</v>
      </c>
      <c r="AC273" s="31">
        <f>Settings!$B$25*(U273-M$6)^2</f>
        <v>5.4645904316258331</v>
      </c>
      <c r="AD273" s="19">
        <f t="shared" si="16"/>
        <v>3.8363021198096789</v>
      </c>
      <c r="AE273" s="15">
        <f t="shared" si="17"/>
        <v>1.5184779296130628</v>
      </c>
      <c r="AF273" s="33">
        <f t="shared" si="18"/>
        <v>0.31572376428284138</v>
      </c>
      <c r="AG273" s="47">
        <f t="shared" si="19"/>
        <v>1.8613435600703368E-3</v>
      </c>
      <c r="AH273" s="18">
        <v>0.217473958489351</v>
      </c>
      <c r="AI273" s="46">
        <v>1</v>
      </c>
      <c r="AJ273" s="18">
        <v>0.44814389034577862</v>
      </c>
      <c r="AK273" s="46">
        <v>1</v>
      </c>
      <c r="AL273" s="18">
        <v>-0.37381659043528559</v>
      </c>
      <c r="AM273" s="46">
        <v>1</v>
      </c>
      <c r="AN273" s="18">
        <v>-0.71568049210716533</v>
      </c>
      <c r="AO273" s="46">
        <v>1</v>
      </c>
      <c r="AP273" s="48"/>
      <c r="AQ273" s="48"/>
    </row>
    <row r="274" spans="1:43" ht="20" customHeight="1" x14ac:dyDescent="0.45">
      <c r="A274" s="26">
        <v>264</v>
      </c>
      <c r="B274" s="16" t="s">
        <v>773</v>
      </c>
      <c r="C274" s="16" t="s">
        <v>246</v>
      </c>
      <c r="D274" s="46">
        <v>29</v>
      </c>
      <c r="E274" s="46">
        <v>1</v>
      </c>
      <c r="F274" s="13">
        <v>-0.2307580998129532</v>
      </c>
      <c r="G274" s="13">
        <v>0.2399853384028077</v>
      </c>
      <c r="H274" s="13">
        <v>-3.434370638708345E-4</v>
      </c>
      <c r="I274" s="13">
        <v>2.7749374667564511E-3</v>
      </c>
      <c r="J274" s="13">
        <v>-0.52613818725361194</v>
      </c>
      <c r="K274" s="13">
        <v>13.427041942604831</v>
      </c>
      <c r="L274" s="13">
        <v>-0.33878480395134952</v>
      </c>
      <c r="M274" s="13">
        <v>6.9817105241621269E-2</v>
      </c>
      <c r="N274" s="19">
        <f>(F274-Settings!$D$18)/Settings!$E$18</f>
        <v>-1.5141789220209896</v>
      </c>
      <c r="O274" s="19">
        <f>(G274-Settings!$D$19)/Settings!$E$19</f>
        <v>1.0274804942288618</v>
      </c>
      <c r="P274" s="19">
        <f>(H274-Settings!$D$20)/Settings!$E$20</f>
        <v>-0.48445421661593552</v>
      </c>
      <c r="Q274" s="19">
        <f>(I274-Settings!$D$21)/Settings!$E$21</f>
        <v>7.0333383859849774E-2</v>
      </c>
      <c r="R274" s="19">
        <f>(J274-Settings!$D$22)/Settings!$E$22</f>
        <v>-2.0824818705916615</v>
      </c>
      <c r="S274" s="19">
        <f>(K274-Settings!$D$23)/Settings!$E$23</f>
        <v>-0.63488127355412638</v>
      </c>
      <c r="T274" s="19">
        <f>(L274-Settings!$D$24)/Settings!$E$24</f>
        <v>-1.1386976377959741</v>
      </c>
      <c r="U274" s="19">
        <f>(M274-Settings!$D$25)/Settings!$E$25</f>
        <v>8.3055691378013052E-2</v>
      </c>
      <c r="V274" s="31">
        <f>Settings!$B$18*(N274-F$6)^2</f>
        <v>0.99902509471230483</v>
      </c>
      <c r="W274" s="31">
        <f>Settings!$B$19*(O274-G$6)^2</f>
        <v>0.2403263010681784</v>
      </c>
      <c r="X274" s="31">
        <f>Settings!$B$20*(P274-H$6)^2</f>
        <v>7.2080480550834922E-2</v>
      </c>
      <c r="Y274" s="31">
        <f>Settings!$B$21*(Q274-I$6)^2</f>
        <v>2.5839231227271792E-2</v>
      </c>
      <c r="Z274" s="31">
        <f>Settings!$B$22*(R274-J$6)^2</f>
        <v>1.4808897804538002</v>
      </c>
      <c r="AA274" s="31">
        <f>Settings!$B$23*(S274-K$6)^2</f>
        <v>3.1739572684873947</v>
      </c>
      <c r="AB274" s="31">
        <f>Settings!$B$24*(T274-L$6)^2</f>
        <v>2.3487833593721841</v>
      </c>
      <c r="AC274" s="31">
        <f>Settings!$B$25*(U274-M$6)^2</f>
        <v>6.4151275482737207</v>
      </c>
      <c r="AD274" s="19">
        <f t="shared" si="16"/>
        <v>3.8413577110372956</v>
      </c>
      <c r="AE274" s="15">
        <f t="shared" si="17"/>
        <v>1.5204790242767601</v>
      </c>
      <c r="AF274" s="33">
        <f t="shared" si="18"/>
        <v>0.31476522621850667</v>
      </c>
      <c r="AG274" s="47">
        <f t="shared" si="19"/>
        <v>1.8556925168009635E-3</v>
      </c>
      <c r="AH274" s="18">
        <v>-5.3984643097661822E-2</v>
      </c>
      <c r="AI274" s="46">
        <v>1</v>
      </c>
      <c r="AJ274" s="48"/>
      <c r="AK274" s="48"/>
      <c r="AL274" s="48"/>
      <c r="AM274" s="48"/>
      <c r="AN274" s="48"/>
      <c r="AO274" s="48"/>
      <c r="AP274" s="48"/>
      <c r="AQ274" s="48"/>
    </row>
    <row r="275" spans="1:43" ht="20" customHeight="1" x14ac:dyDescent="0.45">
      <c r="A275" s="26">
        <v>265</v>
      </c>
      <c r="B275" s="16" t="s">
        <v>527</v>
      </c>
      <c r="C275" s="16" t="s">
        <v>234</v>
      </c>
      <c r="D275" s="46">
        <v>29</v>
      </c>
      <c r="E275" s="46">
        <v>1</v>
      </c>
      <c r="F275" s="13">
        <v>-0.45370625297059192</v>
      </c>
      <c r="G275" s="13">
        <v>7.6957818011543874E-2</v>
      </c>
      <c r="H275" s="13">
        <v>-4.5976127414658428E-4</v>
      </c>
      <c r="I275" s="13">
        <v>-6.5451906769004961E-2</v>
      </c>
      <c r="J275" s="13">
        <v>0.40342426097471268</v>
      </c>
      <c r="K275" s="13">
        <v>11.536428571428569</v>
      </c>
      <c r="L275" s="13">
        <v>-0.22712826633384409</v>
      </c>
      <c r="M275" s="13">
        <v>-0.55633984010707205</v>
      </c>
      <c r="N275" s="19">
        <f>(F275-Settings!$D$18)/Settings!$E$18</f>
        <v>-2.312096463952638</v>
      </c>
      <c r="O275" s="19">
        <f>(G275-Settings!$D$19)/Settings!$E$19</f>
        <v>0.3482870653958629</v>
      </c>
      <c r="P275" s="19">
        <f>(H275-Settings!$D$20)/Settings!$E$20</f>
        <v>-0.48550813632996659</v>
      </c>
      <c r="Q275" s="19">
        <f>(I275-Settings!$D$21)/Settings!$E$21</f>
        <v>-0.76867310254071675</v>
      </c>
      <c r="R275" s="19">
        <f>(J275-Settings!$D$22)/Settings!$E$22</f>
        <v>0.41854966071038424</v>
      </c>
      <c r="S275" s="19">
        <f>(K275-Settings!$D$23)/Settings!$E$23</f>
        <v>-1.2914478109308314</v>
      </c>
      <c r="T275" s="19">
        <f>(L275-Settings!$D$24)/Settings!$E$24</f>
        <v>-1.0615033659089823</v>
      </c>
      <c r="U275" s="19">
        <f>(M275-Settings!$D$25)/Settings!$E$25</f>
        <v>-0.33923152638983167</v>
      </c>
      <c r="V275" s="31">
        <f>Settings!$B$18*(N275-F$6)^2</f>
        <v>1.8396907515197798</v>
      </c>
      <c r="W275" s="31">
        <f>Settings!$B$19*(O275-G$6)^2</f>
        <v>3.477715117339341E-2</v>
      </c>
      <c r="X275" s="31">
        <f>Settings!$B$20*(P275-H$6)^2</f>
        <v>7.2333784758804615E-2</v>
      </c>
      <c r="Y275" s="31">
        <f>Settings!$B$21*(Q275-I$6)^2</f>
        <v>0.28725415767641721</v>
      </c>
      <c r="Z275" s="31">
        <f>Settings!$B$22*(R275-J$6)^2</f>
        <v>9.68705642833027E-3</v>
      </c>
      <c r="AA275" s="31">
        <f>Settings!$B$23*(S275-K$6)^2</f>
        <v>5.9444627022466285</v>
      </c>
      <c r="AB275" s="31">
        <f>Settings!$B$24*(T275-L$6)^2</f>
        <v>2.118130432095211</v>
      </c>
      <c r="AC275" s="31">
        <f>Settings!$B$25*(U275-M$6)^2</f>
        <v>4.4543072910691661</v>
      </c>
      <c r="AD275" s="19">
        <f t="shared" si="16"/>
        <v>3.8419582672079784</v>
      </c>
      <c r="AE275" s="15">
        <f t="shared" si="17"/>
        <v>1.5207167352969546</v>
      </c>
      <c r="AF275" s="33">
        <f t="shared" si="18"/>
        <v>0.314651470835832</v>
      </c>
      <c r="AG275" s="47">
        <f t="shared" si="19"/>
        <v>1.8550218740653881E-3</v>
      </c>
      <c r="AH275" s="48"/>
      <c r="AI275" s="48"/>
      <c r="AJ275" s="48"/>
      <c r="AK275" s="48"/>
      <c r="AL275" s="48"/>
      <c r="AM275" s="48"/>
      <c r="AN275" s="48"/>
      <c r="AO275" s="48"/>
      <c r="AP275" s="48"/>
      <c r="AQ275" s="48"/>
    </row>
    <row r="276" spans="1:43" ht="20" customHeight="1" x14ac:dyDescent="0.45">
      <c r="A276" s="26">
        <v>266</v>
      </c>
      <c r="B276" s="16" t="s">
        <v>441</v>
      </c>
      <c r="C276" s="16" t="s">
        <v>232</v>
      </c>
      <c r="D276" s="46">
        <v>29</v>
      </c>
      <c r="E276" s="46">
        <v>0</v>
      </c>
      <c r="F276" s="13">
        <v>-0.1018686253745197</v>
      </c>
      <c r="G276" s="13">
        <v>-0.29090561014187988</v>
      </c>
      <c r="H276" s="13">
        <v>4.9271890976471298E-2</v>
      </c>
      <c r="I276" s="13">
        <v>3.9272095927356941E-2</v>
      </c>
      <c r="J276" s="13">
        <v>-0.51868177757977219</v>
      </c>
      <c r="K276" s="13">
        <v>15.24188034188035</v>
      </c>
      <c r="L276" s="13">
        <v>-1.998559764935026</v>
      </c>
      <c r="M276" s="13">
        <v>-0.7458822267341001</v>
      </c>
      <c r="N276" s="19">
        <f>(F276-Settings!$D$18)/Settings!$E$18</f>
        <v>-1.0528915277627371</v>
      </c>
      <c r="O276" s="19">
        <f>(G276-Settings!$D$19)/Settings!$E$19</f>
        <v>-1.1842788627992529</v>
      </c>
      <c r="P276" s="19">
        <f>(H276-Settings!$D$20)/Settings!$E$20</f>
        <v>-3.4929803633640913E-2</v>
      </c>
      <c r="Q276" s="19">
        <f>(I276-Settings!$D$21)/Settings!$E$21</f>
        <v>0.51915016597305208</v>
      </c>
      <c r="R276" s="19">
        <f>(J276-Settings!$D$22)/Settings!$E$22</f>
        <v>-2.0624200493120672</v>
      </c>
      <c r="S276" s="19">
        <f>(K276-Settings!$D$23)/Settings!$E$23</f>
        <v>-4.6296410009994725E-3</v>
      </c>
      <c r="T276" s="19">
        <f>(L276-Settings!$D$24)/Settings!$E$24</f>
        <v>-2.2861908553297754</v>
      </c>
      <c r="U276" s="19">
        <f>(M276-Settings!$D$25)/Settings!$E$25</f>
        <v>-0.46706102295994723</v>
      </c>
      <c r="V276" s="31">
        <f>Settings!$B$18*(N276-F$6)^2</f>
        <v>0.62919548458969143</v>
      </c>
      <c r="W276" s="31">
        <f>Settings!$B$19*(O276-G$6)^2</f>
        <v>0.24889920379373939</v>
      </c>
      <c r="X276" s="31">
        <f>Settings!$B$20*(P276-H$6)^2</f>
        <v>4.5487812281423175E-3</v>
      </c>
      <c r="Y276" s="31">
        <f>Settings!$B$21*(Q276-I$6)^2</f>
        <v>1.5976894523714571E-3</v>
      </c>
      <c r="Z276" s="31">
        <f>Settings!$B$22*(R276-J$6)^2</f>
        <v>1.459134093118406</v>
      </c>
      <c r="AA276" s="31">
        <f>Settings!$B$23*(S276-K$6)^2</f>
        <v>1.3255117549820274</v>
      </c>
      <c r="AB276" s="31">
        <f>Settings!$B$24*(T276-L$6)^2</f>
        <v>7.1827608044461808</v>
      </c>
      <c r="AC276" s="31">
        <f>Settings!$B$25*(U276-M$6)^2</f>
        <v>3.9310734886549286</v>
      </c>
      <c r="AD276" s="19">
        <f t="shared" si="16"/>
        <v>3.8448304644373446</v>
      </c>
      <c r="AE276" s="15">
        <f t="shared" si="17"/>
        <v>1.5218536030321017</v>
      </c>
      <c r="AF276" s="33">
        <f t="shared" si="18"/>
        <v>0.31410775142612007</v>
      </c>
      <c r="AG276" s="47">
        <f t="shared" si="19"/>
        <v>1.8518163864327058E-3</v>
      </c>
      <c r="AH276" s="48"/>
      <c r="AI276" s="48"/>
      <c r="AJ276" s="48"/>
      <c r="AK276" s="48"/>
      <c r="AL276" s="48"/>
      <c r="AM276" s="48"/>
      <c r="AN276" s="48"/>
      <c r="AO276" s="48"/>
      <c r="AP276" s="48"/>
      <c r="AQ276" s="48"/>
    </row>
    <row r="277" spans="1:43" ht="20" customHeight="1" x14ac:dyDescent="0.45">
      <c r="A277" s="26">
        <v>267</v>
      </c>
      <c r="B277" s="16" t="s">
        <v>529</v>
      </c>
      <c r="C277" s="16" t="s">
        <v>246</v>
      </c>
      <c r="D277" s="46">
        <v>29</v>
      </c>
      <c r="E277" s="46">
        <v>1</v>
      </c>
      <c r="F277" s="13">
        <v>0.37096748711977851</v>
      </c>
      <c r="G277" s="13">
        <v>-0.23854494604726961</v>
      </c>
      <c r="H277" s="13">
        <v>-2.6104946101562811E-2</v>
      </c>
      <c r="I277" s="13">
        <v>7.342211106307111E-5</v>
      </c>
      <c r="J277" s="13">
        <v>0.36430919862032601</v>
      </c>
      <c r="K277" s="13">
        <v>16.02960526315789</v>
      </c>
      <c r="L277" s="13">
        <v>1.7156135878867631</v>
      </c>
      <c r="M277" s="13">
        <v>1.8109284787130839</v>
      </c>
      <c r="N277" s="19">
        <f>(F277-Settings!$D$18)/Settings!$E$18</f>
        <v>0.63935944303226522</v>
      </c>
      <c r="O277" s="19">
        <f>(G277-Settings!$D$19)/Settings!$E$19</f>
        <v>-0.96613766248509425</v>
      </c>
      <c r="P277" s="19">
        <f>(H277-Settings!$D$20)/Settings!$E$20</f>
        <v>-0.71785844238847385</v>
      </c>
      <c r="Q277" s="19">
        <f>(I277-Settings!$D$21)/Settings!$E$21</f>
        <v>3.7112018693007759E-2</v>
      </c>
      <c r="R277" s="19">
        <f>(J277-Settings!$D$22)/Settings!$E$22</f>
        <v>0.31330874388589391</v>
      </c>
      <c r="S277" s="19">
        <f>(K277-Settings!$D$23)/Settings!$E$23</f>
        <v>0.26892910551667459</v>
      </c>
      <c r="T277" s="19">
        <f>(L277-Settings!$D$24)/Settings!$E$24</f>
        <v>0.28162034275088832</v>
      </c>
      <c r="U277" s="19">
        <f>(M277-Settings!$D$25)/Settings!$E$25</f>
        <v>1.2572805932798365</v>
      </c>
      <c r="V277" s="31">
        <f>Settings!$B$18*(N277-F$6)^2</f>
        <v>1.3264741780891522E-3</v>
      </c>
      <c r="W277" s="31">
        <f>Settings!$B$19*(O277-G$6)^2</f>
        <v>0.1610756247902084</v>
      </c>
      <c r="X277" s="31">
        <f>Settings!$B$20*(P277-H$6)^2</f>
        <v>0.13902430001515442</v>
      </c>
      <c r="Y277" s="31">
        <f>Settings!$B$21*(Q277-I$6)^2</f>
        <v>3.0836380347395595E-2</v>
      </c>
      <c r="Z277" s="31">
        <f>Settings!$B$22*(R277-J$6)^2</f>
        <v>2.1166762176872189E-2</v>
      </c>
      <c r="AA277" s="31">
        <f>Settings!$B$23*(S277-K$6)^2</f>
        <v>0.77044500545311057</v>
      </c>
      <c r="AB277" s="31">
        <f>Settings!$B$24*(T277-L$6)^2</f>
        <v>1.2601435430403376E-2</v>
      </c>
      <c r="AC277" s="31">
        <f>Settings!$B$25*(U277-M$6)^2</f>
        <v>13.742109303885595</v>
      </c>
      <c r="AD277" s="19">
        <f t="shared" si="16"/>
        <v>3.8572769263143174</v>
      </c>
      <c r="AE277" s="15">
        <f t="shared" si="17"/>
        <v>1.5267801382922839</v>
      </c>
      <c r="AF277" s="33">
        <f t="shared" si="18"/>
        <v>0.31175776238485531</v>
      </c>
      <c r="AG277" s="47">
        <f t="shared" si="19"/>
        <v>1.8379620698970793E-3</v>
      </c>
      <c r="AH277" s="18">
        <v>0.60777116195988912</v>
      </c>
      <c r="AI277" s="46">
        <v>1</v>
      </c>
      <c r="AJ277" s="48"/>
      <c r="AK277" s="48"/>
      <c r="AL277" s="48"/>
      <c r="AM277" s="48"/>
      <c r="AN277" s="48"/>
      <c r="AO277" s="48"/>
      <c r="AP277" s="48"/>
      <c r="AQ277" s="48"/>
    </row>
    <row r="278" spans="1:43" ht="20" customHeight="1" x14ac:dyDescent="0.45">
      <c r="A278" s="26">
        <v>268</v>
      </c>
      <c r="B278" s="16" t="s">
        <v>380</v>
      </c>
      <c r="C278" s="16" t="s">
        <v>246</v>
      </c>
      <c r="D278" s="46">
        <v>29</v>
      </c>
      <c r="E278" s="46">
        <v>1</v>
      </c>
      <c r="F278" s="13">
        <v>0.40723326200823862</v>
      </c>
      <c r="G278" s="13">
        <v>-0.25545880740248722</v>
      </c>
      <c r="H278" s="13">
        <v>0.29869708682278379</v>
      </c>
      <c r="I278" s="13">
        <v>-2.2103726203533378E-5</v>
      </c>
      <c r="J278" s="13">
        <v>3.858874004028684E-2</v>
      </c>
      <c r="K278" s="13">
        <v>14.17578124999998</v>
      </c>
      <c r="L278" s="13">
        <v>0.32786042715663682</v>
      </c>
      <c r="M278" s="13">
        <v>1.0224011825016199</v>
      </c>
      <c r="N278" s="19">
        <f>(F278-Settings!$D$18)/Settings!$E$18</f>
        <v>0.76915239060957119</v>
      </c>
      <c r="O278" s="19">
        <f>(G278-Settings!$D$19)/Settings!$E$19</f>
        <v>-1.0366029646689567</v>
      </c>
      <c r="P278" s="19">
        <f>(H278-Settings!$D$20)/Settings!$E$20</f>
        <v>2.2249104347427071</v>
      </c>
      <c r="Q278" s="19">
        <f>(I278-Settings!$D$21)/Settings!$E$21</f>
        <v>3.5937308093634664E-2</v>
      </c>
      <c r="R278" s="19">
        <f>(J278-Settings!$D$22)/Settings!$E$22</f>
        <v>-0.56305748503339648</v>
      </c>
      <c r="S278" s="19">
        <f>(K278-Settings!$D$23)/Settings!$E$23</f>
        <v>-0.37486133402073862</v>
      </c>
      <c r="T278" s="19">
        <f>(L278-Settings!$D$24)/Settings!$E$24</f>
        <v>-0.6778093251151377</v>
      </c>
      <c r="U278" s="19">
        <f>(M278-Settings!$D$25)/Settings!$E$25</f>
        <v>0.72548900248991377</v>
      </c>
      <c r="V278" s="31">
        <f>Settings!$B$18*(N278-F$6)^2</f>
        <v>4.676137042513613E-4</v>
      </c>
      <c r="W278" s="31">
        <f>Settings!$B$19*(O278-G$6)^2</f>
        <v>0.18736372804777246</v>
      </c>
      <c r="X278" s="31">
        <f>Settings!$B$20*(P278-H$6)^2</f>
        <v>0.88960100993113622</v>
      </c>
      <c r="Y278" s="31">
        <f>Settings!$B$21*(Q278-I$6)^2</f>
        <v>3.1021161097612646E-2</v>
      </c>
      <c r="Z278" s="31">
        <f>Settings!$B$22*(R278-J$6)^2</f>
        <v>0.28881048196248921</v>
      </c>
      <c r="AA278" s="31">
        <f>Settings!$B$23*(S278-K$6)^2</f>
        <v>2.3150852102594675</v>
      </c>
      <c r="AB278" s="31">
        <f>Settings!$B$24*(T278-L$6)^2</f>
        <v>1.148510417918047</v>
      </c>
      <c r="AC278" s="31">
        <f>Settings!$B$25*(U278-M$6)^2</f>
        <v>10.082171403812648</v>
      </c>
      <c r="AD278" s="19">
        <f t="shared" si="16"/>
        <v>3.8656216869649085</v>
      </c>
      <c r="AE278" s="15">
        <f t="shared" si="17"/>
        <v>1.5300831458448942</v>
      </c>
      <c r="AF278" s="33">
        <f t="shared" si="18"/>
        <v>0.3101878440090387</v>
      </c>
      <c r="AG278" s="47">
        <f t="shared" si="19"/>
        <v>1.8287066454113743E-3</v>
      </c>
      <c r="AH278" s="18">
        <v>0.1776808151748891</v>
      </c>
      <c r="AI278" s="46">
        <v>1</v>
      </c>
      <c r="AJ278" s="48"/>
      <c r="AK278" s="48"/>
      <c r="AL278" s="48"/>
      <c r="AM278" s="48"/>
      <c r="AN278" s="48"/>
      <c r="AO278" s="48"/>
      <c r="AP278" s="48"/>
      <c r="AQ278" s="48"/>
    </row>
    <row r="279" spans="1:43" ht="20" customHeight="1" x14ac:dyDescent="0.45">
      <c r="A279" s="26">
        <v>269</v>
      </c>
      <c r="B279" s="16" t="s">
        <v>519</v>
      </c>
      <c r="C279" s="16" t="s">
        <v>214</v>
      </c>
      <c r="D279" s="46">
        <v>29</v>
      </c>
      <c r="E279" s="46">
        <v>1</v>
      </c>
      <c r="F279" s="13">
        <v>-0.40298968297875798</v>
      </c>
      <c r="G279" s="13">
        <v>-4.4248712206511838E-2</v>
      </c>
      <c r="H279" s="13">
        <v>-2.6682808671017331E-2</v>
      </c>
      <c r="I279" s="13">
        <v>7.0625320623494831E-2</v>
      </c>
      <c r="J279" s="13">
        <v>0.45545347552021798</v>
      </c>
      <c r="K279" s="13">
        <v>12.833179012345679</v>
      </c>
      <c r="L279" s="13">
        <v>0.22445087088038759</v>
      </c>
      <c r="M279" s="13">
        <v>0.47506932184410078</v>
      </c>
      <c r="N279" s="19">
        <f>(F279-Settings!$D$18)/Settings!$E$18</f>
        <v>-2.1305850215390501</v>
      </c>
      <c r="O279" s="19">
        <f>(G279-Settings!$D$19)/Settings!$E$19</f>
        <v>-0.15667478802727958</v>
      </c>
      <c r="P279" s="19">
        <f>(H279-Settings!$D$20)/Settings!$E$20</f>
        <v>-0.72309398838964645</v>
      </c>
      <c r="Q279" s="19">
        <f>(I279-Settings!$D$21)/Settings!$E$21</f>
        <v>0.90471041259290008</v>
      </c>
      <c r="R279" s="19">
        <f>(J279-Settings!$D$22)/Settings!$E$22</f>
        <v>0.55853671201091748</v>
      </c>
      <c r="S279" s="19">
        <f>(K279-Settings!$D$23)/Settings!$E$23</f>
        <v>-0.84111620965533906</v>
      </c>
      <c r="T279" s="19">
        <f>(L279-Settings!$D$24)/Settings!$E$24</f>
        <v>-0.74930200770437871</v>
      </c>
      <c r="U279" s="19">
        <f>(M279-Settings!$D$25)/Settings!$E$25</f>
        <v>0.35636229975239253</v>
      </c>
      <c r="V279" s="31">
        <f>Settings!$B$18*(N279-F$6)^2</f>
        <v>1.6260779537418295</v>
      </c>
      <c r="W279" s="31">
        <f>Settings!$B$19*(O279-G$6)^2</f>
        <v>1.547594398478889E-3</v>
      </c>
      <c r="X279" s="31">
        <f>Settings!$B$20*(P279-H$6)^2</f>
        <v>0.14077581473808942</v>
      </c>
      <c r="Y279" s="31">
        <f>Settings!$B$21*(Q279-I$6)^2</f>
        <v>4.5113289277292724E-2</v>
      </c>
      <c r="Z279" s="31">
        <f>Settings!$B$22*(R279-J$6)^2</f>
        <v>1.2829815991579807E-3</v>
      </c>
      <c r="AA279" s="31">
        <f>Settings!$B$23*(S279-K$6)^2</f>
        <v>3.9513300858286451</v>
      </c>
      <c r="AB279" s="31">
        <f>Settings!$B$24*(T279-L$6)^2</f>
        <v>1.3068570046496293</v>
      </c>
      <c r="AC279" s="31">
        <f>Settings!$B$25*(U279-M$6)^2</f>
        <v>7.8742915855046087</v>
      </c>
      <c r="AD279" s="19">
        <f t="shared" si="16"/>
        <v>3.8661707553776941</v>
      </c>
      <c r="AE279" s="15">
        <f t="shared" si="17"/>
        <v>1.530300477077061</v>
      </c>
      <c r="AF279" s="33">
        <f t="shared" si="18"/>
        <v>0.31008470556438511</v>
      </c>
      <c r="AG279" s="47">
        <f t="shared" si="19"/>
        <v>1.8280985946357614E-3</v>
      </c>
      <c r="AH279" s="48"/>
      <c r="AI279" s="48"/>
      <c r="AJ279" s="48"/>
      <c r="AK279" s="48"/>
      <c r="AL279" s="48"/>
      <c r="AM279" s="48"/>
      <c r="AN279" s="48"/>
      <c r="AO279" s="48"/>
      <c r="AP279" s="48"/>
      <c r="AQ279" s="48"/>
    </row>
    <row r="280" spans="1:43" ht="20" customHeight="1" x14ac:dyDescent="0.45">
      <c r="A280" s="26">
        <v>270</v>
      </c>
      <c r="B280" s="16" t="s">
        <v>407</v>
      </c>
      <c r="C280" s="16" t="s">
        <v>234</v>
      </c>
      <c r="D280" s="46">
        <v>29</v>
      </c>
      <c r="E280" s="46">
        <v>1</v>
      </c>
      <c r="F280" s="13">
        <v>0.27259649914019579</v>
      </c>
      <c r="G280" s="13">
        <v>-0.14874853767857779</v>
      </c>
      <c r="H280" s="13">
        <v>0.30357470261012909</v>
      </c>
      <c r="I280" s="13">
        <v>2.3210158835454189E-4</v>
      </c>
      <c r="J280" s="13">
        <v>0.27484815898274267</v>
      </c>
      <c r="K280" s="13">
        <v>16.16532258064516</v>
      </c>
      <c r="L280" s="13">
        <v>1.9805640252034249</v>
      </c>
      <c r="M280" s="13">
        <v>1.730795516404817</v>
      </c>
      <c r="N280" s="19">
        <f>(F280-Settings!$D$18)/Settings!$E$18</f>
        <v>0.2872958093382128</v>
      </c>
      <c r="O280" s="19">
        <f>(G280-Settings!$D$19)/Settings!$E$19</f>
        <v>-0.59203438010401588</v>
      </c>
      <c r="P280" s="19">
        <f>(H280-Settings!$D$20)/Settings!$E$20</f>
        <v>2.2691025717326463</v>
      </c>
      <c r="Q280" s="19">
        <f>(I280-Settings!$D$21)/Settings!$E$21</f>
        <v>3.9063349026360814E-2</v>
      </c>
      <c r="R280" s="19">
        <f>(J280-Settings!$D$22)/Settings!$E$22</f>
        <v>7.2609604862906504E-2</v>
      </c>
      <c r="S280" s="19">
        <f>(K280-Settings!$D$23)/Settings!$E$23</f>
        <v>0.31606060821478194</v>
      </c>
      <c r="T280" s="19">
        <f>(L280-Settings!$D$24)/Settings!$E$24</f>
        <v>0.46479507242827739</v>
      </c>
      <c r="U280" s="19">
        <f>(M280-Settings!$D$25)/Settings!$E$25</f>
        <v>1.203238031018055</v>
      </c>
      <c r="V280" s="31">
        <f>Settings!$B$18*(N280-F$6)^2</f>
        <v>3.7584970740629095E-2</v>
      </c>
      <c r="W280" s="31">
        <f>Settings!$B$19*(O280-G$6)^2</f>
        <v>5.4773881327141817E-2</v>
      </c>
      <c r="X280" s="31">
        <f>Settings!$B$20*(P280-H$6)^2</f>
        <v>0.92727260555564506</v>
      </c>
      <c r="Y280" s="31">
        <f>Settings!$B$21*(Q280-I$6)^2</f>
        <v>3.053065811195417E-2</v>
      </c>
      <c r="Z280" s="31">
        <f>Settings!$B$22*(R280-J$6)^2</f>
        <v>6.407577968404328E-2</v>
      </c>
      <c r="AA280" s="31">
        <f>Settings!$B$23*(S280-K$6)^2</f>
        <v>0.68992703407634426</v>
      </c>
      <c r="AB280" s="31">
        <f>Settings!$B$24*(T280-L$6)^2</f>
        <v>5.029449860055899E-3</v>
      </c>
      <c r="AC280" s="31">
        <f>Settings!$B$25*(U280-M$6)^2</f>
        <v>13.344354550985932</v>
      </c>
      <c r="AD280" s="19">
        <f t="shared" si="16"/>
        <v>3.8927559556619711</v>
      </c>
      <c r="AE280" s="15">
        <f t="shared" si="17"/>
        <v>1.5408233813284133</v>
      </c>
      <c r="AF280" s="33">
        <f t="shared" si="18"/>
        <v>0.30511444409178184</v>
      </c>
      <c r="AG280" s="47">
        <f t="shared" si="19"/>
        <v>1.7987965108825475E-3</v>
      </c>
      <c r="AH280" s="18">
        <v>-0.4024988819104296</v>
      </c>
      <c r="AI280" s="46">
        <v>1</v>
      </c>
      <c r="AJ280" s="18">
        <v>-6.411836293467843E-2</v>
      </c>
      <c r="AK280" s="46">
        <v>1</v>
      </c>
      <c r="AL280" s="18">
        <v>1.043843363808016</v>
      </c>
      <c r="AM280" s="46">
        <v>1</v>
      </c>
      <c r="AN280" s="18">
        <v>5.6970159650136853E-2</v>
      </c>
      <c r="AO280" s="46">
        <v>1</v>
      </c>
      <c r="AP280" s="18">
        <v>0.26530927835833967</v>
      </c>
      <c r="AQ280" s="46">
        <v>1</v>
      </c>
    </row>
    <row r="281" spans="1:43" ht="20" customHeight="1" x14ac:dyDescent="0.45">
      <c r="A281" s="26">
        <v>271</v>
      </c>
      <c r="B281" s="16" t="s">
        <v>757</v>
      </c>
      <c r="C281" s="16" t="s">
        <v>234</v>
      </c>
      <c r="D281" s="46">
        <v>29</v>
      </c>
      <c r="E281" s="46">
        <v>1</v>
      </c>
      <c r="F281" s="13">
        <v>0.16042768936686971</v>
      </c>
      <c r="G281" s="13">
        <v>-0.29353771675134488</v>
      </c>
      <c r="H281" s="13">
        <v>2.0764627007394079E-2</v>
      </c>
      <c r="I281" s="13">
        <v>0.10769999979559999</v>
      </c>
      <c r="J281" s="13">
        <v>0.41756996707879118</v>
      </c>
      <c r="K281" s="13">
        <v>12.442708333333339</v>
      </c>
      <c r="L281" s="13">
        <v>0.22762286572890811</v>
      </c>
      <c r="M281" s="13">
        <v>0.69826421694603813</v>
      </c>
      <c r="N281" s="19">
        <f>(F281-Settings!$D$18)/Settings!$E$18</f>
        <v>-0.11414936842223154</v>
      </c>
      <c r="O281" s="19">
        <f>(G281-Settings!$D$19)/Settings!$E$19</f>
        <v>-1.1952445544128285</v>
      </c>
      <c r="P281" s="19">
        <f>(H281-Settings!$D$20)/Settings!$E$20</f>
        <v>-0.2932110970881785</v>
      </c>
      <c r="Q281" s="19">
        <f>(I281-Settings!$D$21)/Settings!$E$21</f>
        <v>1.3606291445091554</v>
      </c>
      <c r="R281" s="19">
        <f>(J281-Settings!$D$22)/Settings!$E$22</f>
        <v>0.45660934897152428</v>
      </c>
      <c r="S281" s="19">
        <f>(K281-Settings!$D$23)/Settings!$E$23</f>
        <v>-0.97671769517046592</v>
      </c>
      <c r="T281" s="19">
        <f>(L281-Settings!$D$24)/Settings!$E$24</f>
        <v>-0.74710903416260876</v>
      </c>
      <c r="U281" s="19">
        <f>(M281-Settings!$D$25)/Settings!$E$25</f>
        <v>0.50688742284289179</v>
      </c>
      <c r="V281" s="31">
        <f>Settings!$B$18*(N281-F$6)^2</f>
        <v>0.13942769294690877</v>
      </c>
      <c r="W281" s="31">
        <f>Settings!$B$19*(O281-G$6)^2</f>
        <v>0.25381645091156013</v>
      </c>
      <c r="X281" s="31">
        <f>Settings!$B$20*(P281-H$6)^2</f>
        <v>3.3471272929268159E-2</v>
      </c>
      <c r="Y281" s="31">
        <f>Settings!$B$21*(Q281-I$6)^2</f>
        <v>0.17329898534424593</v>
      </c>
      <c r="Z281" s="31">
        <f>Settings!$B$22*(R281-J$6)^2</f>
        <v>6.6262913057465872E-3</v>
      </c>
      <c r="AA281" s="31">
        <f>Settings!$B$23*(S281-K$6)^2</f>
        <v>4.5088138351641875</v>
      </c>
      <c r="AB281" s="31">
        <f>Settings!$B$24*(T281-L$6)^2</f>
        <v>1.3018478935245796</v>
      </c>
      <c r="AC281" s="31">
        <f>Settings!$B$25*(U281-M$6)^2</f>
        <v>8.7417315564804881</v>
      </c>
      <c r="AD281" s="19">
        <f t="shared" si="16"/>
        <v>3.8934604118453531</v>
      </c>
      <c r="AE281" s="15">
        <f t="shared" si="17"/>
        <v>1.5411022178572993</v>
      </c>
      <c r="AF281" s="33">
        <f t="shared" si="18"/>
        <v>0.30498337168017337</v>
      </c>
      <c r="AG281" s="47">
        <f t="shared" si="19"/>
        <v>1.7980237759260753E-3</v>
      </c>
      <c r="AH281" s="18">
        <v>-0.25051440990184032</v>
      </c>
      <c r="AI281" s="46">
        <v>1</v>
      </c>
      <c r="AJ281" s="18">
        <v>-0.2603637717014981</v>
      </c>
      <c r="AK281" s="46">
        <v>1</v>
      </c>
      <c r="AL281" s="18">
        <v>-0.51203151476611652</v>
      </c>
      <c r="AM281" s="46">
        <v>1</v>
      </c>
      <c r="AN281" s="48"/>
      <c r="AO281" s="48"/>
      <c r="AP281" s="48"/>
      <c r="AQ281" s="48"/>
    </row>
    <row r="282" spans="1:43" ht="20" customHeight="1" x14ac:dyDescent="0.45">
      <c r="A282" s="26">
        <v>272</v>
      </c>
      <c r="B282" s="16" t="s">
        <v>486</v>
      </c>
      <c r="C282" s="16" t="s">
        <v>246</v>
      </c>
      <c r="D282" s="46">
        <v>29</v>
      </c>
      <c r="E282" s="46">
        <v>1</v>
      </c>
      <c r="F282" s="13">
        <v>-0.35006072631766849</v>
      </c>
      <c r="G282" s="13">
        <v>0.38462361882272511</v>
      </c>
      <c r="H282" s="13">
        <v>-6.7988387052454681E-4</v>
      </c>
      <c r="I282" s="13">
        <v>0.18992331846677049</v>
      </c>
      <c r="J282" s="13">
        <v>-7.4712452522311373E-2</v>
      </c>
      <c r="K282" s="13">
        <v>11.834543010752689</v>
      </c>
      <c r="L282" s="13">
        <v>0.45920919868177479</v>
      </c>
      <c r="M282" s="13">
        <v>-0.1791051165947167</v>
      </c>
      <c r="N282" s="19">
        <f>(F282-Settings!$D$18)/Settings!$E$18</f>
        <v>-1.9411555851527265</v>
      </c>
      <c r="O282" s="19">
        <f>(G282-Settings!$D$19)/Settings!$E$19</f>
        <v>1.6300620055169199</v>
      </c>
      <c r="P282" s="19">
        <f>(H282-Settings!$D$20)/Settings!$E$20</f>
        <v>-0.48750248938232343</v>
      </c>
      <c r="Q282" s="19">
        <f>(I282-Settings!$D$21)/Settings!$E$21</f>
        <v>2.3717545815894416</v>
      </c>
      <c r="R282" s="19">
        <f>(J282-Settings!$D$22)/Settings!$E$22</f>
        <v>-0.86789967790947964</v>
      </c>
      <c r="S282" s="19">
        <f>(K282-Settings!$D$23)/Settings!$E$23</f>
        <v>-1.1879195231523212</v>
      </c>
      <c r="T282" s="19">
        <f>(L282-Settings!$D$24)/Settings!$E$24</f>
        <v>-0.58700073479445558</v>
      </c>
      <c r="U282" s="19">
        <f>(M282-Settings!$D$25)/Settings!$E$25</f>
        <v>-8.4820227400337636E-2</v>
      </c>
      <c r="V282" s="31">
        <f>Settings!$B$18*(N282-F$6)^2</f>
        <v>1.4172002429786412</v>
      </c>
      <c r="W282" s="31">
        <f>Settings!$B$19*(O282-G$6)^2</f>
        <v>0.57716461623699911</v>
      </c>
      <c r="X282" s="31">
        <f>Settings!$B$20*(P282-H$6)^2</f>
        <v>7.2814333171729639E-2</v>
      </c>
      <c r="Y282" s="31">
        <f>Settings!$B$21*(Q282-I$6)^2</f>
        <v>0.75425922906557796</v>
      </c>
      <c r="Z282" s="31">
        <f>Settings!$B$22*(R282-J$6)^2</f>
        <v>0.45392623332039306</v>
      </c>
      <c r="AA282" s="31">
        <f>Settings!$B$23*(S282-K$6)^2</f>
        <v>5.4503506052524902</v>
      </c>
      <c r="AB282" s="31">
        <f>Settings!$B$24*(T282-L$6)^2</f>
        <v>0.96212006751543222</v>
      </c>
      <c r="AC282" s="31">
        <f>Settings!$B$25*(U282-M$6)^2</f>
        <v>5.5929141909588074</v>
      </c>
      <c r="AD282" s="19">
        <f t="shared" si="16"/>
        <v>3.9090599277192042</v>
      </c>
      <c r="AE282" s="15">
        <f t="shared" si="17"/>
        <v>1.5472767890530283</v>
      </c>
      <c r="AF282" s="33">
        <f t="shared" si="18"/>
        <v>0.30208926344150622</v>
      </c>
      <c r="AG282" s="47">
        <f t="shared" si="19"/>
        <v>1.7809616148168985E-3</v>
      </c>
      <c r="AH282" s="48"/>
      <c r="AI282" s="48"/>
      <c r="AJ282" s="48"/>
      <c r="AK282" s="48"/>
      <c r="AL282" s="48"/>
      <c r="AM282" s="48"/>
      <c r="AN282" s="48"/>
      <c r="AO282" s="48"/>
      <c r="AP282" s="48"/>
      <c r="AQ282" s="48"/>
    </row>
    <row r="283" spans="1:43" ht="20" customHeight="1" x14ac:dyDescent="0.45">
      <c r="A283" s="26">
        <v>273</v>
      </c>
      <c r="B283" s="16" t="s">
        <v>632</v>
      </c>
      <c r="C283" s="16" t="s">
        <v>260</v>
      </c>
      <c r="D283" s="46">
        <v>29</v>
      </c>
      <c r="E283" s="46">
        <v>1</v>
      </c>
      <c r="F283" s="13">
        <v>-0.2094264435471635</v>
      </c>
      <c r="G283" s="13">
        <v>0.27684247022391789</v>
      </c>
      <c r="H283" s="13">
        <v>-1.4695984482425591E-3</v>
      </c>
      <c r="I283" s="13">
        <v>4.274387071086188E-2</v>
      </c>
      <c r="J283" s="13">
        <v>0.46951761706981421</v>
      </c>
      <c r="K283" s="13">
        <v>14.395</v>
      </c>
      <c r="L283" s="13">
        <v>1.5551821256914169</v>
      </c>
      <c r="M283" s="13">
        <v>1.442334430802336</v>
      </c>
      <c r="N283" s="19">
        <f>(F283-Settings!$D$18)/Settings!$E$18</f>
        <v>-1.4378342540259383</v>
      </c>
      <c r="O283" s="19">
        <f>(G283-Settings!$D$19)/Settings!$E$19</f>
        <v>1.1810320030689059</v>
      </c>
      <c r="P283" s="19">
        <f>(H283-Settings!$D$20)/Settings!$E$20</f>
        <v>-0.49465745531711686</v>
      </c>
      <c r="Q283" s="19">
        <f>(I283-Settings!$D$21)/Settings!$E$21</f>
        <v>0.56184364821322563</v>
      </c>
      <c r="R283" s="19">
        <f>(J283-Settings!$D$22)/Settings!$E$22</f>
        <v>0.59637694699811605</v>
      </c>
      <c r="S283" s="19">
        <f>(K283-Settings!$D$23)/Settings!$E$23</f>
        <v>-0.29873170444660008</v>
      </c>
      <c r="T283" s="19">
        <f>(L283-Settings!$D$24)/Settings!$E$24</f>
        <v>0.17070529759375105</v>
      </c>
      <c r="U283" s="19">
        <f>(M283-Settings!$D$25)/Settings!$E$25</f>
        <v>1.0086966621516145</v>
      </c>
      <c r="V283" s="31">
        <f>Settings!$B$18*(N283-F$6)^2</f>
        <v>0.9319393431328854</v>
      </c>
      <c r="W283" s="31">
        <f>Settings!$B$19*(O283-G$6)^2</f>
        <v>0.31237053731481712</v>
      </c>
      <c r="X283" s="31">
        <f>Settings!$B$20*(P283-H$6)^2</f>
        <v>7.4551447276664323E-2</v>
      </c>
      <c r="Y283" s="31">
        <f>Settings!$B$21*(Q283-I$6)^2</f>
        <v>3.4885813065850891E-3</v>
      </c>
      <c r="Z283" s="31">
        <f>Settings!$B$22*(R283-J$6)^2</f>
        <v>3.5706127151222935E-4</v>
      </c>
      <c r="AA283" s="31">
        <f>Settings!$B$23*(S283-K$6)^2</f>
        <v>2.0892123156182838</v>
      </c>
      <c r="AB283" s="31">
        <f>Settings!$B$24*(T283-L$6)^2</f>
        <v>4.9805366876000831E-2</v>
      </c>
      <c r="AC283" s="31">
        <f>Settings!$B$25*(U283-M$6)^2</f>
        <v>11.960884553946075</v>
      </c>
      <c r="AD283" s="19">
        <f t="shared" si="16"/>
        <v>3.9271629972211266</v>
      </c>
      <c r="AE283" s="15">
        <f t="shared" si="17"/>
        <v>1.5544423121631541</v>
      </c>
      <c r="AF283" s="33">
        <f t="shared" si="18"/>
        <v>0.29875081403954556</v>
      </c>
      <c r="AG283" s="47">
        <f t="shared" si="19"/>
        <v>1.7612798486721325E-3</v>
      </c>
      <c r="AH283" s="18">
        <v>0.47984947662680749</v>
      </c>
      <c r="AI283" s="46">
        <v>1</v>
      </c>
      <c r="AJ283" s="18">
        <v>-0.4400878033990423</v>
      </c>
      <c r="AK283" s="46">
        <v>1</v>
      </c>
      <c r="AL283" s="18">
        <v>-0.95531572132573239</v>
      </c>
      <c r="AM283" s="46">
        <v>1</v>
      </c>
      <c r="AN283" s="18">
        <v>-0.8998274122553529</v>
      </c>
      <c r="AO283" s="46">
        <v>1</v>
      </c>
      <c r="AP283" s="18">
        <v>-0.3303111819645852</v>
      </c>
      <c r="AQ283" s="46">
        <v>1</v>
      </c>
    </row>
    <row r="284" spans="1:43" ht="20" customHeight="1" x14ac:dyDescent="0.45">
      <c r="A284" s="26">
        <v>274</v>
      </c>
      <c r="B284" s="16" t="s">
        <v>377</v>
      </c>
      <c r="C284" s="16" t="s">
        <v>271</v>
      </c>
      <c r="D284" s="46">
        <v>29</v>
      </c>
      <c r="E284" s="46">
        <v>1</v>
      </c>
      <c r="F284" s="13">
        <v>0.31835954922346099</v>
      </c>
      <c r="G284" s="13">
        <v>-0.21778093710096991</v>
      </c>
      <c r="H284" s="13">
        <v>9.006375246239659E-2</v>
      </c>
      <c r="I284" s="13">
        <v>1.5894079364296061E-2</v>
      </c>
      <c r="J284" s="13">
        <v>0.35790168184887639</v>
      </c>
      <c r="K284" s="13">
        <v>18.63137931034483</v>
      </c>
      <c r="L284" s="13">
        <v>1.6589398718441091</v>
      </c>
      <c r="M284" s="13">
        <v>2.1082894942957018</v>
      </c>
      <c r="N284" s="19">
        <f>(F284-Settings!$D$18)/Settings!$E$18</f>
        <v>0.45107891279328088</v>
      </c>
      <c r="O284" s="19">
        <f>(G284-Settings!$D$19)/Settings!$E$19</f>
        <v>-0.879632154711254</v>
      </c>
      <c r="P284" s="19">
        <f>(H284-Settings!$D$20)/Settings!$E$20</f>
        <v>0.33465230562916409</v>
      </c>
      <c r="Q284" s="19">
        <f>(I284-Settings!$D$21)/Settings!$E$21</f>
        <v>0.23166350650204248</v>
      </c>
      <c r="R284" s="19">
        <f>(J284-Settings!$D$22)/Settings!$E$22</f>
        <v>0.29606901834267152</v>
      </c>
      <c r="S284" s="19">
        <f>(K284-Settings!$D$23)/Settings!$E$23</f>
        <v>1.1724653881016802</v>
      </c>
      <c r="T284" s="19">
        <f>(L284-Settings!$D$24)/Settings!$E$24</f>
        <v>0.24243870289000016</v>
      </c>
      <c r="U284" s="19">
        <f>(M284-Settings!$D$25)/Settings!$E$25</f>
        <v>1.4578241740478755</v>
      </c>
      <c r="V284" s="31">
        <f>Settings!$B$18*(N284-F$6)^2</f>
        <v>1.4549764853694171E-2</v>
      </c>
      <c r="W284" s="31">
        <f>Settings!$B$19*(O284-G$6)^2</f>
        <v>0.13151925805766326</v>
      </c>
      <c r="X284" s="31">
        <f>Settings!$B$20*(P284-H$6)^2</f>
        <v>9.5721746144228712E-3</v>
      </c>
      <c r="Y284" s="31">
        <f>Settings!$B$21*(Q284-I$6)^2</f>
        <v>7.84939915787841E-3</v>
      </c>
      <c r="Z284" s="31">
        <f>Settings!$B$22*(R284-J$6)^2</f>
        <v>2.3469582318670173E-2</v>
      </c>
      <c r="AA284" s="31">
        <f>Settings!$B$23*(S284-K$6)^2</f>
        <v>6.6493404546167181E-4</v>
      </c>
      <c r="AB284" s="31">
        <f>Settings!$B$24*(T284-L$6)^2</f>
        <v>2.2933393699172511E-2</v>
      </c>
      <c r="AC284" s="31">
        <f>Settings!$B$25*(U284-M$6)^2</f>
        <v>15.269171221501153</v>
      </c>
      <c r="AD284" s="19">
        <f t="shared" si="16"/>
        <v>3.9344287677181446</v>
      </c>
      <c r="AE284" s="15">
        <f t="shared" si="17"/>
        <v>1.5573182358513289</v>
      </c>
      <c r="AF284" s="33">
        <f t="shared" si="18"/>
        <v>0.29741701209325477</v>
      </c>
      <c r="AG284" s="47">
        <f t="shared" si="19"/>
        <v>1.7534164441901259E-3</v>
      </c>
      <c r="AH284" s="18">
        <v>0.25084167674883312</v>
      </c>
      <c r="AI284" s="46">
        <v>1</v>
      </c>
      <c r="AJ284" s="18">
        <v>-0.6507067839798466</v>
      </c>
      <c r="AK284" s="46">
        <v>1</v>
      </c>
      <c r="AL284" s="18">
        <v>-0.2376608267031477</v>
      </c>
      <c r="AM284" s="46">
        <v>1</v>
      </c>
      <c r="AN284" s="48"/>
      <c r="AO284" s="48"/>
      <c r="AP284" s="48"/>
      <c r="AQ284" s="48"/>
    </row>
    <row r="285" spans="1:43" ht="20" customHeight="1" x14ac:dyDescent="0.45">
      <c r="A285" s="26">
        <v>275</v>
      </c>
      <c r="B285" s="16" t="s">
        <v>369</v>
      </c>
      <c r="C285" s="16" t="s">
        <v>260</v>
      </c>
      <c r="D285" s="46">
        <v>29</v>
      </c>
      <c r="E285" s="46">
        <v>1</v>
      </c>
      <c r="F285" s="13">
        <v>2.814536491405668E-2</v>
      </c>
      <c r="G285" s="13">
        <v>0.14594300010148911</v>
      </c>
      <c r="H285" s="13">
        <v>-7.1408269819042344E-2</v>
      </c>
      <c r="I285" s="13">
        <v>-9.9426313316774047E-3</v>
      </c>
      <c r="J285" s="13">
        <v>0.74456073383373444</v>
      </c>
      <c r="K285" s="13">
        <v>15.96784660766961</v>
      </c>
      <c r="L285" s="13">
        <v>1.773849944655397</v>
      </c>
      <c r="M285" s="13">
        <v>1.8235964145932551</v>
      </c>
      <c r="N285" s="19">
        <f>(F285-Settings!$D$18)/Settings!$E$18</f>
        <v>-0.58757956137728373</v>
      </c>
      <c r="O285" s="19">
        <f>(G285-Settings!$D$19)/Settings!$E$19</f>
        <v>0.63568812657798146</v>
      </c>
      <c r="P285" s="19">
        <f>(H285-Settings!$D$20)/Settings!$E$20</f>
        <v>-1.1283152670150922</v>
      </c>
      <c r="Q285" s="19">
        <f>(I285-Settings!$D$21)/Settings!$E$21</f>
        <v>-8.6058470880790133E-2</v>
      </c>
      <c r="R285" s="19">
        <f>(J285-Settings!$D$22)/Settings!$E$22</f>
        <v>1.3363934018422459</v>
      </c>
      <c r="S285" s="19">
        <f>(K285-Settings!$D$23)/Settings!$E$23</f>
        <v>0.2474817449906285</v>
      </c>
      <c r="T285" s="19">
        <f>(L285-Settings!$D$24)/Settings!$E$24</f>
        <v>0.32188232161956659</v>
      </c>
      <c r="U285" s="19">
        <f>(M285-Settings!$D$25)/Settings!$E$25</f>
        <v>1.2658239903265942</v>
      </c>
      <c r="V285" s="31">
        <f>Settings!$B$18*(N285-F$6)^2</f>
        <v>0.34237079381749619</v>
      </c>
      <c r="W285" s="31">
        <f>Settings!$B$19*(O285-G$6)^2</f>
        <v>9.9235074991656888E-2</v>
      </c>
      <c r="X285" s="31">
        <f>Settings!$B$20*(P285-H$6)^2</f>
        <v>0.30960488279027309</v>
      </c>
      <c r="Y285" s="31">
        <f>Settings!$B$21*(Q285-I$6)^2</f>
        <v>5.3216225661925756E-2</v>
      </c>
      <c r="Z285" s="31">
        <f>Settings!$B$22*(R285-J$6)^2</f>
        <v>9.737479965990295E-2</v>
      </c>
      <c r="AA285" s="31">
        <f>Settings!$B$23*(S285-K$6)^2</f>
        <v>0.80855583473620796</v>
      </c>
      <c r="AB285" s="31">
        <f>Settings!$B$24*(T285-L$6)^2</f>
        <v>5.1831556857228301E-3</v>
      </c>
      <c r="AC285" s="31">
        <f>Settings!$B$25*(U285-M$6)^2</f>
        <v>13.805523639134041</v>
      </c>
      <c r="AD285" s="19">
        <f t="shared" si="16"/>
        <v>3.9396782110316098</v>
      </c>
      <c r="AE285" s="15">
        <f t="shared" si="17"/>
        <v>1.5593960606850641</v>
      </c>
      <c r="AF285" s="33">
        <f t="shared" si="18"/>
        <v>0.2964555353034406</v>
      </c>
      <c r="AG285" s="47">
        <f t="shared" si="19"/>
        <v>1.7477480757195332E-3</v>
      </c>
      <c r="AH285" s="18">
        <v>-0.43393852290565998</v>
      </c>
      <c r="AI285" s="46">
        <v>1</v>
      </c>
      <c r="AJ285" s="18">
        <v>-0.34055355621970962</v>
      </c>
      <c r="AK285" s="46">
        <v>1</v>
      </c>
      <c r="AL285" s="18">
        <v>0.51020786710076294</v>
      </c>
      <c r="AM285" s="46">
        <v>1</v>
      </c>
      <c r="AN285" s="48"/>
      <c r="AO285" s="48"/>
      <c r="AP285" s="48"/>
      <c r="AQ285" s="48"/>
    </row>
    <row r="286" spans="1:43" ht="20" customHeight="1" x14ac:dyDescent="0.45">
      <c r="A286" s="26">
        <v>276</v>
      </c>
      <c r="B286" s="16" t="s">
        <v>493</v>
      </c>
      <c r="C286" s="16" t="s">
        <v>232</v>
      </c>
      <c r="D286" s="46">
        <v>29</v>
      </c>
      <c r="E286" s="46">
        <v>0</v>
      </c>
      <c r="F286" s="13">
        <v>-0.41854561455863198</v>
      </c>
      <c r="G286" s="13">
        <v>7.7048492509973698E-2</v>
      </c>
      <c r="H286" s="13">
        <v>1.174649075499043E-2</v>
      </c>
      <c r="I286" s="13">
        <v>7.9154555245342581E-2</v>
      </c>
      <c r="J286" s="13">
        <v>-0.41350484693106132</v>
      </c>
      <c r="K286" s="13">
        <v>12.12377777777778</v>
      </c>
      <c r="L286" s="13">
        <v>-0.56750703361865595</v>
      </c>
      <c r="M286" s="13">
        <v>-0.43421088701751542</v>
      </c>
      <c r="N286" s="19">
        <f>(F286-Settings!$D$18)/Settings!$E$18</f>
        <v>-2.1862587309323445</v>
      </c>
      <c r="O286" s="19">
        <f>(G286-Settings!$D$19)/Settings!$E$19</f>
        <v>0.34866482691335676</v>
      </c>
      <c r="P286" s="19">
        <f>(H286-Settings!$D$20)/Settings!$E$20</f>
        <v>-0.37491714570605533</v>
      </c>
      <c r="Q286" s="19">
        <f>(I286-Settings!$D$21)/Settings!$E$21</f>
        <v>1.0095970338622984</v>
      </c>
      <c r="R286" s="19">
        <f>(J286-Settings!$D$22)/Settings!$E$22</f>
        <v>-1.7794365656103004</v>
      </c>
      <c r="S286" s="19">
        <f>(K286-Settings!$D$23)/Settings!$E$23</f>
        <v>-1.0874749413198797</v>
      </c>
      <c r="T286" s="19">
        <f>(L286-Settings!$D$24)/Settings!$E$24</f>
        <v>-1.2968258259010024</v>
      </c>
      <c r="U286" s="19">
        <f>(M286-Settings!$D$25)/Settings!$E$25</f>
        <v>-0.25686640021468665</v>
      </c>
      <c r="V286" s="31">
        <f>Settings!$B$18*(N286-F$6)^2</f>
        <v>1.6901967121021517</v>
      </c>
      <c r="W286" s="31">
        <f>Settings!$B$19*(O286-G$6)^2</f>
        <v>3.4840189747487538E-2</v>
      </c>
      <c r="X286" s="31">
        <f>Settings!$B$20*(P286-H$6)^2</f>
        <v>4.8176568943681622E-2</v>
      </c>
      <c r="Y286" s="31">
        <f>Settings!$B$21*(Q286-I$6)^2</f>
        <v>6.7239401924132192E-2</v>
      </c>
      <c r="Z286" s="31">
        <f>Settings!$B$22*(R286-J$6)^2</f>
        <v>1.1694090214124502</v>
      </c>
      <c r="AA286" s="31">
        <f>Settings!$B$23*(S286-K$6)^2</f>
        <v>4.9914441597935992</v>
      </c>
      <c r="AB286" s="31">
        <f>Settings!$B$24*(T286-L$6)^2</f>
        <v>2.8584742130829852</v>
      </c>
      <c r="AC286" s="31">
        <f>Settings!$B$25*(U286-M$6)^2</f>
        <v>4.8087582898030687</v>
      </c>
      <c r="AD286" s="19">
        <f t="shared" si="16"/>
        <v>3.9583504843317701</v>
      </c>
      <c r="AE286" s="15">
        <f t="shared" si="17"/>
        <v>1.5667868849779649</v>
      </c>
      <c r="AF286" s="33">
        <f t="shared" si="18"/>
        <v>0.29305042919847868</v>
      </c>
      <c r="AG286" s="47">
        <f t="shared" si="19"/>
        <v>1.7276733362262175E-3</v>
      </c>
      <c r="AH286" s="48"/>
      <c r="AI286" s="48"/>
      <c r="AJ286" s="48"/>
      <c r="AK286" s="48"/>
      <c r="AL286" s="48"/>
      <c r="AM286" s="48"/>
      <c r="AN286" s="48"/>
      <c r="AO286" s="48"/>
      <c r="AP286" s="48"/>
      <c r="AQ286" s="48"/>
    </row>
    <row r="287" spans="1:43" ht="20" customHeight="1" x14ac:dyDescent="0.45">
      <c r="A287" s="26">
        <v>277</v>
      </c>
      <c r="B287" s="16" t="s">
        <v>687</v>
      </c>
      <c r="C287" s="16" t="s">
        <v>234</v>
      </c>
      <c r="D287" s="46">
        <v>29</v>
      </c>
      <c r="E287" s="46">
        <v>1</v>
      </c>
      <c r="F287" s="13">
        <v>0.85885390988997157</v>
      </c>
      <c r="G287" s="13">
        <v>9.8855293053291729E-2</v>
      </c>
      <c r="H287" s="13">
        <v>-9.7300165545030574E-3</v>
      </c>
      <c r="I287" s="13">
        <v>3.895478662394643E-3</v>
      </c>
      <c r="J287" s="13">
        <v>-2.866530183983889E-2</v>
      </c>
      <c r="K287" s="13">
        <v>10.747044917257689</v>
      </c>
      <c r="L287" s="13">
        <v>0.39706020960306643</v>
      </c>
      <c r="M287" s="13">
        <v>1.4401381947010071E-2</v>
      </c>
      <c r="N287" s="19">
        <f>(F287-Settings!$D$18)/Settings!$E$18</f>
        <v>2.3854745360932168</v>
      </c>
      <c r="O287" s="19">
        <f>(G287-Settings!$D$19)/Settings!$E$19</f>
        <v>0.439514737390724</v>
      </c>
      <c r="P287" s="19">
        <f>(H287-Settings!$D$20)/Settings!$E$20</f>
        <v>-0.56949843182312376</v>
      </c>
      <c r="Q287" s="19">
        <f>(I287-Settings!$D$21)/Settings!$E$21</f>
        <v>8.4113023559595837E-2</v>
      </c>
      <c r="R287" s="19">
        <f>(J287-Settings!$D$22)/Settings!$E$22</f>
        <v>-0.74400765107150146</v>
      </c>
      <c r="S287" s="19">
        <f>(K287-Settings!$D$23)/Settings!$E$23</f>
        <v>-1.5655825972294657</v>
      </c>
      <c r="T287" s="19">
        <f>(L287-Settings!$D$24)/Settings!$E$24</f>
        <v>-0.62996773039374732</v>
      </c>
      <c r="U287" s="19">
        <f>(M287-Settings!$D$25)/Settings!$E$25</f>
        <v>4.5682710395357977E-2</v>
      </c>
      <c r="V287" s="31">
        <f>Settings!$B$18*(N287-F$6)^2</f>
        <v>0.55422905298032643</v>
      </c>
      <c r="W287" s="31">
        <f>Settings!$B$19*(O287-G$6)^2</f>
        <v>5.1658282544292312E-2</v>
      </c>
      <c r="X287" s="31">
        <f>Settings!$B$20*(P287-H$6)^2</f>
        <v>9.3949000064783572E-2</v>
      </c>
      <c r="Y287" s="31">
        <f>Settings!$B$21*(Q287-I$6)^2</f>
        <v>2.3896032785009673E-2</v>
      </c>
      <c r="Z287" s="31">
        <f>Settings!$B$22*(R287-J$6)^2</f>
        <v>0.38233728235458919</v>
      </c>
      <c r="AA287" s="31">
        <f>Settings!$B$23*(S287-K$6)^2</f>
        <v>7.3563633679075782</v>
      </c>
      <c r="AB287" s="31">
        <f>Settings!$B$24*(T287-L$6)^2</f>
        <v>1.0482569222862468</v>
      </c>
      <c r="AC287" s="31">
        <f>Settings!$B$25*(U287-M$6)^2</f>
        <v>6.2272069525305023</v>
      </c>
      <c r="AD287" s="19">
        <f t="shared" si="16"/>
        <v>3.967101825445539</v>
      </c>
      <c r="AE287" s="15">
        <f t="shared" si="17"/>
        <v>1.570250824449039</v>
      </c>
      <c r="AF287" s="33">
        <f t="shared" si="18"/>
        <v>0.29146252931109751</v>
      </c>
      <c r="AG287" s="47">
        <f t="shared" si="19"/>
        <v>1.7183119020746673E-3</v>
      </c>
      <c r="AH287" s="18">
        <v>1.813841380147063E-3</v>
      </c>
      <c r="AI287" s="46">
        <v>1</v>
      </c>
      <c r="AJ287" s="18">
        <v>-0.49272892583155092</v>
      </c>
      <c r="AK287" s="46">
        <v>1</v>
      </c>
      <c r="AL287" s="48"/>
      <c r="AM287" s="48"/>
      <c r="AN287" s="48"/>
      <c r="AO287" s="48"/>
      <c r="AP287" s="48"/>
      <c r="AQ287" s="48"/>
    </row>
    <row r="288" spans="1:43" ht="20" customHeight="1" x14ac:dyDescent="0.45">
      <c r="A288" s="26">
        <v>278</v>
      </c>
      <c r="B288" s="16" t="s">
        <v>485</v>
      </c>
      <c r="C288" s="16" t="s">
        <v>216</v>
      </c>
      <c r="D288" s="46">
        <v>29</v>
      </c>
      <c r="E288" s="46">
        <v>1</v>
      </c>
      <c r="F288" s="13">
        <v>-6.3559559069856456E-2</v>
      </c>
      <c r="G288" s="13">
        <v>-0.31958175483088491</v>
      </c>
      <c r="H288" s="13">
        <v>1.7241406745036918E-2</v>
      </c>
      <c r="I288" s="13">
        <v>-3.9474377409501368E-2</v>
      </c>
      <c r="J288" s="13">
        <v>0.56014290194472038</v>
      </c>
      <c r="K288" s="13">
        <v>17.087627811860919</v>
      </c>
      <c r="L288" s="13">
        <v>0.51898237276593673</v>
      </c>
      <c r="M288" s="13">
        <v>1.7935321897135661</v>
      </c>
      <c r="N288" s="19">
        <f>(F288-Settings!$D$18)/Settings!$E$18</f>
        <v>-0.91578576758225116</v>
      </c>
      <c r="O288" s="19">
        <f>(G288-Settings!$D$19)/Settings!$E$19</f>
        <v>-1.3037473365286747</v>
      </c>
      <c r="P288" s="19">
        <f>(H288-Settings!$D$20)/Settings!$E$20</f>
        <v>-0.32513215017394392</v>
      </c>
      <c r="Q288" s="19">
        <f>(I288-Settings!$D$21)/Settings!$E$21</f>
        <v>-0.44921943474436055</v>
      </c>
      <c r="R288" s="19">
        <f>(J288-Settings!$D$22)/Settings!$E$22</f>
        <v>0.84020854264546729</v>
      </c>
      <c r="S288" s="19">
        <f>(K288-Settings!$D$23)/Settings!$E$23</f>
        <v>0.63635600086134991</v>
      </c>
      <c r="T288" s="19">
        <f>(L288-Settings!$D$24)/Settings!$E$24</f>
        <v>-0.54567627005413133</v>
      </c>
      <c r="U288" s="19">
        <f>(M288-Settings!$D$25)/Settings!$E$25</f>
        <v>1.2455483422273455</v>
      </c>
      <c r="V288" s="31">
        <f>Settings!$B$18*(N288-F$6)^2</f>
        <v>0.53568181751700428</v>
      </c>
      <c r="W288" s="31">
        <f>Settings!$B$19*(O288-G$6)^2</f>
        <v>0.30506391643773045</v>
      </c>
      <c r="X288" s="31">
        <f>Settings!$B$20*(P288-H$6)^2</f>
        <v>3.889852419829979E-2</v>
      </c>
      <c r="Y288" s="31">
        <f>Settings!$B$21*(Q288-I$6)^2</f>
        <v>0.15452520674500567</v>
      </c>
      <c r="Z288" s="31">
        <f>Settings!$B$22*(R288-J$6)^2</f>
        <v>8.1267952535714841E-3</v>
      </c>
      <c r="AA288" s="31">
        <f>Settings!$B$23*(S288-K$6)^2</f>
        <v>0.26042963797803681</v>
      </c>
      <c r="AB288" s="31">
        <f>Settings!$B$24*(T288-L$6)^2</f>
        <v>0.88275932895785236</v>
      </c>
      <c r="AC288" s="31">
        <f>Settings!$B$25*(U288-M$6)^2</f>
        <v>13.655263216467652</v>
      </c>
      <c r="AD288" s="19">
        <f t="shared" si="16"/>
        <v>3.980043774075249</v>
      </c>
      <c r="AE288" s="15">
        <f t="shared" si="17"/>
        <v>1.5753734823489272</v>
      </c>
      <c r="AF288" s="33">
        <f t="shared" si="18"/>
        <v>0.28912365672445017</v>
      </c>
      <c r="AG288" s="47">
        <f t="shared" si="19"/>
        <v>1.7045231223897746E-3</v>
      </c>
      <c r="AH288" s="18">
        <v>-0.51219527224507022</v>
      </c>
      <c r="AI288" s="46">
        <v>1</v>
      </c>
      <c r="AJ288" s="18">
        <v>-1.4934758246872619</v>
      </c>
      <c r="AK288" s="46">
        <v>1</v>
      </c>
      <c r="AL288" s="48"/>
      <c r="AM288" s="48"/>
      <c r="AN288" s="48"/>
      <c r="AO288" s="48"/>
      <c r="AP288" s="48"/>
      <c r="AQ288" s="48"/>
    </row>
    <row r="289" spans="1:43" ht="20" customHeight="1" x14ac:dyDescent="0.45">
      <c r="A289" s="26">
        <v>279</v>
      </c>
      <c r="B289" s="16" t="s">
        <v>782</v>
      </c>
      <c r="C289" s="16" t="s">
        <v>234</v>
      </c>
      <c r="D289" s="46">
        <v>29</v>
      </c>
      <c r="E289" s="46">
        <v>1</v>
      </c>
      <c r="F289" s="13">
        <v>0.1134795257813335</v>
      </c>
      <c r="G289" s="13">
        <v>0.1130044855605738</v>
      </c>
      <c r="H289" s="13">
        <v>3.9465792980798758E-4</v>
      </c>
      <c r="I289" s="13">
        <v>0.154742979657818</v>
      </c>
      <c r="J289" s="13">
        <v>0.61837835107046679</v>
      </c>
      <c r="K289" s="13">
        <v>10.44777777777778</v>
      </c>
      <c r="L289" s="13">
        <v>1.114132041326336</v>
      </c>
      <c r="M289" s="13">
        <v>0.22476289279694089</v>
      </c>
      <c r="N289" s="19">
        <f>(F289-Settings!$D$18)/Settings!$E$18</f>
        <v>-0.28217391922390972</v>
      </c>
      <c r="O289" s="19">
        <f>(G289-Settings!$D$19)/Settings!$E$19</f>
        <v>0.49846207677965121</v>
      </c>
      <c r="P289" s="19">
        <f>(H289-Settings!$D$20)/Settings!$E$20</f>
        <v>-0.4777669340388887</v>
      </c>
      <c r="Q289" s="19">
        <f>(I289-Settings!$D$21)/Settings!$E$21</f>
        <v>1.9391311357140202</v>
      </c>
      <c r="R289" s="19">
        <f>(J289-Settings!$D$22)/Settings!$E$22</f>
        <v>0.99689376027729315</v>
      </c>
      <c r="S289" s="19">
        <f>(K289-Settings!$D$23)/Settings!$E$23</f>
        <v>-1.6695111912585601</v>
      </c>
      <c r="T289" s="19">
        <f>(L289-Settings!$D$24)/Settings!$E$24</f>
        <v>-0.13421675045407375</v>
      </c>
      <c r="U289" s="19">
        <f>(M289-Settings!$D$25)/Settings!$E$25</f>
        <v>0.18755285621445192</v>
      </c>
      <c r="V289" s="31">
        <f>Settings!$B$18*(N289-F$6)^2</f>
        <v>0.20119086009452991</v>
      </c>
      <c r="W289" s="31">
        <f>Settings!$B$19*(O289-G$6)^2</f>
        <v>6.4336616216770906E-2</v>
      </c>
      <c r="X289" s="31">
        <f>Settings!$B$20*(P289-H$6)^2</f>
        <v>7.0483579938876037E-2</v>
      </c>
      <c r="Y289" s="31">
        <f>Settings!$B$21*(Q289-I$6)^2</f>
        <v>0.45563296873312753</v>
      </c>
      <c r="Z289" s="31">
        <f>Settings!$B$22*(R289-J$6)^2</f>
        <v>2.5670608348030761E-2</v>
      </c>
      <c r="AA289" s="31">
        <f>Settings!$B$23*(S289-K$6)^2</f>
        <v>7.9309276046206252</v>
      </c>
      <c r="AB289" s="31">
        <f>Settings!$B$24*(T289-L$6)^2</f>
        <v>0.27888243690743636</v>
      </c>
      <c r="AC289" s="31">
        <f>Settings!$B$25*(U289-M$6)^2</f>
        <v>6.9553901772812914</v>
      </c>
      <c r="AD289" s="19">
        <f t="shared" si="16"/>
        <v>3.9978137590614056</v>
      </c>
      <c r="AE289" s="15">
        <f t="shared" si="17"/>
        <v>1.5824071645690263</v>
      </c>
      <c r="AF289" s="33">
        <f t="shared" si="18"/>
        <v>0.28593058218975675</v>
      </c>
      <c r="AG289" s="47">
        <f t="shared" si="19"/>
        <v>1.6856984110618946E-3</v>
      </c>
      <c r="AH289" s="18">
        <v>-0.43912264629295178</v>
      </c>
      <c r="AI289" s="46">
        <v>1</v>
      </c>
      <c r="AJ289" s="18">
        <v>-0.15571440510748519</v>
      </c>
      <c r="AK289" s="46">
        <v>1</v>
      </c>
      <c r="AL289" s="18">
        <v>1.149046394057013</v>
      </c>
      <c r="AM289" s="46">
        <v>1</v>
      </c>
      <c r="AN289" s="18">
        <v>0.27337511674767151</v>
      </c>
      <c r="AO289" s="46">
        <v>1</v>
      </c>
      <c r="AP289" s="18">
        <v>-0.41946736138120411</v>
      </c>
      <c r="AQ289" s="46">
        <v>1</v>
      </c>
    </row>
    <row r="290" spans="1:43" ht="20" customHeight="1" x14ac:dyDescent="0.45">
      <c r="A290" s="26">
        <v>280</v>
      </c>
      <c r="B290" s="16" t="s">
        <v>600</v>
      </c>
      <c r="C290" s="16" t="s">
        <v>220</v>
      </c>
      <c r="D290" s="46">
        <v>29</v>
      </c>
      <c r="E290" s="46">
        <v>1</v>
      </c>
      <c r="F290" s="13">
        <v>-4.7026899408344508E-2</v>
      </c>
      <c r="G290" s="13">
        <v>0.5861826210034432</v>
      </c>
      <c r="H290" s="13">
        <v>-3.4751123833199858E-3</v>
      </c>
      <c r="I290" s="13">
        <v>-0.1461503252759315</v>
      </c>
      <c r="J290" s="13">
        <v>0.21716504192896069</v>
      </c>
      <c r="K290" s="13">
        <v>14.02857142857143</v>
      </c>
      <c r="L290" s="13">
        <v>0.38268444940603558</v>
      </c>
      <c r="M290" s="13">
        <v>0.89817818878957412</v>
      </c>
      <c r="N290" s="19">
        <f>(F290-Settings!$D$18)/Settings!$E$18</f>
        <v>-0.85661640927239002</v>
      </c>
      <c r="O290" s="19">
        <f>(G290-Settings!$D$19)/Settings!$E$19</f>
        <v>2.4697824985645203</v>
      </c>
      <c r="P290" s="19">
        <f>(H290-Settings!$D$20)/Settings!$E$20</f>
        <v>-0.51282779722557836</v>
      </c>
      <c r="Q290" s="19">
        <f>(I290-Settings!$D$21)/Settings!$E$21</f>
        <v>-1.7610463733256816</v>
      </c>
      <c r="R290" s="19">
        <f>(J290-Settings!$D$22)/Settings!$E$22</f>
        <v>-8.2589537325182108E-2</v>
      </c>
      <c r="S290" s="19">
        <f>(K290-Settings!$D$23)/Settings!$E$23</f>
        <v>-0.4259839189959273</v>
      </c>
      <c r="T290" s="19">
        <f>(L290-Settings!$D$24)/Settings!$E$24</f>
        <v>-0.63990647974878567</v>
      </c>
      <c r="U290" s="19">
        <f>(M290-Settings!$D$25)/Settings!$E$25</f>
        <v>0.64171163199657888</v>
      </c>
      <c r="V290" s="31">
        <f>Settings!$B$18*(N290-F$6)^2</f>
        <v>0.49764775634153918</v>
      </c>
      <c r="W290" s="31">
        <f>Settings!$B$19*(O290-G$6)^2</f>
        <v>1.2887878630839187</v>
      </c>
      <c r="X290" s="31">
        <f>Settings!$B$20*(P290-H$6)^2</f>
        <v>7.9054956718523722E-2</v>
      </c>
      <c r="Y290" s="31">
        <f>Settings!$B$21*(Q290-I$6)^2</f>
        <v>0.95993707452734989</v>
      </c>
      <c r="Z290" s="31">
        <f>Settings!$B$22*(R290-J$6)^2</f>
        <v>0.10403147596525067</v>
      </c>
      <c r="AA290" s="31">
        <f>Settings!$B$23*(S290-K$6)^2</f>
        <v>2.4732688864583197</v>
      </c>
      <c r="AB290" s="31">
        <f>Settings!$B$24*(T290-L$6)^2</f>
        <v>1.0687071625608386</v>
      </c>
      <c r="AC290" s="31">
        <f>Settings!$B$25*(U290-M$6)^2</f>
        <v>9.557162946253829</v>
      </c>
      <c r="AD290" s="19">
        <f t="shared" si="16"/>
        <v>4.0035731692963434</v>
      </c>
      <c r="AE290" s="15">
        <f t="shared" si="17"/>
        <v>1.5846868435557726</v>
      </c>
      <c r="AF290" s="33">
        <f t="shared" si="18"/>
        <v>0.28490023971749517</v>
      </c>
      <c r="AG290" s="47">
        <f t="shared" si="19"/>
        <v>1.6796240462456529E-3</v>
      </c>
      <c r="AH290" s="18">
        <v>0.65133913296169255</v>
      </c>
      <c r="AI290" s="46">
        <v>1</v>
      </c>
      <c r="AJ290" s="18">
        <v>-0.64952309089023208</v>
      </c>
      <c r="AK290" s="46">
        <v>1</v>
      </c>
      <c r="AL290" s="18">
        <v>-0.62538063588105064</v>
      </c>
      <c r="AM290" s="46">
        <v>1</v>
      </c>
      <c r="AN290" s="48"/>
      <c r="AO290" s="48"/>
      <c r="AP290" s="48"/>
      <c r="AQ290" s="48"/>
    </row>
    <row r="291" spans="1:43" ht="20" customHeight="1" x14ac:dyDescent="0.45">
      <c r="A291" s="26">
        <v>281</v>
      </c>
      <c r="B291" s="16" t="s">
        <v>762</v>
      </c>
      <c r="C291" s="16" t="s">
        <v>234</v>
      </c>
      <c r="D291" s="46">
        <v>29</v>
      </c>
      <c r="E291" s="46">
        <v>1</v>
      </c>
      <c r="F291" s="13">
        <v>0.21440602080625629</v>
      </c>
      <c r="G291" s="13">
        <v>0.34608737993323763</v>
      </c>
      <c r="H291" s="13">
        <v>1.639564397816513E-4</v>
      </c>
      <c r="I291" s="13">
        <v>0.20526033424274329</v>
      </c>
      <c r="J291" s="13">
        <v>0.23408230857798101</v>
      </c>
      <c r="K291" s="13">
        <v>10.97233333333334</v>
      </c>
      <c r="L291" s="13">
        <v>0.63498939565680468</v>
      </c>
      <c r="M291" s="13">
        <v>0.16084386395833949</v>
      </c>
      <c r="N291" s="19">
        <f>(F291-Settings!$D$18)/Settings!$E$18</f>
        <v>7.9035714879327465E-2</v>
      </c>
      <c r="O291" s="19">
        <f>(G291-Settings!$D$19)/Settings!$E$19</f>
        <v>1.4695151226172576</v>
      </c>
      <c r="P291" s="19">
        <f>(H291-Settings!$D$20)/Settings!$E$20</f>
        <v>-0.47985713390200169</v>
      </c>
      <c r="Q291" s="19">
        <f>(I291-Settings!$D$21)/Settings!$E$21</f>
        <v>2.5603585814110286</v>
      </c>
      <c r="R291" s="19">
        <f>(J291-Settings!$D$22)/Settings!$E$22</f>
        <v>-3.7072834931184642E-2</v>
      </c>
      <c r="S291" s="19">
        <f>(K291-Settings!$D$23)/Settings!$E$23</f>
        <v>-1.4873451122370449</v>
      </c>
      <c r="T291" s="19">
        <f>(L291-Settings!$D$24)/Settings!$E$24</f>
        <v>-0.4654742697331562</v>
      </c>
      <c r="U291" s="19">
        <f>(M291-Settings!$D$25)/Settings!$E$25</f>
        <v>0.1444451512673412</v>
      </c>
      <c r="V291" s="31">
        <f>Settings!$B$18*(N291-F$6)^2</f>
        <v>8.2371974679577964E-2</v>
      </c>
      <c r="W291" s="31">
        <f>Settings!$B$19*(O291-G$6)^2</f>
        <v>0.47322671780729852</v>
      </c>
      <c r="X291" s="31">
        <f>Settings!$B$20*(P291-H$6)^2</f>
        <v>7.0980790879355854E-2</v>
      </c>
      <c r="Y291" s="31">
        <f>Settings!$B$21*(Q291-I$6)^2</f>
        <v>0.90787979188289258</v>
      </c>
      <c r="Z291" s="31">
        <f>Settings!$B$22*(R291-J$6)^2</f>
        <v>9.1314819032526737E-2</v>
      </c>
      <c r="AA291" s="31">
        <f>Settings!$B$23*(S291-K$6)^2</f>
        <v>6.9380834085221066</v>
      </c>
      <c r="AB291" s="31">
        <f>Settings!$B$24*(T291-L$6)^2</f>
        <v>0.73848367340540699</v>
      </c>
      <c r="AC291" s="31">
        <f>Settings!$B$25*(U291-M$6)^2</f>
        <v>6.7298719153660604</v>
      </c>
      <c r="AD291" s="19">
        <f t="shared" si="16"/>
        <v>4.0040246117594265</v>
      </c>
      <c r="AE291" s="15">
        <f t="shared" si="17"/>
        <v>1.5848655326671286</v>
      </c>
      <c r="AF291" s="33">
        <f t="shared" si="18"/>
        <v>0.28481957244925032</v>
      </c>
      <c r="AG291" s="47">
        <f t="shared" si="19"/>
        <v>1.6791484738711848E-3</v>
      </c>
      <c r="AH291" s="48"/>
      <c r="AI291" s="48"/>
      <c r="AJ291" s="48"/>
      <c r="AK291" s="48"/>
      <c r="AL291" s="48"/>
      <c r="AM291" s="48"/>
      <c r="AN291" s="48"/>
      <c r="AO291" s="48"/>
      <c r="AP291" s="48"/>
      <c r="AQ291" s="48"/>
    </row>
    <row r="292" spans="1:43" ht="20" customHeight="1" x14ac:dyDescent="0.45">
      <c r="A292" s="26">
        <v>282</v>
      </c>
      <c r="B292" s="16" t="s">
        <v>815</v>
      </c>
      <c r="C292" s="16" t="s">
        <v>283</v>
      </c>
      <c r="D292" s="46">
        <v>29</v>
      </c>
      <c r="E292" s="46">
        <v>0</v>
      </c>
      <c r="F292" s="13">
        <v>0.115242255393932</v>
      </c>
      <c r="G292" s="13">
        <v>0.17972341387966831</v>
      </c>
      <c r="H292" s="13">
        <v>0.14891213728646119</v>
      </c>
      <c r="I292" s="13">
        <v>2.7177366635473189E-2</v>
      </c>
      <c r="J292" s="13">
        <v>0.5289448268044652</v>
      </c>
      <c r="K292" s="13">
        <v>17.61139088729022</v>
      </c>
      <c r="L292" s="13">
        <v>3.952906437158108</v>
      </c>
      <c r="M292" s="13">
        <v>1.7514258008206449</v>
      </c>
      <c r="N292" s="19">
        <f>(F292-Settings!$D$18)/Settings!$E$18</f>
        <v>-0.27586521982607159</v>
      </c>
      <c r="O292" s="19">
        <f>(G292-Settings!$D$19)/Settings!$E$19</f>
        <v>0.77642163590410662</v>
      </c>
      <c r="P292" s="19">
        <f>(H292-Settings!$D$20)/Settings!$E$20</f>
        <v>0.86782998857190885</v>
      </c>
      <c r="Q292" s="19">
        <f>(I292-Settings!$D$21)/Settings!$E$21</f>
        <v>0.37041756019571337</v>
      </c>
      <c r="R292" s="19">
        <f>(J292-Settings!$D$22)/Settings!$E$22</f>
        <v>0.75626865265698617</v>
      </c>
      <c r="S292" s="19">
        <f>(K292-Settings!$D$23)/Settings!$E$23</f>
        <v>0.81824686976303274</v>
      </c>
      <c r="T292" s="19">
        <f>(L292-Settings!$D$24)/Settings!$E$24</f>
        <v>1.8283832657523456</v>
      </c>
      <c r="U292" s="19">
        <f>(M292-Settings!$D$25)/Settings!$E$25</f>
        <v>1.2171513245979384</v>
      </c>
      <c r="V292" s="31">
        <f>Settings!$B$18*(N292-F$6)^2</f>
        <v>0.19866783864481571</v>
      </c>
      <c r="W292" s="31">
        <f>Settings!$B$19*(O292-G$6)^2</f>
        <v>0.14284917347259687</v>
      </c>
      <c r="X292" s="31">
        <f>Settings!$B$20*(P292-H$6)^2</f>
        <v>0.11308544865612767</v>
      </c>
      <c r="Y292" s="31">
        <f>Settings!$B$21*(Q292-I$6)^2</f>
        <v>7.0459113887435306E-4</v>
      </c>
      <c r="Z292" s="31">
        <f>Settings!$B$22*(R292-J$6)^2</f>
        <v>2.7677783880401428E-3</v>
      </c>
      <c r="AA292" s="31">
        <f>Settings!$B$23*(S292-K$6)^2</f>
        <v>0.10786771213660817</v>
      </c>
      <c r="AB292" s="31">
        <f>Settings!$B$24*(T292-L$6)^2</f>
        <v>2.0578097812375953</v>
      </c>
      <c r="AC292" s="31">
        <f>Settings!$B$25*(U292-M$6)^2</f>
        <v>13.44619844623695</v>
      </c>
      <c r="AD292" s="19">
        <f t="shared" si="16"/>
        <v>4.00873431021708</v>
      </c>
      <c r="AE292" s="15">
        <f t="shared" si="17"/>
        <v>1.5867297167015797</v>
      </c>
      <c r="AF292" s="33">
        <f t="shared" si="18"/>
        <v>0.28397882685377768</v>
      </c>
      <c r="AG292" s="47">
        <f t="shared" si="19"/>
        <v>1.6741918739036619E-3</v>
      </c>
      <c r="AH292" s="18">
        <v>-0.15074610455740209</v>
      </c>
      <c r="AI292" s="46">
        <v>0</v>
      </c>
      <c r="AJ292" s="18">
        <v>-1.445004178372667</v>
      </c>
      <c r="AK292" s="46">
        <v>0</v>
      </c>
      <c r="AL292" s="18">
        <v>0.43615139313754803</v>
      </c>
      <c r="AM292" s="46">
        <v>0</v>
      </c>
      <c r="AN292" s="18">
        <v>-1.0401673445861631E-2</v>
      </c>
      <c r="AO292" s="46">
        <v>0</v>
      </c>
      <c r="AP292" s="18">
        <v>-1.0426585944860081</v>
      </c>
      <c r="AQ292" s="46">
        <v>0</v>
      </c>
    </row>
    <row r="293" spans="1:43" ht="20" customHeight="1" x14ac:dyDescent="0.45">
      <c r="A293" s="26">
        <v>283</v>
      </c>
      <c r="B293" s="16" t="s">
        <v>816</v>
      </c>
      <c r="C293" s="16" t="s">
        <v>260</v>
      </c>
      <c r="D293" s="46">
        <v>29</v>
      </c>
      <c r="E293" s="46">
        <v>1</v>
      </c>
      <c r="F293" s="13">
        <v>-0.30088054126936298</v>
      </c>
      <c r="G293" s="13">
        <v>0.49638030630843422</v>
      </c>
      <c r="H293" s="13">
        <v>-3.1076285926844058E-2</v>
      </c>
      <c r="I293" s="13">
        <v>9.8080817379999283E-2</v>
      </c>
      <c r="J293" s="13">
        <v>-7.3582049115359524E-2</v>
      </c>
      <c r="K293" s="13">
        <v>10.145833333333339</v>
      </c>
      <c r="L293" s="13">
        <v>0.37419091995071702</v>
      </c>
      <c r="M293" s="13">
        <v>-0.86797423613764502</v>
      </c>
      <c r="N293" s="19">
        <f>(F293-Settings!$D$18)/Settings!$E$18</f>
        <v>-1.7651427686763275</v>
      </c>
      <c r="O293" s="19">
        <f>(G293-Settings!$D$19)/Settings!$E$19</f>
        <v>2.0956546096752064</v>
      </c>
      <c r="P293" s="19">
        <f>(H293-Settings!$D$20)/Settings!$E$20</f>
        <v>-0.76289973718507353</v>
      </c>
      <c r="Q293" s="19">
        <f>(I293-Settings!$D$21)/Settings!$E$21</f>
        <v>1.2423391000118451</v>
      </c>
      <c r="R293" s="19">
        <f>(J293-Settings!$D$22)/Settings!$E$22</f>
        <v>-0.86485827432302209</v>
      </c>
      <c r="S293" s="19">
        <f>(K293-Settings!$D$23)/Settings!$E$23</f>
        <v>-1.7743695517205293</v>
      </c>
      <c r="T293" s="19">
        <f>(L293-Settings!$D$24)/Settings!$E$24</f>
        <v>-0.64577852124357082</v>
      </c>
      <c r="U293" s="19">
        <f>(M293-Settings!$D$25)/Settings!$E$25</f>
        <v>-0.54940123390178552</v>
      </c>
      <c r="V293" s="31">
        <f>Settings!$B$18*(N293-F$6)^2</f>
        <v>1.2359811089502228</v>
      </c>
      <c r="W293" s="31">
        <f>Settings!$B$19*(O293-G$6)^2</f>
        <v>0.93689400570917947</v>
      </c>
      <c r="X293" s="31">
        <f>Settings!$B$20*(P293-H$6)^2</f>
        <v>0.15445112572265096</v>
      </c>
      <c r="Y293" s="31">
        <f>Settings!$B$21*(Q293-I$6)^2</f>
        <v>0.13205304151107797</v>
      </c>
      <c r="Z293" s="31">
        <f>Settings!$B$22*(R293-J$6)^2</f>
        <v>0.45209529764477269</v>
      </c>
      <c r="AA293" s="31">
        <f>Settings!$B$23*(S293-K$6)^2</f>
        <v>8.5325250681019362</v>
      </c>
      <c r="AB293" s="31">
        <f>Settings!$B$24*(T293-L$6)^2</f>
        <v>1.0808824760473033</v>
      </c>
      <c r="AC293" s="31">
        <f>Settings!$B$25*(U293-M$6)^2</f>
        <v>3.6113425980385503</v>
      </c>
      <c r="AD293" s="19">
        <f t="shared" si="16"/>
        <v>4.0169919992110632</v>
      </c>
      <c r="AE293" s="15">
        <f t="shared" si="17"/>
        <v>1.5899982597139308</v>
      </c>
      <c r="AF293" s="33">
        <f t="shared" si="18"/>
        <v>0.28250833258722213</v>
      </c>
      <c r="AG293" s="47">
        <f t="shared" si="19"/>
        <v>1.6655226023985831E-3</v>
      </c>
      <c r="AH293" s="48"/>
      <c r="AI293" s="48"/>
      <c r="AJ293" s="48"/>
      <c r="AK293" s="48"/>
      <c r="AL293" s="48"/>
      <c r="AM293" s="48"/>
      <c r="AN293" s="48"/>
      <c r="AO293" s="48"/>
      <c r="AP293" s="48"/>
      <c r="AQ293" s="48"/>
    </row>
    <row r="294" spans="1:43" ht="20" customHeight="1" x14ac:dyDescent="0.45">
      <c r="A294" s="26">
        <v>284</v>
      </c>
      <c r="B294" s="16" t="s">
        <v>625</v>
      </c>
      <c r="C294" s="16" t="s">
        <v>260</v>
      </c>
      <c r="D294" s="46">
        <v>29</v>
      </c>
      <c r="E294" s="46">
        <v>1</v>
      </c>
      <c r="F294" s="13">
        <v>-0.27593436681786421</v>
      </c>
      <c r="G294" s="13">
        <v>0.14800158871259339</v>
      </c>
      <c r="H294" s="13">
        <v>1.8684215247758931E-4</v>
      </c>
      <c r="I294" s="13">
        <v>-0.1327413158228582</v>
      </c>
      <c r="J294" s="13">
        <v>-0.44313588649420649</v>
      </c>
      <c r="K294" s="13">
        <v>11.92283950617284</v>
      </c>
      <c r="L294" s="13">
        <v>-0.83431833595830351</v>
      </c>
      <c r="M294" s="13">
        <v>-0.74843240781937326</v>
      </c>
      <c r="N294" s="19">
        <f>(F294-Settings!$D$18)/Settings!$E$18</f>
        <v>-1.6758619654177156</v>
      </c>
      <c r="O294" s="19">
        <f>(G294-Settings!$D$19)/Settings!$E$19</f>
        <v>0.64426446911190982</v>
      </c>
      <c r="P294" s="19">
        <f>(H294-Settings!$D$20)/Settings!$E$20</f>
        <v>-0.47964978494409577</v>
      </c>
      <c r="Q294" s="19">
        <f>(I294-Settings!$D$21)/Settings!$E$21</f>
        <v>-1.5961516602057373</v>
      </c>
      <c r="R294" s="19">
        <f>(J294-Settings!$D$22)/Settings!$E$22</f>
        <v>-1.8591602726016154</v>
      </c>
      <c r="S294" s="19">
        <f>(K294-Settings!$D$23)/Settings!$E$23</f>
        <v>-1.1572561812208937</v>
      </c>
      <c r="T294" s="19">
        <f>(L294-Settings!$D$24)/Settings!$E$24</f>
        <v>-1.481287073355088</v>
      </c>
      <c r="U294" s="19">
        <f>(M294-Settings!$D$25)/Settings!$E$25</f>
        <v>-0.4687808934865042</v>
      </c>
      <c r="V294" s="31">
        <f>Settings!$B$18*(N294-F$6)^2</f>
        <v>1.148796576829703</v>
      </c>
      <c r="W294" s="31">
        <f>Settings!$B$19*(O294-G$6)^2</f>
        <v>0.10166624629036397</v>
      </c>
      <c r="X294" s="31">
        <f>Settings!$B$20*(P294-H$6)^2</f>
        <v>7.0931389203471112E-2</v>
      </c>
      <c r="Y294" s="31">
        <f>Settings!$B$21*(Q294-I$6)^2</f>
        <v>0.82087337751519718</v>
      </c>
      <c r="Z294" s="31">
        <f>Settings!$B$22*(R294-J$6)^2</f>
        <v>1.2477910821163136</v>
      </c>
      <c r="AA294" s="31">
        <f>Settings!$B$23*(S294-K$6)^2</f>
        <v>5.3081176557367344</v>
      </c>
      <c r="AB294" s="31">
        <f>Settings!$B$24*(T294-L$6)^2</f>
        <v>3.5162382696511805</v>
      </c>
      <c r="AC294" s="31">
        <f>Settings!$B$25*(U294-M$6)^2</f>
        <v>3.9242564944046676</v>
      </c>
      <c r="AD294" s="19">
        <f t="shared" si="16"/>
        <v>4.0172964903959523</v>
      </c>
      <c r="AE294" s="15">
        <f t="shared" si="17"/>
        <v>1.5901187828452108</v>
      </c>
      <c r="AF294" s="33">
        <f t="shared" si="18"/>
        <v>0.2824541982076525</v>
      </c>
      <c r="AG294" s="47">
        <f t="shared" si="19"/>
        <v>1.6652034541741242E-3</v>
      </c>
      <c r="AH294" s="48"/>
      <c r="AI294" s="48"/>
      <c r="AJ294" s="48"/>
      <c r="AK294" s="48"/>
      <c r="AL294" s="48"/>
      <c r="AM294" s="48"/>
      <c r="AN294" s="48"/>
      <c r="AO294" s="48"/>
      <c r="AP294" s="48"/>
      <c r="AQ294" s="48"/>
    </row>
    <row r="295" spans="1:43" ht="20" customHeight="1" x14ac:dyDescent="0.45">
      <c r="A295" s="26">
        <v>285</v>
      </c>
      <c r="B295" s="16" t="s">
        <v>219</v>
      </c>
      <c r="C295" s="16" t="s">
        <v>246</v>
      </c>
      <c r="D295" s="46">
        <v>29</v>
      </c>
      <c r="E295" s="46">
        <v>1</v>
      </c>
      <c r="F295" s="13">
        <v>0.57959906951226015</v>
      </c>
      <c r="G295" s="13">
        <v>3.229635676196068E-2</v>
      </c>
      <c r="H295" s="13">
        <v>0.1809014218694032</v>
      </c>
      <c r="I295" s="13">
        <v>1.6359371755900409E-4</v>
      </c>
      <c r="J295" s="13">
        <v>0.207039558138817</v>
      </c>
      <c r="K295" s="13">
        <v>21.834265010351992</v>
      </c>
      <c r="L295" s="13">
        <v>7.3680676871988346</v>
      </c>
      <c r="M295" s="13">
        <v>-3.9673829138047698</v>
      </c>
      <c r="N295" s="19">
        <f>(F295-Settings!$D$18)/Settings!$E$18</f>
        <v>1.3860388706667861</v>
      </c>
      <c r="O295" s="19">
        <f>(G295-Settings!$D$19)/Settings!$E$19</f>
        <v>0.16222172544592148</v>
      </c>
      <c r="P295" s="19">
        <f>(H295-Settings!$D$20)/Settings!$E$20</f>
        <v>1.1576590583742541</v>
      </c>
      <c r="Q295" s="19">
        <f>(I295-Settings!$D$21)/Settings!$E$21</f>
        <v>3.8220886669926332E-2</v>
      </c>
      <c r="R295" s="19">
        <f>(J295-Settings!$D$22)/Settings!$E$22</f>
        <v>-0.10983262817626267</v>
      </c>
      <c r="S295" s="19">
        <f>(K295-Settings!$D$23)/Settings!$E$23</f>
        <v>2.2847539214038246</v>
      </c>
      <c r="T295" s="19">
        <f>(L295-Settings!$D$24)/Settings!$E$24</f>
        <v>4.1894710417020722</v>
      </c>
      <c r="U295" s="19">
        <f>(M295-Settings!$D$25)/Settings!$E$25</f>
        <v>-2.6396769657930923</v>
      </c>
      <c r="V295" s="31">
        <f>Settings!$B$18*(N295-F$6)^2</f>
        <v>8.8508867012418641E-2</v>
      </c>
      <c r="W295" s="31">
        <f>Settings!$B$19*(O295-G$6)^2</f>
        <v>1.0665804123569355E-2</v>
      </c>
      <c r="X295" s="31">
        <f>Settings!$B$20*(P295-H$6)^2</f>
        <v>0.2170602940156432</v>
      </c>
      <c r="Y295" s="31">
        <f>Settings!$B$21*(Q295-I$6)^2</f>
        <v>3.0662463010344781E-2</v>
      </c>
      <c r="Z295" s="31">
        <f>Settings!$B$22*(R295-J$6)^2</f>
        <v>0.1120392110944942</v>
      </c>
      <c r="AA295" s="31">
        <f>Settings!$B$23*(S295-K$6)^2</f>
        <v>1.2952143605225406</v>
      </c>
      <c r="AB295" s="31">
        <f>Settings!$B$24*(T295-L$6)^2</f>
        <v>14.406538243166418</v>
      </c>
      <c r="AC295" s="31">
        <f>Settings!$B$25*(U295-M$6)^2</f>
        <v>3.60705368097749E-2</v>
      </c>
      <c r="AD295" s="19">
        <f t="shared" si="16"/>
        <v>4.0245198197741807</v>
      </c>
      <c r="AE295" s="15">
        <f t="shared" si="17"/>
        <v>1.5929779075691286</v>
      </c>
      <c r="AF295" s="33">
        <f t="shared" si="18"/>
        <v>0.28117182855800688</v>
      </c>
      <c r="AG295" s="47">
        <f t="shared" si="19"/>
        <v>1.6576432678371235E-3</v>
      </c>
      <c r="AH295" s="18">
        <v>-0.66171672411158333</v>
      </c>
      <c r="AI295" s="46">
        <v>1</v>
      </c>
      <c r="AJ295" s="48"/>
      <c r="AK295" s="48"/>
      <c r="AL295" s="48"/>
      <c r="AM295" s="48"/>
      <c r="AN295" s="48"/>
      <c r="AO295" s="48"/>
      <c r="AP295" s="48"/>
      <c r="AQ295" s="48"/>
    </row>
    <row r="296" spans="1:43" ht="20" customHeight="1" x14ac:dyDescent="0.45">
      <c r="A296" s="26">
        <v>286</v>
      </c>
      <c r="B296" s="16" t="s">
        <v>651</v>
      </c>
      <c r="C296" s="16" t="s">
        <v>216</v>
      </c>
      <c r="D296" s="46">
        <v>29</v>
      </c>
      <c r="E296" s="46">
        <v>1</v>
      </c>
      <c r="F296" s="13">
        <v>-2.8533781682523841E-2</v>
      </c>
      <c r="G296" s="13">
        <v>0.40703169668011441</v>
      </c>
      <c r="H296" s="13">
        <v>1.969252657795293E-3</v>
      </c>
      <c r="I296" s="13">
        <v>2.3393564611617679E-2</v>
      </c>
      <c r="J296" s="13">
        <v>0.53907170436794882</v>
      </c>
      <c r="K296" s="13">
        <v>12.358943089430889</v>
      </c>
      <c r="L296" s="13">
        <v>0.79356797913793731</v>
      </c>
      <c r="M296" s="13">
        <v>0.97958499444601266</v>
      </c>
      <c r="N296" s="19">
        <f>(F296-Settings!$D$18)/Settings!$E$18</f>
        <v>-0.79043069376208486</v>
      </c>
      <c r="O296" s="19">
        <f>(G296-Settings!$D$19)/Settings!$E$19</f>
        <v>1.723416913921284</v>
      </c>
      <c r="P296" s="19">
        <f>(H296-Settings!$D$20)/Settings!$E$20</f>
        <v>-0.46350080301163871</v>
      </c>
      <c r="Q296" s="19">
        <f>(I296-Settings!$D$21)/Settings!$E$21</f>
        <v>0.32388698301849189</v>
      </c>
      <c r="R296" s="19">
        <f>(J296-Settings!$D$22)/Settings!$E$22</f>
        <v>0.78351549352085748</v>
      </c>
      <c r="S296" s="19">
        <f>(K296-Settings!$D$23)/Settings!$E$23</f>
        <v>-1.0058074376741537</v>
      </c>
      <c r="T296" s="19">
        <f>(L296-Settings!$D$24)/Settings!$E$24</f>
        <v>-0.35584022098062357</v>
      </c>
      <c r="U296" s="19">
        <f>(M296-Settings!$D$25)/Settings!$E$25</f>
        <v>0.69661328839980097</v>
      </c>
      <c r="V296" s="31">
        <f>Settings!$B$18*(N296-F$6)^2</f>
        <v>0.45676292408656005</v>
      </c>
      <c r="W296" s="31">
        <f>Settings!$B$19*(O296-G$6)^2</f>
        <v>0.64234309034025872</v>
      </c>
      <c r="X296" s="31">
        <f>Settings!$B$20*(P296-H$6)^2</f>
        <v>6.7136660608655349E-2</v>
      </c>
      <c r="Y296" s="31">
        <f>Settings!$B$21*(Q296-I$6)^2</f>
        <v>2.2423295655828834E-3</v>
      </c>
      <c r="Z296" s="31">
        <f>Settings!$B$22*(R296-J$6)^2</f>
        <v>4.1983709372074495E-3</v>
      </c>
      <c r="AA296" s="31">
        <f>Settings!$B$23*(S296-K$6)^2</f>
        <v>4.6331981787227994</v>
      </c>
      <c r="AB296" s="31">
        <f>Settings!$B$24*(T296-L$6)^2</f>
        <v>0.56207509887251306</v>
      </c>
      <c r="AC296" s="31">
        <f>Settings!$B$25*(U296-M$6)^2</f>
        <v>9.8996303626449649</v>
      </c>
      <c r="AD296" s="19">
        <f t="shared" si="16"/>
        <v>4.0333096850822825</v>
      </c>
      <c r="AE296" s="15">
        <f t="shared" si="17"/>
        <v>1.5964570956147475</v>
      </c>
      <c r="AF296" s="33">
        <f t="shared" si="18"/>
        <v>0.27961611648352813</v>
      </c>
      <c r="AG296" s="47">
        <f t="shared" si="19"/>
        <v>1.648471596335828E-3</v>
      </c>
      <c r="AH296" s="18">
        <v>0.94756374076563898</v>
      </c>
      <c r="AI296" s="46">
        <v>1</v>
      </c>
      <c r="AJ296" s="18">
        <v>3.7596028757646012E-2</v>
      </c>
      <c r="AK296" s="46">
        <v>1</v>
      </c>
      <c r="AL296" s="48"/>
      <c r="AM296" s="48"/>
      <c r="AN296" s="48"/>
      <c r="AO296" s="48"/>
      <c r="AP296" s="48"/>
      <c r="AQ296" s="48"/>
    </row>
    <row r="297" spans="1:43" ht="20" customHeight="1" x14ac:dyDescent="0.45">
      <c r="A297" s="26">
        <v>287</v>
      </c>
      <c r="B297" s="16" t="s">
        <v>501</v>
      </c>
      <c r="C297" s="16" t="s">
        <v>214</v>
      </c>
      <c r="D297" s="46">
        <v>29</v>
      </c>
      <c r="E297" s="46">
        <v>1</v>
      </c>
      <c r="F297" s="13">
        <v>6.101236724314793E-2</v>
      </c>
      <c r="G297" s="13">
        <v>0.30059917789768381</v>
      </c>
      <c r="H297" s="13">
        <v>1.036320715399992E-4</v>
      </c>
      <c r="I297" s="13">
        <v>-0.50658630763804791</v>
      </c>
      <c r="J297" s="13">
        <v>-0.13169851514958039</v>
      </c>
      <c r="K297" s="13">
        <v>14.9725555555556</v>
      </c>
      <c r="L297" s="13">
        <v>0.1990334623174872</v>
      </c>
      <c r="M297" s="13">
        <v>-0.97483271631015556</v>
      </c>
      <c r="N297" s="19">
        <f>(F297-Settings!$D$18)/Settings!$E$18</f>
        <v>-0.46995060891609242</v>
      </c>
      <c r="O297" s="19">
        <f>(G297-Settings!$D$19)/Settings!$E$19</f>
        <v>1.2800054751796486</v>
      </c>
      <c r="P297" s="19">
        <f>(H297-Settings!$D$20)/Settings!$E$20</f>
        <v>-0.48040368427853664</v>
      </c>
      <c r="Q297" s="19">
        <f>(I297-Settings!$D$21)/Settings!$E$21</f>
        <v>-6.1934384987622453</v>
      </c>
      <c r="R297" s="19">
        <f>(J297-Settings!$D$22)/Settings!$E$22</f>
        <v>-1.0212233623453051</v>
      </c>
      <c r="S297" s="19">
        <f>(K297-Settings!$D$23)/Settings!$E$23</f>
        <v>-9.8159944490256071E-2</v>
      </c>
      <c r="T297" s="19">
        <f>(L297-Settings!$D$24)/Settings!$E$24</f>
        <v>-0.76687445253504916</v>
      </c>
      <c r="U297" s="19">
        <f>(M297-Settings!$D$25)/Settings!$E$25</f>
        <v>-0.62146778306674089</v>
      </c>
      <c r="V297" s="31">
        <f>Settings!$B$18*(N297-F$6)^2</f>
        <v>0.28357683689465313</v>
      </c>
      <c r="W297" s="31">
        <f>Settings!$B$19*(O297-G$6)^2</f>
        <v>0.36380617124746439</v>
      </c>
      <c r="X297" s="31">
        <f>Settings!$B$20*(P297-H$6)^2</f>
        <v>7.1111090988922265E-2</v>
      </c>
      <c r="Y297" s="31">
        <f>Settings!$B$21*(Q297-I$6)^2</f>
        <v>8.7733835998793062</v>
      </c>
      <c r="Z297" s="31">
        <f>Settings!$B$22*(R297-J$6)^2</f>
        <v>0.55102252587875555</v>
      </c>
      <c r="AA297" s="31">
        <f>Settings!$B$23*(S297-K$6)^2</f>
        <v>1.5496241795173489</v>
      </c>
      <c r="AB297" s="31">
        <f>Settings!$B$24*(T297-L$6)^2</f>
        <v>1.3473426765104228</v>
      </c>
      <c r="AC297" s="31">
        <f>Settings!$B$25*(U297-M$6)^2</f>
        <v>3.3426323790291925</v>
      </c>
      <c r="AD297" s="19">
        <f t="shared" si="16"/>
        <v>4.0351579225534735</v>
      </c>
      <c r="AE297" s="15">
        <f t="shared" si="17"/>
        <v>1.5971886615136361</v>
      </c>
      <c r="AF297" s="33">
        <f t="shared" si="18"/>
        <v>0.27928966491736468</v>
      </c>
      <c r="AG297" s="47">
        <f t="shared" si="19"/>
        <v>1.6465470072199804E-3</v>
      </c>
      <c r="AH297" s="48"/>
      <c r="AI297" s="48"/>
      <c r="AJ297" s="48"/>
      <c r="AK297" s="48"/>
      <c r="AL297" s="48"/>
      <c r="AM297" s="48"/>
      <c r="AN297" s="48"/>
      <c r="AO297" s="48"/>
      <c r="AP297" s="48"/>
      <c r="AQ297" s="48"/>
    </row>
    <row r="298" spans="1:43" ht="20" customHeight="1" x14ac:dyDescent="0.45">
      <c r="A298" s="26">
        <v>288</v>
      </c>
      <c r="B298" s="16" t="s">
        <v>393</v>
      </c>
      <c r="C298" s="16" t="s">
        <v>224</v>
      </c>
      <c r="D298" s="46">
        <v>29</v>
      </c>
      <c r="E298" s="46">
        <v>0</v>
      </c>
      <c r="F298" s="13">
        <v>0.30600259006150671</v>
      </c>
      <c r="G298" s="13">
        <v>-0.1908257358449795</v>
      </c>
      <c r="H298" s="13">
        <v>1.5885677788398889E-2</v>
      </c>
      <c r="I298" s="13">
        <v>-1.8448430708659449E-2</v>
      </c>
      <c r="J298" s="13">
        <v>0.46883756559645562</v>
      </c>
      <c r="K298" s="13">
        <v>17.827298850574721</v>
      </c>
      <c r="L298" s="13">
        <v>2.1659358391233812</v>
      </c>
      <c r="M298" s="13">
        <v>2.2472583078334978</v>
      </c>
      <c r="N298" s="19">
        <f>(F298-Settings!$D$18)/Settings!$E$18</f>
        <v>0.40685412626506595</v>
      </c>
      <c r="O298" s="19">
        <f>(G298-Settings!$D$19)/Settings!$E$19</f>
        <v>-0.76733335066883701</v>
      </c>
      <c r="P298" s="19">
        <f>(H298-Settings!$D$20)/Settings!$E$20</f>
        <v>-0.33741531522528212</v>
      </c>
      <c r="Q298" s="19">
        <f>(I298-Settings!$D$21)/Settings!$E$21</f>
        <v>-0.19065690173667962</v>
      </c>
      <c r="R298" s="19">
        <f>(J298-Settings!$D$22)/Settings!$E$22</f>
        <v>0.59454723649182362</v>
      </c>
      <c r="S298" s="19">
        <f>(K298-Settings!$D$23)/Settings!$E$23</f>
        <v>0.89322673926303819</v>
      </c>
      <c r="T298" s="19">
        <f>(L298-Settings!$D$24)/Settings!$E$24</f>
        <v>0.59295274692953748</v>
      </c>
      <c r="U298" s="19">
        <f>(M298-Settings!$D$25)/Settings!$E$25</f>
        <v>1.5515462896633048</v>
      </c>
      <c r="V298" s="31">
        <f>Settings!$B$18*(N298-F$6)^2</f>
        <v>1.9712253196202005E-2</v>
      </c>
      <c r="W298" s="31">
        <f>Settings!$B$19*(O298-G$6)^2</f>
        <v>9.761518416740364E-2</v>
      </c>
      <c r="X298" s="31">
        <f>Settings!$B$20*(P298-H$6)^2</f>
        <v>4.109551447697786E-2</v>
      </c>
      <c r="Y298" s="31">
        <f>Settings!$B$21*(Q298-I$6)^2</f>
        <v>7.6986417320742115E-2</v>
      </c>
      <c r="Z298" s="31">
        <f>Settings!$B$22*(R298-J$6)^2</f>
        <v>3.8865505923986427E-4</v>
      </c>
      <c r="AA298" s="31">
        <f>Settings!$B$23*(S298-K$6)^2</f>
        <v>6.4238085487145394E-2</v>
      </c>
      <c r="AB298" s="31">
        <f>Settings!$B$24*(T298-L$6)^2</f>
        <v>3.9631368779230569E-2</v>
      </c>
      <c r="AC298" s="31">
        <f>Settings!$B$25*(U298-M$6)^2</f>
        <v>16.010408140048696</v>
      </c>
      <c r="AD298" s="19">
        <f t="shared" si="16"/>
        <v>4.043522674418389</v>
      </c>
      <c r="AE298" s="15">
        <f t="shared" si="17"/>
        <v>1.6004995819513086</v>
      </c>
      <c r="AF298" s="33">
        <f t="shared" si="18"/>
        <v>0.27781511071655207</v>
      </c>
      <c r="AG298" s="47">
        <f t="shared" si="19"/>
        <v>1.6378538004482581E-3</v>
      </c>
      <c r="AH298" s="18">
        <v>0.27040870318167892</v>
      </c>
      <c r="AI298" s="46">
        <v>0</v>
      </c>
      <c r="AJ298" s="18">
        <v>-1.3791336505647851</v>
      </c>
      <c r="AK298" s="46">
        <v>1</v>
      </c>
      <c r="AL298" s="48"/>
      <c r="AM298" s="48"/>
      <c r="AN298" s="48"/>
      <c r="AO298" s="48"/>
      <c r="AP298" s="48"/>
      <c r="AQ298" s="48"/>
    </row>
    <row r="299" spans="1:43" ht="20" customHeight="1" x14ac:dyDescent="0.45">
      <c r="A299" s="26">
        <v>289</v>
      </c>
      <c r="B299" s="16" t="s">
        <v>761</v>
      </c>
      <c r="C299" s="16" t="s">
        <v>214</v>
      </c>
      <c r="D299" s="46">
        <v>29</v>
      </c>
      <c r="E299" s="46">
        <v>1</v>
      </c>
      <c r="F299" s="13">
        <v>0.45679277735366669</v>
      </c>
      <c r="G299" s="13">
        <v>0.42971098186505841</v>
      </c>
      <c r="H299" s="13">
        <v>-3.889036456428376E-4</v>
      </c>
      <c r="I299" s="13">
        <v>-1.3330863309397071E-3</v>
      </c>
      <c r="J299" s="13">
        <v>0.1117742508046925</v>
      </c>
      <c r="K299" s="13">
        <v>10.666290726817049</v>
      </c>
      <c r="L299" s="13">
        <v>0.77156049562421614</v>
      </c>
      <c r="M299" s="13">
        <v>0.30435880814719579</v>
      </c>
      <c r="N299" s="19">
        <f>(F299-Settings!$D$18)/Settings!$E$18</f>
        <v>0.94652280657254784</v>
      </c>
      <c r="O299" s="19">
        <f>(G299-Settings!$D$19)/Settings!$E$19</f>
        <v>1.8179017066193208</v>
      </c>
      <c r="P299" s="19">
        <f>(H299-Settings!$D$20)/Settings!$E$20</f>
        <v>-0.48486615258993038</v>
      </c>
      <c r="Q299" s="19">
        <f>(I299-Settings!$D$21)/Settings!$E$21</f>
        <v>1.981575181688355E-2</v>
      </c>
      <c r="R299" s="19">
        <f>(J299-Settings!$D$22)/Settings!$E$22</f>
        <v>-0.366148422705112</v>
      </c>
      <c r="S299" s="19">
        <f>(K299-Settings!$D$23)/Settings!$E$23</f>
        <v>-1.5936266701237998</v>
      </c>
      <c r="T299" s="19">
        <f>(L299-Settings!$D$24)/Settings!$E$24</f>
        <v>-0.3710551981074115</v>
      </c>
      <c r="U299" s="19">
        <f>(M299-Settings!$D$25)/Settings!$E$25</f>
        <v>0.24123322802638805</v>
      </c>
      <c r="V299" s="31">
        <f>Settings!$B$18*(N299-F$6)^2</f>
        <v>1.0190264304922175E-2</v>
      </c>
      <c r="W299" s="31">
        <f>Settings!$B$19*(O299-G$6)^2</f>
        <v>0.71186002542758287</v>
      </c>
      <c r="X299" s="31">
        <f>Settings!$B$20*(P299-H$6)^2</f>
        <v>7.2179434362134406E-2</v>
      </c>
      <c r="Y299" s="31">
        <f>Settings!$B$21*(Q299-I$6)^2</f>
        <v>3.3612833607858543E-2</v>
      </c>
      <c r="Z299" s="31">
        <f>Settings!$B$22*(R299-J$6)^2</f>
        <v>0.20191586854230006</v>
      </c>
      <c r="AA299" s="31">
        <f>Settings!$B$23*(S299-K$6)^2</f>
        <v>7.5092755659100829</v>
      </c>
      <c r="AB299" s="31">
        <f>Settings!$B$24*(T299-L$6)^2</f>
        <v>0.58512043864865892</v>
      </c>
      <c r="AC299" s="31">
        <f>Settings!$B$25*(U299-M$6)^2</f>
        <v>7.2414150402803337</v>
      </c>
      <c r="AD299" s="19">
        <f t="shared" si="16"/>
        <v>4.0454381061986195</v>
      </c>
      <c r="AE299" s="15">
        <f t="shared" si="17"/>
        <v>1.6012577445759206</v>
      </c>
      <c r="AF299" s="33">
        <f t="shared" si="18"/>
        <v>0.27747812373732195</v>
      </c>
      <c r="AG299" s="47">
        <f t="shared" si="19"/>
        <v>1.6358671000012953E-3</v>
      </c>
      <c r="AH299" s="48"/>
      <c r="AI299" s="48"/>
      <c r="AJ299" s="48"/>
      <c r="AK299" s="48"/>
      <c r="AL299" s="48"/>
      <c r="AM299" s="48"/>
      <c r="AN299" s="48"/>
      <c r="AO299" s="48"/>
      <c r="AP299" s="48"/>
      <c r="AQ299" s="48"/>
    </row>
    <row r="300" spans="1:43" ht="20" customHeight="1" x14ac:dyDescent="0.45">
      <c r="A300" s="26">
        <v>290</v>
      </c>
      <c r="B300" s="16" t="s">
        <v>456</v>
      </c>
      <c r="C300" s="16" t="s">
        <v>220</v>
      </c>
      <c r="D300" s="46">
        <v>29</v>
      </c>
      <c r="E300" s="46">
        <v>1</v>
      </c>
      <c r="F300" s="13">
        <v>-0.1473345034499649</v>
      </c>
      <c r="G300" s="13">
        <v>-0.38293276305105589</v>
      </c>
      <c r="H300" s="13">
        <v>5.1304691405588833E-2</v>
      </c>
      <c r="I300" s="13">
        <v>9.5074244954764728E-2</v>
      </c>
      <c r="J300" s="13">
        <v>0.3233537971386255</v>
      </c>
      <c r="K300" s="13">
        <v>16.481203007518779</v>
      </c>
      <c r="L300" s="13">
        <v>-0.1244222126285225</v>
      </c>
      <c r="M300" s="13">
        <v>1.5893155568292689</v>
      </c>
      <c r="N300" s="19">
        <f>(F300-Settings!$D$18)/Settings!$E$18</f>
        <v>-1.2156110711270294</v>
      </c>
      <c r="O300" s="19">
        <f>(G300-Settings!$D$19)/Settings!$E$19</f>
        <v>-1.5676757112584123</v>
      </c>
      <c r="P300" s="19">
        <f>(H300-Settings!$D$20)/Settings!$E$20</f>
        <v>-1.6512240842033194E-2</v>
      </c>
      <c r="Q300" s="19">
        <f>(I300-Settings!$D$21)/Settings!$E$21</f>
        <v>1.2053663542420405</v>
      </c>
      <c r="R300" s="19">
        <f>(J300-Settings!$D$22)/Settings!$E$22</f>
        <v>0.20311630799512323</v>
      </c>
      <c r="S300" s="19">
        <f>(K300-Settings!$D$23)/Settings!$E$23</f>
        <v>0.42575861482966904</v>
      </c>
      <c r="T300" s="19">
        <f>(L300-Settings!$D$24)/Settings!$E$24</f>
        <v>-0.99049705312747627</v>
      </c>
      <c r="U300" s="19">
        <f>(M300-Settings!$D$25)/Settings!$E$25</f>
        <v>1.1078223705468699</v>
      </c>
      <c r="V300" s="31">
        <f>Settings!$B$18*(N300-F$6)^2</f>
        <v>0.74993664743957256</v>
      </c>
      <c r="W300" s="31">
        <f>Settings!$B$19*(O300-G$6)^2</f>
        <v>0.44938021346772372</v>
      </c>
      <c r="X300" s="31">
        <f>Settings!$B$20*(P300-H$6)^2</f>
        <v>3.5055953869463051E-3</v>
      </c>
      <c r="Y300" s="31">
        <f>Settings!$B$21*(Q300-I$6)^2</f>
        <v>0.12030930434183423</v>
      </c>
      <c r="Z300" s="31">
        <f>Settings!$B$22*(R300-J$6)^2</f>
        <v>3.793440605547875E-2</v>
      </c>
      <c r="AA300" s="31">
        <f>Settings!$B$23*(S300-K$6)^2</f>
        <v>0.51972630703819589</v>
      </c>
      <c r="AB300" s="31">
        <f>Settings!$B$24*(T300-L$6)^2</f>
        <v>1.9164900185529017</v>
      </c>
      <c r="AC300" s="31">
        <f>Settings!$B$25*(U300-M$6)^2</f>
        <v>12.656353306045879</v>
      </c>
      <c r="AD300" s="19">
        <f t="shared" si="16"/>
        <v>4.0563081488378732</v>
      </c>
      <c r="AE300" s="15">
        <f t="shared" si="17"/>
        <v>1.6055603045219757</v>
      </c>
      <c r="AF300" s="33">
        <f t="shared" si="18"/>
        <v>0.27557045564158944</v>
      </c>
      <c r="AG300" s="47">
        <f t="shared" si="19"/>
        <v>1.6246204783451491E-3</v>
      </c>
      <c r="AH300" s="18">
        <v>0.85904310234318704</v>
      </c>
      <c r="AI300" s="46">
        <v>1</v>
      </c>
      <c r="AJ300" s="18">
        <v>0.16468422658251011</v>
      </c>
      <c r="AK300" s="46">
        <v>1</v>
      </c>
      <c r="AL300" s="18">
        <v>0.47794675210518389</v>
      </c>
      <c r="AM300" s="46">
        <v>1</v>
      </c>
      <c r="AN300" s="18">
        <v>9.7799587454338921E-2</v>
      </c>
      <c r="AO300" s="46">
        <v>1</v>
      </c>
      <c r="AP300" s="48"/>
      <c r="AQ300" s="48"/>
    </row>
    <row r="301" spans="1:43" ht="20" customHeight="1" x14ac:dyDescent="0.45">
      <c r="A301" s="26">
        <v>291</v>
      </c>
      <c r="B301" s="16" t="s">
        <v>679</v>
      </c>
      <c r="C301" s="16" t="s">
        <v>234</v>
      </c>
      <c r="D301" s="46">
        <v>29</v>
      </c>
      <c r="E301" s="46">
        <v>1</v>
      </c>
      <c r="F301" s="13">
        <v>0.1114020355766175</v>
      </c>
      <c r="G301" s="13">
        <v>-0.33206300940881078</v>
      </c>
      <c r="H301" s="13">
        <v>-3.4250174350880869E-3</v>
      </c>
      <c r="I301" s="13">
        <v>1.7661906660489859E-2</v>
      </c>
      <c r="J301" s="13">
        <v>0.53544803091899373</v>
      </c>
      <c r="K301" s="13">
        <v>14.906400966183551</v>
      </c>
      <c r="L301" s="13">
        <v>0.21065125699865489</v>
      </c>
      <c r="M301" s="13">
        <v>1.6486045546247341</v>
      </c>
      <c r="N301" s="19">
        <f>(F301-Settings!$D$18)/Settings!$E$18</f>
        <v>-0.28960912715928111</v>
      </c>
      <c r="O301" s="19">
        <f>(G301-Settings!$D$19)/Settings!$E$19</f>
        <v>-1.3557458339147228</v>
      </c>
      <c r="P301" s="19">
        <f>(H301-Settings!$D$20)/Settings!$E$20</f>
        <v>-0.51237392736143039</v>
      </c>
      <c r="Q301" s="19">
        <f>(I301-Settings!$D$21)/Settings!$E$21</f>
        <v>0.25340302245000618</v>
      </c>
      <c r="R301" s="19">
        <f>(J301-Settings!$D$22)/Settings!$E$22</f>
        <v>0.77376582950177852</v>
      </c>
      <c r="S301" s="19">
        <f>(K301-Settings!$D$23)/Settings!$E$23</f>
        <v>-0.12113391174224931</v>
      </c>
      <c r="T301" s="19">
        <f>(L301-Settings!$D$24)/Settings!$E$24</f>
        <v>-0.75884243559737985</v>
      </c>
      <c r="U301" s="19">
        <f>(M301-Settings!$D$25)/Settings!$E$25</f>
        <v>1.1478075309915061</v>
      </c>
      <c r="V301" s="31">
        <f>Settings!$B$18*(N301-F$6)^2</f>
        <v>0.20418484088332656</v>
      </c>
      <c r="W301" s="31">
        <f>Settings!$B$19*(O301-G$6)^2</f>
        <v>0.3312927393387457</v>
      </c>
      <c r="X301" s="31">
        <f>Settings!$B$20*(P301-H$6)^2</f>
        <v>7.8940857122936844E-2</v>
      </c>
      <c r="Y301" s="31">
        <f>Settings!$B$21*(Q301-I$6)^2</f>
        <v>6.2212069151142777E-3</v>
      </c>
      <c r="Z301" s="31">
        <f>Settings!$B$22*(R301-J$6)^2</f>
        <v>3.6523475215728394E-3</v>
      </c>
      <c r="AA301" s="31">
        <f>Settings!$B$23*(S301-K$6)^2</f>
        <v>1.6073497643332395</v>
      </c>
      <c r="AB301" s="31">
        <f>Settings!$B$24*(T301-L$6)^2</f>
        <v>1.3287608478574435</v>
      </c>
      <c r="AC301" s="31">
        <f>Settings!$B$25*(U301-M$6)^2</f>
        <v>12.942452684333523</v>
      </c>
      <c r="AD301" s="19">
        <f t="shared" si="16"/>
        <v>4.0623706488091287</v>
      </c>
      <c r="AE301" s="15">
        <f t="shared" si="17"/>
        <v>1.60795995192125</v>
      </c>
      <c r="AF301" s="33">
        <f t="shared" si="18"/>
        <v>0.27450999597357345</v>
      </c>
      <c r="AG301" s="47">
        <f t="shared" si="19"/>
        <v>1.6183685581634057E-3</v>
      </c>
      <c r="AH301" s="18">
        <v>-0.14256971752912151</v>
      </c>
      <c r="AI301" s="46">
        <v>1</v>
      </c>
      <c r="AJ301" s="18">
        <v>-0.74939538091022251</v>
      </c>
      <c r="AK301" s="46">
        <v>1</v>
      </c>
      <c r="AL301" s="18">
        <v>-0.35610301414141371</v>
      </c>
      <c r="AM301" s="46">
        <v>1</v>
      </c>
      <c r="AN301" s="48"/>
      <c r="AO301" s="48"/>
      <c r="AP301" s="48"/>
      <c r="AQ301" s="48"/>
    </row>
    <row r="302" spans="1:43" ht="20" customHeight="1" x14ac:dyDescent="0.45">
      <c r="A302" s="26">
        <v>292</v>
      </c>
      <c r="B302" s="16" t="s">
        <v>608</v>
      </c>
      <c r="C302" s="16" t="s">
        <v>216</v>
      </c>
      <c r="D302" s="46">
        <v>29</v>
      </c>
      <c r="E302" s="46">
        <v>1</v>
      </c>
      <c r="F302" s="13">
        <v>-0.64367825854127336</v>
      </c>
      <c r="G302" s="13">
        <v>0.11052038459769831</v>
      </c>
      <c r="H302" s="13">
        <v>-2.833845965475988E-3</v>
      </c>
      <c r="I302" s="13">
        <v>5.0576614921364637E-4</v>
      </c>
      <c r="J302" s="13">
        <v>-0.24246174474633839</v>
      </c>
      <c r="K302" s="13">
        <v>14.133958333333309</v>
      </c>
      <c r="L302" s="13">
        <v>-0.2107469931673612</v>
      </c>
      <c r="M302" s="13">
        <v>0.65492948730624745</v>
      </c>
      <c r="N302" s="19">
        <f>(F302-Settings!$D$18)/Settings!$E$18</f>
        <v>-2.9919944293491283</v>
      </c>
      <c r="O302" s="19">
        <f>(G302-Settings!$D$19)/Settings!$E$19</f>
        <v>0.48811299555401805</v>
      </c>
      <c r="P302" s="19">
        <f>(H302-Settings!$D$20)/Settings!$E$20</f>
        <v>-0.50701780016555298</v>
      </c>
      <c r="Q302" s="19">
        <f>(I302-Settings!$D$21)/Settings!$E$21</f>
        <v>4.2428686295447084E-2</v>
      </c>
      <c r="R302" s="19">
        <f>(J302-Settings!$D$22)/Settings!$E$22</f>
        <v>-1.3192370463730143</v>
      </c>
      <c r="S302" s="19">
        <f>(K302-Settings!$D$23)/Settings!$E$23</f>
        <v>-0.38938547100055204</v>
      </c>
      <c r="T302" s="19">
        <f>(L302-Settings!$D$24)/Settings!$E$24</f>
        <v>-1.0501780957398461</v>
      </c>
      <c r="U302" s="19">
        <f>(M302-Settings!$D$25)/Settings!$E$25</f>
        <v>0.47766199853314745</v>
      </c>
      <c r="V302" s="31">
        <f>Settings!$B$18*(N302-F$6)^2</f>
        <v>2.7569667312633594</v>
      </c>
      <c r="W302" s="31">
        <f>Settings!$B$19*(O302-G$6)^2</f>
        <v>6.2010156911045049E-2</v>
      </c>
      <c r="X302" s="31">
        <f>Settings!$B$20*(P302-H$6)^2</f>
        <v>7.7600589367365524E-2</v>
      </c>
      <c r="Y302" s="31">
        <f>Settings!$B$21*(Q302-I$6)^2</f>
        <v>3.0006976587185409E-2</v>
      </c>
      <c r="Z302" s="31">
        <f>Settings!$B$22*(R302-J$6)^2</f>
        <v>0.76664854330302845</v>
      </c>
      <c r="AA302" s="31">
        <f>Settings!$B$23*(S302-K$6)^2</f>
        <v>2.3594942833988544</v>
      </c>
      <c r="AB302" s="31">
        <f>Settings!$B$24*(T302-L$6)^2</f>
        <v>2.0852935544286813</v>
      </c>
      <c r="AC302" s="31">
        <f>Settings!$B$25*(U302-M$6)^2</f>
        <v>8.5697674514979045</v>
      </c>
      <c r="AD302" s="19">
        <f t="shared" si="16"/>
        <v>4.0875161512534017</v>
      </c>
      <c r="AE302" s="15">
        <f t="shared" si="17"/>
        <v>1.6179129976663942</v>
      </c>
      <c r="AF302" s="33">
        <f t="shared" si="18"/>
        <v>0.2701382986205747</v>
      </c>
      <c r="AG302" s="47">
        <f t="shared" si="19"/>
        <v>1.5925952980064954E-3</v>
      </c>
      <c r="AH302" s="18">
        <v>0.12774935142793559</v>
      </c>
      <c r="AI302" s="46">
        <v>1</v>
      </c>
      <c r="AJ302" s="18">
        <v>-0.39248715070068141</v>
      </c>
      <c r="AK302" s="46">
        <v>1</v>
      </c>
      <c r="AL302" s="48"/>
      <c r="AM302" s="48"/>
      <c r="AN302" s="48"/>
      <c r="AO302" s="48"/>
      <c r="AP302" s="48"/>
      <c r="AQ302" s="48"/>
    </row>
    <row r="303" spans="1:43" ht="20" customHeight="1" x14ac:dyDescent="0.45">
      <c r="A303" s="26">
        <v>293</v>
      </c>
      <c r="B303" s="16" t="s">
        <v>483</v>
      </c>
      <c r="C303" s="16" t="s">
        <v>214</v>
      </c>
      <c r="D303" s="46">
        <v>29</v>
      </c>
      <c r="E303" s="46">
        <v>1</v>
      </c>
      <c r="F303" s="13">
        <v>0.40271511790096759</v>
      </c>
      <c r="G303" s="13">
        <v>-2.8159026426315681E-2</v>
      </c>
      <c r="H303" s="13">
        <v>0.17182559046790019</v>
      </c>
      <c r="I303" s="13">
        <v>-4.4877636349937343E-3</v>
      </c>
      <c r="J303" s="13">
        <v>0.39281250156982278</v>
      </c>
      <c r="K303" s="13">
        <v>16.008955223880619</v>
      </c>
      <c r="L303" s="13">
        <v>2.9256262888193199</v>
      </c>
      <c r="M303" s="13">
        <v>2.0895367716618591</v>
      </c>
      <c r="N303" s="19">
        <f>(F303-Settings!$D$18)/Settings!$E$18</f>
        <v>0.75298223450328761</v>
      </c>
      <c r="O303" s="19">
        <f>(G303-Settings!$D$19)/Settings!$E$19</f>
        <v>-8.964310633531801E-2</v>
      </c>
      <c r="P303" s="19">
        <f>(H303-Settings!$D$20)/Settings!$E$20</f>
        <v>1.0754302806108655</v>
      </c>
      <c r="Q303" s="19">
        <f>(I303-Settings!$D$21)/Settings!$E$21</f>
        <v>-1.897828519669785E-2</v>
      </c>
      <c r="R303" s="19">
        <f>(J303-Settings!$D$22)/Settings!$E$22</f>
        <v>0.38999822242368865</v>
      </c>
      <c r="S303" s="19">
        <f>(K303-Settings!$D$23)/Settings!$E$23</f>
        <v>0.26175782185197932</v>
      </c>
      <c r="T303" s="19">
        <f>(L303-Settings!$D$24)/Settings!$E$24</f>
        <v>1.1181683086431875</v>
      </c>
      <c r="U303" s="19">
        <f>(M303-Settings!$D$25)/Settings!$E$25</f>
        <v>1.4451771290451125</v>
      </c>
      <c r="V303" s="31">
        <f>Settings!$B$18*(N303-F$6)^2</f>
        <v>2.0715453106832246E-4</v>
      </c>
      <c r="W303" s="31">
        <f>Settings!$B$19*(O303-G$6)^2</f>
        <v>8.764698699011001E-5</v>
      </c>
      <c r="X303" s="31">
        <f>Settings!$B$20*(P303-H$6)^2</f>
        <v>0.18414695465181855</v>
      </c>
      <c r="Y303" s="31">
        <f>Settings!$B$21*(Q303-I$6)^2</f>
        <v>4.0275373022333978E-2</v>
      </c>
      <c r="Z303" s="31">
        <f>Settings!$B$22*(R303-J$6)^2</f>
        <v>1.2363535534456224E-2</v>
      </c>
      <c r="AA303" s="31">
        <f>Settings!$B$23*(S303-K$6)^2</f>
        <v>0.78308562076980515</v>
      </c>
      <c r="AB303" s="31">
        <f>Settings!$B$24*(T303-L$6)^2</f>
        <v>0.52459868478179084</v>
      </c>
      <c r="AC303" s="31">
        <f>Settings!$B$25*(U303-M$6)^2</f>
        <v>15.170492522150345</v>
      </c>
      <c r="AD303" s="19">
        <f t="shared" si="16"/>
        <v>4.0884297098554363</v>
      </c>
      <c r="AE303" s="15">
        <f t="shared" si="17"/>
        <v>1.6182746007235242</v>
      </c>
      <c r="AF303" s="33">
        <f t="shared" si="18"/>
        <v>0.26998028486361181</v>
      </c>
      <c r="AG303" s="47">
        <f t="shared" si="19"/>
        <v>1.5916637308512845E-3</v>
      </c>
      <c r="AH303" s="48"/>
      <c r="AI303" s="48"/>
      <c r="AJ303" s="48"/>
      <c r="AK303" s="48"/>
      <c r="AL303" s="48"/>
      <c r="AM303" s="48"/>
      <c r="AN303" s="48"/>
      <c r="AO303" s="48"/>
      <c r="AP303" s="48"/>
      <c r="AQ303" s="48"/>
    </row>
    <row r="304" spans="1:43" ht="20" customHeight="1" x14ac:dyDescent="0.45">
      <c r="A304" s="26">
        <v>294</v>
      </c>
      <c r="B304" s="16" t="s">
        <v>457</v>
      </c>
      <c r="C304" s="16" t="s">
        <v>271</v>
      </c>
      <c r="D304" s="46">
        <v>29</v>
      </c>
      <c r="E304" s="46">
        <v>1</v>
      </c>
      <c r="F304" s="13">
        <v>0.39444446507067782</v>
      </c>
      <c r="G304" s="13">
        <v>0.12692174040071691</v>
      </c>
      <c r="H304" s="13">
        <v>7.6400222105039134E-2</v>
      </c>
      <c r="I304" s="13">
        <v>-2.3523337272971451E-5</v>
      </c>
      <c r="J304" s="13">
        <v>0.4022100490862931</v>
      </c>
      <c r="K304" s="13">
        <v>11.07607526881721</v>
      </c>
      <c r="L304" s="13">
        <v>1.4679109606772269</v>
      </c>
      <c r="M304" s="13">
        <v>1.0095197735943191</v>
      </c>
      <c r="N304" s="19">
        <f>(F304-Settings!$D$18)/Settings!$E$18</f>
        <v>0.7233820836025141</v>
      </c>
      <c r="O304" s="19">
        <f>(G304-Settings!$D$19)/Settings!$E$19</f>
        <v>0.55644313428536285</v>
      </c>
      <c r="P304" s="19">
        <f>(H304-Settings!$D$20)/Settings!$E$20</f>
        <v>0.21085809311961964</v>
      </c>
      <c r="Q304" s="19">
        <f>(I304-Settings!$D$21)/Settings!$E$21</f>
        <v>3.591985069971932E-2</v>
      </c>
      <c r="R304" s="19">
        <f>(J304-Settings!$D$22)/Settings!$E$22</f>
        <v>0.41528276645878548</v>
      </c>
      <c r="S304" s="19">
        <f>(K304-Settings!$D$23)/Settings!$E$23</f>
        <v>-1.451317924235606</v>
      </c>
      <c r="T304" s="19">
        <f>(L304-Settings!$D$24)/Settings!$E$24</f>
        <v>0.1103699676278708</v>
      </c>
      <c r="U304" s="19">
        <f>(M304-Settings!$D$25)/Settings!$E$25</f>
        <v>0.71680163685610321</v>
      </c>
      <c r="V304" s="31">
        <f>Settings!$B$18*(N304-F$6)^2</f>
        <v>1.3346579740025249E-6</v>
      </c>
      <c r="W304" s="31">
        <f>Settings!$B$19*(O304-G$6)^2</f>
        <v>7.8163049387590014E-2</v>
      </c>
      <c r="X304" s="31">
        <f>Settings!$B$20*(P304-H$6)^2</f>
        <v>1.8041286801737694E-3</v>
      </c>
      <c r="Y304" s="31">
        <f>Settings!$B$21*(Q304-I$6)^2</f>
        <v>3.1023911289869362E-2</v>
      </c>
      <c r="Z304" s="31">
        <f>Settings!$B$22*(R304-J$6)^2</f>
        <v>9.9767824075608046E-3</v>
      </c>
      <c r="AA304" s="31">
        <f>Settings!$B$23*(S304-K$6)^2</f>
        <v>6.7495883977521691</v>
      </c>
      <c r="AB304" s="31">
        <f>Settings!$B$24*(T304-L$6)^2</f>
        <v>8.0375930132575976E-2</v>
      </c>
      <c r="AC304" s="31">
        <f>Settings!$B$25*(U304-M$6)^2</f>
        <v>10.02707787128554</v>
      </c>
      <c r="AD304" s="19">
        <f t="shared" si="16"/>
        <v>4.1204382540687892</v>
      </c>
      <c r="AE304" s="15">
        <f t="shared" si="17"/>
        <v>1.6309441628250179</v>
      </c>
      <c r="AF304" s="33">
        <f t="shared" si="18"/>
        <v>0.26448005654131368</v>
      </c>
      <c r="AG304" s="47">
        <f t="shared" si="19"/>
        <v>1.5592372374263089E-3</v>
      </c>
      <c r="AH304" s="18">
        <v>0.11107214713746651</v>
      </c>
      <c r="AI304" s="46">
        <v>1</v>
      </c>
      <c r="AJ304" s="18">
        <v>-1.013656246839338</v>
      </c>
      <c r="AK304" s="46">
        <v>1</v>
      </c>
      <c r="AL304" s="18">
        <v>-0.23035695321306329</v>
      </c>
      <c r="AM304" s="46">
        <v>1</v>
      </c>
      <c r="AN304" s="48"/>
      <c r="AO304" s="48"/>
      <c r="AP304" s="48"/>
      <c r="AQ304" s="48"/>
    </row>
    <row r="305" spans="1:43" ht="20" customHeight="1" x14ac:dyDescent="0.45">
      <c r="A305" s="26">
        <v>295</v>
      </c>
      <c r="B305" s="16" t="s">
        <v>776</v>
      </c>
      <c r="C305" s="16" t="s">
        <v>271</v>
      </c>
      <c r="D305" s="46">
        <v>29</v>
      </c>
      <c r="E305" s="46">
        <v>1</v>
      </c>
      <c r="F305" s="13">
        <v>0.21435200740848201</v>
      </c>
      <c r="G305" s="13">
        <v>0.14138404779598501</v>
      </c>
      <c r="H305" s="13">
        <v>7.5072647659043146E-4</v>
      </c>
      <c r="I305" s="13">
        <v>0.23918593107428091</v>
      </c>
      <c r="J305" s="13">
        <v>0.40432728724466171</v>
      </c>
      <c r="K305" s="13">
        <v>11.106918238993719</v>
      </c>
      <c r="L305" s="13">
        <v>0.71069032322471204</v>
      </c>
      <c r="M305" s="13">
        <v>0.559720969568686</v>
      </c>
      <c r="N305" s="19">
        <f>(F305-Settings!$D$18)/Settings!$E$18</f>
        <v>7.8842404295799307E-2</v>
      </c>
      <c r="O305" s="19">
        <f>(G305-Settings!$D$19)/Settings!$E$19</f>
        <v>0.61669495020610199</v>
      </c>
      <c r="P305" s="19">
        <f>(H305-Settings!$D$20)/Settings!$E$20</f>
        <v>-0.47454088453370974</v>
      </c>
      <c r="Q305" s="19">
        <f>(I305-Settings!$D$21)/Settings!$E$21</f>
        <v>2.9775520793003993</v>
      </c>
      <c r="R305" s="19">
        <f>(J305-Settings!$D$22)/Settings!$E$22</f>
        <v>0.42097929540468704</v>
      </c>
      <c r="S305" s="19">
        <f>(K305-Settings!$D$23)/Settings!$E$23</f>
        <v>-1.440606870119552</v>
      </c>
      <c r="T305" s="19">
        <f>(L305-Settings!$D$24)/Settings!$E$24</f>
        <v>-0.41313807778716533</v>
      </c>
      <c r="U305" s="19">
        <f>(M305-Settings!$D$25)/Settings!$E$25</f>
        <v>0.4134523137858101</v>
      </c>
      <c r="V305" s="31">
        <f>Settings!$B$18*(N305-F$6)^2</f>
        <v>8.2421605992925237E-2</v>
      </c>
      <c r="W305" s="31">
        <f>Settings!$B$19*(O305-G$6)^2</f>
        <v>9.3955727257130806E-2</v>
      </c>
      <c r="X305" s="31">
        <f>Settings!$B$20*(P305-H$6)^2</f>
        <v>6.9719606335694739E-2</v>
      </c>
      <c r="Y305" s="31">
        <f>Settings!$B$21*(Q305-I$6)^2</f>
        <v>1.298236613527691</v>
      </c>
      <c r="Z305" s="31">
        <f>Settings!$B$22*(R305-J$6)^2</f>
        <v>9.4743512846367957E-3</v>
      </c>
      <c r="AA305" s="31">
        <f>Settings!$B$23*(S305-K$6)^2</f>
        <v>6.6940485515705328</v>
      </c>
      <c r="AB305" s="31">
        <f>Settings!$B$24*(T305-L$6)^2</f>
        <v>0.65127246111254655</v>
      </c>
      <c r="AC305" s="31">
        <f>Settings!$B$25*(U305-M$6)^2</f>
        <v>8.1979533520261363</v>
      </c>
      <c r="AD305" s="19">
        <f t="shared" si="16"/>
        <v>4.1348618198323503</v>
      </c>
      <c r="AE305" s="15">
        <f t="shared" si="17"/>
        <v>1.6366532716475986</v>
      </c>
      <c r="AF305" s="33">
        <f t="shared" si="18"/>
        <v>0.26202457922185857</v>
      </c>
      <c r="AG305" s="47">
        <f t="shared" si="19"/>
        <v>1.5447610167153077E-3</v>
      </c>
      <c r="AH305" s="18">
        <v>8.9162305833918487E-2</v>
      </c>
      <c r="AI305" s="46">
        <v>1</v>
      </c>
      <c r="AJ305" s="48"/>
      <c r="AK305" s="48"/>
      <c r="AL305" s="48"/>
      <c r="AM305" s="48"/>
      <c r="AN305" s="48"/>
      <c r="AO305" s="48"/>
      <c r="AP305" s="48"/>
      <c r="AQ305" s="48"/>
    </row>
    <row r="306" spans="1:43" ht="20" customHeight="1" x14ac:dyDescent="0.45">
      <c r="A306" s="26">
        <v>296</v>
      </c>
      <c r="B306" s="16" t="s">
        <v>817</v>
      </c>
      <c r="C306" s="16" t="s">
        <v>283</v>
      </c>
      <c r="D306" s="46">
        <v>29</v>
      </c>
      <c r="E306" s="46">
        <v>0</v>
      </c>
      <c r="F306" s="13">
        <v>0.38904815492188233</v>
      </c>
      <c r="G306" s="13">
        <v>2.6663495518869328E-2</v>
      </c>
      <c r="H306" s="13">
        <v>4.2383356027463938E-2</v>
      </c>
      <c r="I306" s="13">
        <v>-2.649466660539733E-2</v>
      </c>
      <c r="J306" s="13">
        <v>0.51541032692638711</v>
      </c>
      <c r="K306" s="13">
        <v>19.163616557734251</v>
      </c>
      <c r="L306" s="13">
        <v>3.0772545095666102</v>
      </c>
      <c r="M306" s="13">
        <v>2.2911672577364071</v>
      </c>
      <c r="N306" s="19">
        <f>(F306-Settings!$D$18)/Settings!$E$18</f>
        <v>0.70406902597703469</v>
      </c>
      <c r="O306" s="19">
        <f>(G306-Settings!$D$19)/Settings!$E$19</f>
        <v>0.13875450756360411</v>
      </c>
      <c r="P306" s="19">
        <f>(H306-Settings!$D$20)/Settings!$E$20</f>
        <v>-9.7341254924313489E-2</v>
      </c>
      <c r="Q306" s="19">
        <f>(I306-Settings!$D$21)/Settings!$E$21</f>
        <v>-0.28960393913949822</v>
      </c>
      <c r="R306" s="19">
        <f>(J306-Settings!$D$22)/Settings!$E$22</f>
        <v>0.71985344352284686</v>
      </c>
      <c r="S306" s="19">
        <f>(K306-Settings!$D$23)/Settings!$E$23</f>
        <v>1.3572991420087355</v>
      </c>
      <c r="T306" s="19">
        <f>(L306-Settings!$D$24)/Settings!$E$24</f>
        <v>1.222997191464215</v>
      </c>
      <c r="U306" s="19">
        <f>(M306-Settings!$D$25)/Settings!$E$25</f>
        <v>1.5811589745138761</v>
      </c>
      <c r="V306" s="31">
        <f>Settings!$B$18*(N306-F$6)^2</f>
        <v>5.5977151056928775E-5</v>
      </c>
      <c r="W306" s="31">
        <f>Settings!$B$19*(O306-G$6)^2</f>
        <v>8.60822510673942E-3</v>
      </c>
      <c r="X306" s="31">
        <f>Settings!$B$20*(P306-H$6)^2</f>
        <v>9.0927481616350642E-3</v>
      </c>
      <c r="Y306" s="31">
        <f>Settings!$B$21*(Q306-I$6)^2</f>
        <v>0.10350036331837967</v>
      </c>
      <c r="Z306" s="31">
        <f>Settings!$B$22*(R306-J$6)^2</f>
        <v>1.3194549881657344E-3</v>
      </c>
      <c r="AA306" s="31">
        <f>Settings!$B$23*(S306-K$6)^2</f>
        <v>4.4360813460574515E-2</v>
      </c>
      <c r="AB306" s="31">
        <f>Settings!$B$24*(T306-L$6)^2</f>
        <v>0.68744119051560937</v>
      </c>
      <c r="AC306" s="31">
        <f>Settings!$B$25*(U306-M$6)^2</f>
        <v>16.248263570673231</v>
      </c>
      <c r="AD306" s="19">
        <f t="shared" si="16"/>
        <v>4.1355341061796835</v>
      </c>
      <c r="AE306" s="15">
        <f t="shared" si="17"/>
        <v>1.6369193747721502</v>
      </c>
      <c r="AF306" s="33">
        <f t="shared" si="18"/>
        <v>0.2619104782304888</v>
      </c>
      <c r="AG306" s="47">
        <f t="shared" si="19"/>
        <v>1.5440883364501203E-3</v>
      </c>
      <c r="AH306" s="18">
        <v>1.414390516835883</v>
      </c>
      <c r="AI306" s="46">
        <v>0</v>
      </c>
      <c r="AJ306" s="18">
        <v>-0.24441410691170251</v>
      </c>
      <c r="AK306" s="46">
        <v>0</v>
      </c>
      <c r="AL306" s="18">
        <v>-1.130044111482736</v>
      </c>
      <c r="AM306" s="46">
        <v>0</v>
      </c>
      <c r="AN306" s="18">
        <v>-6.0702676022968749E-2</v>
      </c>
      <c r="AO306" s="46">
        <v>0</v>
      </c>
      <c r="AP306" s="18">
        <v>-0.39250530801619471</v>
      </c>
      <c r="AQ306" s="46">
        <v>0</v>
      </c>
    </row>
    <row r="307" spans="1:43" ht="20" customHeight="1" x14ac:dyDescent="0.45">
      <c r="A307" s="26">
        <v>297</v>
      </c>
      <c r="B307" s="16" t="s">
        <v>329</v>
      </c>
      <c r="C307" s="16" t="s">
        <v>232</v>
      </c>
      <c r="D307" s="46">
        <v>29</v>
      </c>
      <c r="E307" s="46">
        <v>0</v>
      </c>
      <c r="F307" s="13">
        <v>-7.353560745745473E-2</v>
      </c>
      <c r="G307" s="13">
        <v>-0.14971825477574099</v>
      </c>
      <c r="H307" s="13">
        <v>0.34046159371173679</v>
      </c>
      <c r="I307" s="13">
        <v>2.7955705250377591E-2</v>
      </c>
      <c r="J307" s="13">
        <v>0.40832883880468979</v>
      </c>
      <c r="K307" s="13">
        <v>18.907843137254929</v>
      </c>
      <c r="L307" s="13">
        <v>0.76020344703143194</v>
      </c>
      <c r="M307" s="13">
        <v>1.9923372953710381</v>
      </c>
      <c r="N307" s="19">
        <f>(F307-Settings!$D$18)/Settings!$E$18</f>
        <v>-0.95148942287109028</v>
      </c>
      <c r="O307" s="19">
        <f>(G307-Settings!$D$19)/Settings!$E$19</f>
        <v>-0.5960743451273417</v>
      </c>
      <c r="P307" s="19">
        <f>(H307-Settings!$D$20)/Settings!$E$20</f>
        <v>2.6033048983948746</v>
      </c>
      <c r="Q307" s="19">
        <f>(I307-Settings!$D$21)/Settings!$E$21</f>
        <v>0.37998902951744018</v>
      </c>
      <c r="R307" s="19">
        <f>(J307-Settings!$D$22)/Settings!$E$22</f>
        <v>0.43174565827233041</v>
      </c>
      <c r="S307" s="19">
        <f>(K307-Settings!$D$23)/Settings!$E$23</f>
        <v>1.2684749161795148</v>
      </c>
      <c r="T307" s="19">
        <f>(L307-Settings!$D$24)/Settings!$E$24</f>
        <v>-0.37890694701179195</v>
      </c>
      <c r="U307" s="19">
        <f>(M307-Settings!$D$25)/Settings!$E$25</f>
        <v>1.3796247196751508</v>
      </c>
      <c r="V307" s="31">
        <f>Settings!$B$18*(N307-F$6)^2</f>
        <v>0.55930958839573919</v>
      </c>
      <c r="W307" s="31">
        <f>Settings!$B$19*(O307-G$6)^2</f>
        <v>5.5622832010898959E-2</v>
      </c>
      <c r="X307" s="31">
        <f>Settings!$B$20*(P307-H$6)^2</f>
        <v>1.237455504832186</v>
      </c>
      <c r="Y307" s="31">
        <f>Settings!$B$21*(Q307-I$6)^2</f>
        <v>4.9566986500103511E-4</v>
      </c>
      <c r="Z307" s="31">
        <f>Settings!$B$22*(R307-J$6)^2</f>
        <v>8.5602123329944213E-3</v>
      </c>
      <c r="AA307" s="31">
        <f>Settings!$B$23*(S307-K$6)^2</f>
        <v>1.4834227410795351E-2</v>
      </c>
      <c r="AB307" s="31">
        <f>Settings!$B$24*(T307-L$6)^2</f>
        <v>0.59719419119642081</v>
      </c>
      <c r="AC307" s="31">
        <f>Settings!$B$25*(U307-M$6)^2</f>
        <v>14.664145333153158</v>
      </c>
      <c r="AD307" s="19">
        <f t="shared" si="16"/>
        <v>4.1397605678586284</v>
      </c>
      <c r="AE307" s="15">
        <f t="shared" si="17"/>
        <v>1.6385922849287027</v>
      </c>
      <c r="AF307" s="33">
        <f t="shared" si="18"/>
        <v>0.26119387322515708</v>
      </c>
      <c r="AG307" s="47">
        <f t="shared" si="19"/>
        <v>1.5398636050149741E-3</v>
      </c>
      <c r="AH307" s="18">
        <v>1.102173431034299</v>
      </c>
      <c r="AI307" s="46">
        <v>0</v>
      </c>
      <c r="AJ307" s="18">
        <v>0.19896604499545931</v>
      </c>
      <c r="AK307" s="46">
        <v>0</v>
      </c>
      <c r="AL307" s="18">
        <v>0.29140819766407589</v>
      </c>
      <c r="AM307" s="46">
        <v>1</v>
      </c>
      <c r="AN307" s="18">
        <v>-0.98831734003093108</v>
      </c>
      <c r="AO307" s="46">
        <v>1</v>
      </c>
      <c r="AP307" s="18">
        <v>-0.80811448677054587</v>
      </c>
      <c r="AQ307" s="46">
        <v>1</v>
      </c>
    </row>
    <row r="308" spans="1:43" ht="20" customHeight="1" x14ac:dyDescent="0.45">
      <c r="A308" s="26">
        <v>298</v>
      </c>
      <c r="B308" s="16" t="s">
        <v>372</v>
      </c>
      <c r="C308" s="16" t="s">
        <v>271</v>
      </c>
      <c r="D308" s="46">
        <v>29</v>
      </c>
      <c r="E308" s="46">
        <v>1</v>
      </c>
      <c r="F308" s="13">
        <v>5.5409363817688462E-2</v>
      </c>
      <c r="G308" s="13">
        <v>-0.19589434075862819</v>
      </c>
      <c r="H308" s="13">
        <v>3.6458828294356649E-2</v>
      </c>
      <c r="I308" s="13">
        <v>-1.8780644229198301E-4</v>
      </c>
      <c r="J308" s="13">
        <v>0.71204966068703468</v>
      </c>
      <c r="K308" s="13">
        <v>17.49623983739842</v>
      </c>
      <c r="L308" s="13">
        <v>1.703737036229896</v>
      </c>
      <c r="M308" s="13">
        <v>2.344504623175288</v>
      </c>
      <c r="N308" s="19">
        <f>(F308-Settings!$D$18)/Settings!$E$18</f>
        <v>-0.49000340889383492</v>
      </c>
      <c r="O308" s="19">
        <f>(G308-Settings!$D$19)/Settings!$E$19</f>
        <v>-0.78844980476467763</v>
      </c>
      <c r="P308" s="19">
        <f>(H308-Settings!$D$20)/Settings!$E$20</f>
        <v>-0.15101861546210776</v>
      </c>
      <c r="Q308" s="19">
        <f>(I308-Settings!$D$21)/Settings!$E$21</f>
        <v>3.38996108328323E-2</v>
      </c>
      <c r="R308" s="19">
        <f>(J308-Settings!$D$22)/Settings!$E$22</f>
        <v>1.2489208289007117</v>
      </c>
      <c r="S308" s="19">
        <f>(K308-Settings!$D$23)/Settings!$E$23</f>
        <v>0.77825755875138292</v>
      </c>
      <c r="T308" s="19">
        <f>(L308-Settings!$D$24)/Settings!$E$24</f>
        <v>0.27340943296233</v>
      </c>
      <c r="U308" s="19">
        <f>(M308-Settings!$D$25)/Settings!$E$25</f>
        <v>1.6171302878109104</v>
      </c>
      <c r="V308" s="31">
        <f>Settings!$B$18*(N308-F$6)^2</f>
        <v>0.29320840384011437</v>
      </c>
      <c r="W308" s="31">
        <f>Settings!$B$19*(O308-G$6)^2</f>
        <v>0.10360535232868882</v>
      </c>
      <c r="X308" s="31">
        <f>Settings!$B$20*(P308-H$6)^2</f>
        <v>1.4247083653826759E-2</v>
      </c>
      <c r="Y308" s="31">
        <f>Settings!$B$21*(Q308-I$6)^2</f>
        <v>3.1342997931164282E-2</v>
      </c>
      <c r="Z308" s="31">
        <f>Settings!$B$22*(R308-J$6)^2</f>
        <v>7.4491019987283344E-2</v>
      </c>
      <c r="AA308" s="31">
        <f>Settings!$B$23*(S308-K$6)^2</f>
        <v>0.13573441217640969</v>
      </c>
      <c r="AB308" s="31">
        <f>Settings!$B$24*(T308-L$6)^2</f>
        <v>1.4512304142440422E-2</v>
      </c>
      <c r="AC308" s="31">
        <f>Settings!$B$25*(U308-M$6)^2</f>
        <v>16.539552010158378</v>
      </c>
      <c r="AD308" s="19">
        <f t="shared" si="16"/>
        <v>4.1480951754050084</v>
      </c>
      <c r="AE308" s="15">
        <f t="shared" si="17"/>
        <v>1.6418912736985944</v>
      </c>
      <c r="AF308" s="33">
        <f t="shared" si="18"/>
        <v>0.25978433386255334</v>
      </c>
      <c r="AG308" s="47">
        <f t="shared" si="19"/>
        <v>1.5315536920085598E-3</v>
      </c>
      <c r="AH308" s="18">
        <v>0.76551856824832765</v>
      </c>
      <c r="AI308" s="46">
        <v>1</v>
      </c>
      <c r="AJ308" s="18">
        <v>-0.61752802300758791</v>
      </c>
      <c r="AK308" s="46">
        <v>1</v>
      </c>
      <c r="AL308" s="18">
        <v>-1.3471982945940379</v>
      </c>
      <c r="AM308" s="46">
        <v>1</v>
      </c>
      <c r="AN308" s="18">
        <v>-0.72403949393720568</v>
      </c>
      <c r="AO308" s="46">
        <v>1</v>
      </c>
      <c r="AP308" s="18">
        <v>0.2297312154418186</v>
      </c>
      <c r="AQ308" s="46">
        <v>1</v>
      </c>
    </row>
    <row r="309" spans="1:43" ht="20" customHeight="1" x14ac:dyDescent="0.45">
      <c r="A309" s="26">
        <v>299</v>
      </c>
      <c r="B309" s="16" t="s">
        <v>492</v>
      </c>
      <c r="C309" s="16" t="s">
        <v>229</v>
      </c>
      <c r="D309" s="46">
        <v>29</v>
      </c>
      <c r="E309" s="46">
        <v>1</v>
      </c>
      <c r="F309" s="13">
        <v>0.32518611576699891</v>
      </c>
      <c r="G309" s="13">
        <v>0.180653914229577</v>
      </c>
      <c r="H309" s="13">
        <v>1.872945433275924E-5</v>
      </c>
      <c r="I309" s="13">
        <v>0.1558243586431024</v>
      </c>
      <c r="J309" s="13">
        <v>-0.33831688190598908</v>
      </c>
      <c r="K309" s="13">
        <v>13.73512304250562</v>
      </c>
      <c r="L309" s="13">
        <v>0.65324693199357098</v>
      </c>
      <c r="M309" s="13">
        <v>1.453857907737647</v>
      </c>
      <c r="N309" s="19">
        <f>(F309-Settings!$D$18)/Settings!$E$18</f>
        <v>0.47551076889572275</v>
      </c>
      <c r="O309" s="19">
        <f>(G309-Settings!$D$19)/Settings!$E$19</f>
        <v>0.78029821895994911</v>
      </c>
      <c r="P309" s="19">
        <f>(H309-Settings!$D$20)/Settings!$E$20</f>
        <v>-0.48117291831705217</v>
      </c>
      <c r="Q309" s="19">
        <f>(I309-Settings!$D$21)/Settings!$E$21</f>
        <v>1.9524291856688989</v>
      </c>
      <c r="R309" s="19">
        <f>(J309-Settings!$D$22)/Settings!$E$22</f>
        <v>-1.5771398058169748</v>
      </c>
      <c r="S309" s="19">
        <f>(K309-Settings!$D$23)/Settings!$E$23</f>
        <v>-0.52789179380279017</v>
      </c>
      <c r="T309" s="19">
        <f>(L309-Settings!$D$24)/Settings!$E$24</f>
        <v>-0.45285183620584246</v>
      </c>
      <c r="U309" s="19">
        <f>(M309-Settings!$D$25)/Settings!$E$25</f>
        <v>1.0164682233395441</v>
      </c>
      <c r="V309" s="31">
        <f>Settings!$B$18*(N309-F$6)^2</f>
        <v>1.2033244861707797E-2</v>
      </c>
      <c r="W309" s="31">
        <f>Settings!$B$19*(O309-G$6)^2</f>
        <v>0.1441626667624549</v>
      </c>
      <c r="X309" s="31">
        <f>Settings!$B$20*(P309-H$6)^2</f>
        <v>7.1294682331242559E-2</v>
      </c>
      <c r="Y309" s="31">
        <f>Settings!$B$21*(Q309-I$6)^2</f>
        <v>0.46369694935781286</v>
      </c>
      <c r="Z309" s="31">
        <f>Settings!$B$22*(R309-J$6)^2</f>
        <v>0.98192701827259998</v>
      </c>
      <c r="AA309" s="31">
        <f>Settings!$B$23*(S309-K$6)^2</f>
        <v>2.8041875880135807</v>
      </c>
      <c r="AB309" s="31">
        <f>Settings!$B$24*(T309-L$6)^2</f>
        <v>0.71694880435643571</v>
      </c>
      <c r="AC309" s="31">
        <f>Settings!$B$25*(U309-M$6)^2</f>
        <v>12.014700081007458</v>
      </c>
      <c r="AD309" s="19">
        <f t="shared" si="16"/>
        <v>4.148367273393629</v>
      </c>
      <c r="AE309" s="15">
        <f t="shared" si="17"/>
        <v>1.6419989750155162</v>
      </c>
      <c r="AF309" s="33">
        <f t="shared" si="18"/>
        <v>0.25973839775308705</v>
      </c>
      <c r="AG309" s="47">
        <f t="shared" si="19"/>
        <v>1.5312828765324932E-3</v>
      </c>
      <c r="AH309" s="18">
        <v>0.47509067581670772</v>
      </c>
      <c r="AI309" s="46">
        <v>1</v>
      </c>
      <c r="AJ309" s="18">
        <v>-7.5782342902428024E-2</v>
      </c>
      <c r="AK309" s="46">
        <v>1</v>
      </c>
      <c r="AL309" s="48"/>
      <c r="AM309" s="48"/>
      <c r="AN309" s="48"/>
      <c r="AO309" s="48"/>
      <c r="AP309" s="48"/>
      <c r="AQ309" s="48"/>
    </row>
    <row r="310" spans="1:43" ht="20" customHeight="1" x14ac:dyDescent="0.45">
      <c r="A310" s="26">
        <v>300</v>
      </c>
      <c r="B310" s="16" t="s">
        <v>432</v>
      </c>
      <c r="C310" s="16" t="s">
        <v>271</v>
      </c>
      <c r="D310" s="46">
        <v>29</v>
      </c>
      <c r="E310" s="46">
        <v>1</v>
      </c>
      <c r="F310" s="13">
        <v>0.71077900710474207</v>
      </c>
      <c r="G310" s="13">
        <v>1.0670743524134701E-2</v>
      </c>
      <c r="H310" s="13">
        <v>3.9391373904955739E-3</v>
      </c>
      <c r="I310" s="13">
        <v>-5.5796223167420098E-2</v>
      </c>
      <c r="J310" s="13">
        <v>-0.2188148888132074</v>
      </c>
      <c r="K310" s="13">
        <v>13.63289183222958</v>
      </c>
      <c r="L310" s="13">
        <v>3.5897887025808477E-2</v>
      </c>
      <c r="M310" s="13">
        <v>1.362787961914663</v>
      </c>
      <c r="N310" s="19">
        <f>(F310-Settings!$D$18)/Settings!$E$18</f>
        <v>1.855523689769689</v>
      </c>
      <c r="O310" s="19">
        <f>(G310-Settings!$D$19)/Settings!$E$19</f>
        <v>7.2126664376696001E-2</v>
      </c>
      <c r="P310" s="19">
        <f>(H310-Settings!$D$20)/Settings!$E$20</f>
        <v>-0.44565326852814463</v>
      </c>
      <c r="Q310" s="19">
        <f>(I310-Settings!$D$21)/Settings!$E$21</f>
        <v>-0.64993419173359768</v>
      </c>
      <c r="R310" s="19">
        <f>(J310-Settings!$D$22)/Settings!$E$22</f>
        <v>-1.2556140671771177</v>
      </c>
      <c r="S310" s="19">
        <f>(K310-Settings!$D$23)/Settings!$E$23</f>
        <v>-0.56339434168808789</v>
      </c>
      <c r="T310" s="19">
        <f>(L310-Settings!$D$24)/Settings!$E$24</f>
        <v>-0.87965899898629374</v>
      </c>
      <c r="U310" s="19">
        <f>(M310-Settings!$D$25)/Settings!$E$25</f>
        <v>0.9550496375847537</v>
      </c>
      <c r="V310" s="31">
        <f>Settings!$B$18*(N310-F$6)^2</f>
        <v>0.25752010944362219</v>
      </c>
      <c r="W310" s="31">
        <f>Settings!$B$19*(O310-G$6)^2</f>
        <v>3.9669393923809785E-3</v>
      </c>
      <c r="X310" s="31">
        <f>Settings!$B$20*(P310-H$6)^2</f>
        <v>6.306415264171876E-2</v>
      </c>
      <c r="Y310" s="31">
        <f>Settings!$B$21*(Q310-I$6)^2</f>
        <v>0.23315311454064541</v>
      </c>
      <c r="Z310" s="31">
        <f>Settings!$B$22*(R310-J$6)^2</f>
        <v>0.71763199051090565</v>
      </c>
      <c r="AA310" s="31">
        <f>Settings!$B$23*(S310-K$6)^2</f>
        <v>2.924351083693371</v>
      </c>
      <c r="AB310" s="31">
        <f>Settings!$B$24*(T310-L$6)^2</f>
        <v>1.6218925604234387</v>
      </c>
      <c r="AC310" s="31">
        <f>Settings!$B$25*(U310-M$6)^2</f>
        <v>11.592691326520288</v>
      </c>
      <c r="AD310" s="19">
        <f t="shared" si="16"/>
        <v>4.1730410107218416</v>
      </c>
      <c r="AE310" s="15">
        <f t="shared" si="17"/>
        <v>1.6517652875748146</v>
      </c>
      <c r="AF310" s="33">
        <f t="shared" si="18"/>
        <v>0.25559419126467298</v>
      </c>
      <c r="AG310" s="47">
        <f t="shared" si="19"/>
        <v>1.506850784522147E-3</v>
      </c>
      <c r="AH310" s="18">
        <v>1.686248819294881</v>
      </c>
      <c r="AI310" s="46">
        <v>1</v>
      </c>
      <c r="AJ310" s="48"/>
      <c r="AK310" s="48"/>
      <c r="AL310" s="48"/>
      <c r="AM310" s="48"/>
      <c r="AN310" s="48"/>
      <c r="AO310" s="48"/>
      <c r="AP310" s="48"/>
      <c r="AQ310" s="48"/>
    </row>
    <row r="311" spans="1:43" ht="20" customHeight="1" x14ac:dyDescent="0.45">
      <c r="A311" s="26">
        <v>301</v>
      </c>
      <c r="B311" s="16" t="s">
        <v>340</v>
      </c>
      <c r="C311" s="16" t="s">
        <v>271</v>
      </c>
      <c r="D311" s="46">
        <v>29</v>
      </c>
      <c r="E311" s="46">
        <v>1</v>
      </c>
      <c r="F311" s="13">
        <v>0.29050076203601188</v>
      </c>
      <c r="G311" s="13">
        <v>-0.1371301000865475</v>
      </c>
      <c r="H311" s="13">
        <v>-0.26287123498060527</v>
      </c>
      <c r="I311" s="13">
        <v>-3.2318455289367908E-2</v>
      </c>
      <c r="J311" s="13">
        <v>-0.27717944760746732</v>
      </c>
      <c r="K311" s="13">
        <v>17.992243186582829</v>
      </c>
      <c r="L311" s="13">
        <v>-0.90011035389815397</v>
      </c>
      <c r="M311" s="13">
        <v>1.2132422036936119</v>
      </c>
      <c r="N311" s="19">
        <f>(F311-Settings!$D$18)/Settings!$E$18</f>
        <v>0.35137405012016887</v>
      </c>
      <c r="O311" s="19">
        <f>(G311-Settings!$D$19)/Settings!$E$19</f>
        <v>-0.54363048825266103</v>
      </c>
      <c r="P311" s="19">
        <f>(H311-Settings!$D$20)/Settings!$E$20</f>
        <v>-2.8630065493567094</v>
      </c>
      <c r="Q311" s="19">
        <f>(I311-Settings!$D$21)/Settings!$E$21</f>
        <v>-0.36122085966410916</v>
      </c>
      <c r="R311" s="19">
        <f>(J311-Settings!$D$22)/Settings!$E$22</f>
        <v>-1.4126466604506376</v>
      </c>
      <c r="S311" s="19">
        <f>(K311-Settings!$D$23)/Settings!$E$23</f>
        <v>0.95050811323606033</v>
      </c>
      <c r="T311" s="19">
        <f>(L311-Settings!$D$24)/Settings!$E$24</f>
        <v>-1.5267726940738737</v>
      </c>
      <c r="U311" s="19">
        <f>(M311-Settings!$D$25)/Settings!$E$25</f>
        <v>0.854194312674187</v>
      </c>
      <c r="V311" s="31">
        <f>Settings!$B$18*(N311-F$6)^2</f>
        <v>2.7294931003844027E-2</v>
      </c>
      <c r="W311" s="31">
        <f>Settings!$B$19*(O311-G$6)^2</f>
        <v>4.5110075501965614E-2</v>
      </c>
      <c r="X311" s="31">
        <f>Settings!$B$20*(P311-H$6)^2</f>
        <v>1.7747542365562208</v>
      </c>
      <c r="Y311" s="31">
        <f>Settings!$B$21*(Q311-I$6)^2</f>
        <v>0.12513395725264811</v>
      </c>
      <c r="Z311" s="31">
        <f>Settings!$B$22*(R311-J$6)^2</f>
        <v>0.84154705034256583</v>
      </c>
      <c r="AA311" s="31">
        <f>Settings!$B$23*(S311-K$6)^2</f>
        <v>3.8483045462780432E-2</v>
      </c>
      <c r="AB311" s="31">
        <f>Settings!$B$24*(T311-L$6)^2</f>
        <v>3.6888931656971207</v>
      </c>
      <c r="AC311" s="31">
        <f>Settings!$B$25*(U311-M$6)^2</f>
        <v>10.916077864683114</v>
      </c>
      <c r="AD311" s="19">
        <f t="shared" si="16"/>
        <v>4.1781927105508503</v>
      </c>
      <c r="AE311" s="15">
        <f t="shared" si="17"/>
        <v>1.6538044237653524</v>
      </c>
      <c r="AF311" s="33">
        <f t="shared" si="18"/>
        <v>0.25473422403661589</v>
      </c>
      <c r="AG311" s="47">
        <f t="shared" si="19"/>
        <v>1.5017808637784503E-3</v>
      </c>
      <c r="AH311" s="18">
        <v>0.67266186183461008</v>
      </c>
      <c r="AI311" s="46">
        <v>1</v>
      </c>
      <c r="AJ311" s="18">
        <v>-8.4201340969423111E-3</v>
      </c>
      <c r="AK311" s="46">
        <v>1</v>
      </c>
      <c r="AL311" s="18">
        <v>-9.7949344166860464E-2</v>
      </c>
      <c r="AM311" s="46">
        <v>1</v>
      </c>
      <c r="AN311" s="18">
        <v>0.5390919439249342</v>
      </c>
      <c r="AO311" s="46">
        <v>1</v>
      </c>
      <c r="AP311" s="18">
        <v>1.361316937605148E-2</v>
      </c>
      <c r="AQ311" s="46">
        <v>1</v>
      </c>
    </row>
    <row r="312" spans="1:43" ht="20" customHeight="1" x14ac:dyDescent="0.45">
      <c r="A312" s="26">
        <v>302</v>
      </c>
      <c r="B312" s="16" t="s">
        <v>818</v>
      </c>
      <c r="C312" s="16" t="s">
        <v>232</v>
      </c>
      <c r="D312" s="46">
        <v>29</v>
      </c>
      <c r="E312" s="46">
        <v>0</v>
      </c>
      <c r="F312" s="13">
        <v>0.1721635554041526</v>
      </c>
      <c r="G312" s="13">
        <v>0.17909876048050419</v>
      </c>
      <c r="H312" s="13">
        <v>0.26869823950801869</v>
      </c>
      <c r="I312" s="13">
        <v>5.9848495330194387E-2</v>
      </c>
      <c r="J312" s="13">
        <v>0.3201909492771301</v>
      </c>
      <c r="K312" s="13">
        <v>16.01511627906979</v>
      </c>
      <c r="L312" s="13">
        <v>2.356428655982703</v>
      </c>
      <c r="M312" s="13">
        <v>2.2005660827035411</v>
      </c>
      <c r="N312" s="19">
        <f>(F312-Settings!$D$18)/Settings!$E$18</f>
        <v>-7.2147435469296306E-2</v>
      </c>
      <c r="O312" s="19">
        <f>(G312-Settings!$D$19)/Settings!$E$19</f>
        <v>0.7738192502271839</v>
      </c>
      <c r="P312" s="19">
        <f>(H312-Settings!$D$20)/Settings!$E$20</f>
        <v>1.9531151093474894</v>
      </c>
      <c r="Q312" s="19">
        <f>(I312-Settings!$D$21)/Settings!$E$21</f>
        <v>0.77218447760109155</v>
      </c>
      <c r="R312" s="19">
        <f>(J312-Settings!$D$22)/Settings!$E$22</f>
        <v>0.19460651691504269</v>
      </c>
      <c r="S312" s="19">
        <f>(K312-Settings!$D$23)/Settings!$E$23</f>
        <v>0.26389741460733157</v>
      </c>
      <c r="T312" s="19">
        <f>(L312-Settings!$D$24)/Settings!$E$24</f>
        <v>0.7246508508733589</v>
      </c>
      <c r="U312" s="19">
        <f>(M312-Settings!$D$25)/Settings!$E$25</f>
        <v>1.5200565330008773</v>
      </c>
      <c r="V312" s="31">
        <f>Settings!$B$18*(N312-F$6)^2</f>
        <v>0.12575275041647055</v>
      </c>
      <c r="W312" s="31">
        <f>Settings!$B$19*(O312-G$6)^2</f>
        <v>0.14197078556346651</v>
      </c>
      <c r="X312" s="31">
        <f>Settings!$B$20*(P312-H$6)^2</f>
        <v>0.67508581587559802</v>
      </c>
      <c r="Y312" s="31">
        <f>Settings!$B$21*(Q312-I$6)^2</f>
        <v>2.344925384463524E-2</v>
      </c>
      <c r="Z312" s="31">
        <f>Settings!$B$22*(R312-J$6)^2</f>
        <v>3.9431341007738339E-2</v>
      </c>
      <c r="AA312" s="31">
        <f>Settings!$B$23*(S312-K$6)^2</f>
        <v>0.77930345643084875</v>
      </c>
      <c r="AB312" s="31">
        <f>Settings!$B$24*(T312-L$6)^2</f>
        <v>0.10941169892304015</v>
      </c>
      <c r="AC312" s="31">
        <f>Settings!$B$25*(U312-M$6)^2</f>
        <v>15.7593997673955</v>
      </c>
      <c r="AD312" s="19">
        <f t="shared" si="16"/>
        <v>4.2016431154320211</v>
      </c>
      <c r="AE312" s="15">
        <f t="shared" si="17"/>
        <v>1.6630865191635937</v>
      </c>
      <c r="AF312" s="33">
        <f t="shared" si="18"/>
        <v>0.25084291181665413</v>
      </c>
      <c r="AG312" s="47">
        <f t="shared" si="19"/>
        <v>1.4788397052080738E-3</v>
      </c>
      <c r="AH312" s="18">
        <v>2.1843525765774089E-2</v>
      </c>
      <c r="AI312" s="46">
        <v>0</v>
      </c>
      <c r="AJ312" s="18">
        <v>-2.1485060516393681</v>
      </c>
      <c r="AK312" s="46">
        <v>0</v>
      </c>
      <c r="AL312" s="18">
        <v>-1.038951653546625</v>
      </c>
      <c r="AM312" s="46">
        <v>1</v>
      </c>
      <c r="AN312" s="18">
        <v>0.26314005609723479</v>
      </c>
      <c r="AO312" s="46">
        <v>1</v>
      </c>
      <c r="AP312" s="18">
        <v>0.1116862038931892</v>
      </c>
      <c r="AQ312" s="46">
        <v>1</v>
      </c>
    </row>
    <row r="313" spans="1:43" ht="20" customHeight="1" x14ac:dyDescent="0.45">
      <c r="A313" s="26">
        <v>303</v>
      </c>
      <c r="B313" s="16" t="s">
        <v>460</v>
      </c>
      <c r="C313" s="16" t="s">
        <v>224</v>
      </c>
      <c r="D313" s="46">
        <v>29</v>
      </c>
      <c r="E313" s="46">
        <v>0</v>
      </c>
      <c r="F313" s="13">
        <v>-5.8496386448657622E-2</v>
      </c>
      <c r="G313" s="13">
        <v>-0.20526303540092011</v>
      </c>
      <c r="H313" s="13">
        <v>5.998620439322584E-3</v>
      </c>
      <c r="I313" s="13">
        <v>-1.4627685616387441E-5</v>
      </c>
      <c r="J313" s="13">
        <v>0.73022733002548335</v>
      </c>
      <c r="K313" s="13">
        <v>10.51493827160493</v>
      </c>
      <c r="L313" s="13">
        <v>0.41345823165303919</v>
      </c>
      <c r="M313" s="13">
        <v>0.60869494728312024</v>
      </c>
      <c r="N313" s="19">
        <f>(F313-Settings!$D$18)/Settings!$E$18</f>
        <v>-0.89766498840079711</v>
      </c>
      <c r="O313" s="19">
        <f>(G313-Settings!$D$19)/Settings!$E$19</f>
        <v>-0.82748098074353149</v>
      </c>
      <c r="P313" s="19">
        <f>(H313-Settings!$D$20)/Settings!$E$20</f>
        <v>-0.42699395607095014</v>
      </c>
      <c r="Q313" s="19">
        <f>(I313-Settings!$D$21)/Settings!$E$21</f>
        <v>3.6029243263954638E-2</v>
      </c>
      <c r="R313" s="19">
        <f>(J313-Settings!$D$22)/Settings!$E$22</f>
        <v>1.2978287040711118</v>
      </c>
      <c r="S313" s="19">
        <f>(K313-Settings!$D$23)/Settings!$E$23</f>
        <v>-1.6461878965263501</v>
      </c>
      <c r="T313" s="19">
        <f>(L313-Settings!$D$24)/Settings!$E$24</f>
        <v>-0.61863088080531781</v>
      </c>
      <c r="U313" s="19">
        <f>(M313-Settings!$D$25)/Settings!$E$25</f>
        <v>0.44648090980423488</v>
      </c>
      <c r="V313" s="31">
        <f>Settings!$B$18*(N313-F$6)^2</f>
        <v>0.52388501493004991</v>
      </c>
      <c r="W313" s="31">
        <f>Settings!$B$19*(O313-G$6)^2</f>
        <v>0.11514697017384574</v>
      </c>
      <c r="X313" s="31">
        <f>Settings!$B$20*(P313-H$6)^2</f>
        <v>5.8942649091983872E-2</v>
      </c>
      <c r="Y313" s="31">
        <f>Settings!$B$21*(Q313-I$6)^2</f>
        <v>3.1006679882325097E-2</v>
      </c>
      <c r="Z313" s="31">
        <f>Settings!$B$22*(R313-J$6)^2</f>
        <v>8.6908630380222646E-2</v>
      </c>
      <c r="AA313" s="31">
        <f>Settings!$B$23*(S313-K$6)^2</f>
        <v>7.8001059095862644</v>
      </c>
      <c r="AB313" s="31">
        <f>Settings!$B$24*(T313-L$6)^2</f>
        <v>1.0251711113112445</v>
      </c>
      <c r="AC313" s="31">
        <f>Settings!$B$25*(U313-M$6)^2</f>
        <v>8.3881796435993135</v>
      </c>
      <c r="AD313" s="19">
        <f t="shared" si="16"/>
        <v>4.2460978096312445</v>
      </c>
      <c r="AE313" s="15">
        <f t="shared" si="17"/>
        <v>1.6806824930731166</v>
      </c>
      <c r="AF313" s="33">
        <f t="shared" si="18"/>
        <v>0.24357099429823187</v>
      </c>
      <c r="AG313" s="47">
        <f t="shared" si="19"/>
        <v>1.4359682511918593E-3</v>
      </c>
      <c r="AH313" s="18">
        <v>0.1106567325436713</v>
      </c>
      <c r="AI313" s="46">
        <v>0</v>
      </c>
      <c r="AJ313" s="48"/>
      <c r="AK313" s="48"/>
      <c r="AL313" s="48"/>
      <c r="AM313" s="48"/>
      <c r="AN313" s="48"/>
      <c r="AO313" s="48"/>
      <c r="AP313" s="48"/>
      <c r="AQ313" s="48"/>
    </row>
    <row r="314" spans="1:43" ht="20" customHeight="1" x14ac:dyDescent="0.45">
      <c r="A314" s="26">
        <v>304</v>
      </c>
      <c r="B314" s="16" t="s">
        <v>780</v>
      </c>
      <c r="C314" s="16" t="s">
        <v>216</v>
      </c>
      <c r="D314" s="46">
        <v>29</v>
      </c>
      <c r="E314" s="46">
        <v>1</v>
      </c>
      <c r="F314" s="13">
        <v>-0.36071666674387509</v>
      </c>
      <c r="G314" s="13">
        <v>0.46611299143537971</v>
      </c>
      <c r="H314" s="13">
        <v>1.4146393993501359E-4</v>
      </c>
      <c r="I314" s="13">
        <v>0.11433659316256981</v>
      </c>
      <c r="J314" s="13">
        <v>-5.8692284718240458E-2</v>
      </c>
      <c r="K314" s="13">
        <v>10.364631043257001</v>
      </c>
      <c r="L314" s="13">
        <v>-0.2349015867164746</v>
      </c>
      <c r="M314" s="13">
        <v>-0.30042026280412598</v>
      </c>
      <c r="N314" s="19">
        <f>(F314-Settings!$D$18)/Settings!$E$18</f>
        <v>-1.9792925316643983</v>
      </c>
      <c r="O314" s="19">
        <f>(G314-Settings!$D$19)/Settings!$E$19</f>
        <v>1.9695571181543849</v>
      </c>
      <c r="P314" s="19">
        <f>(H314-Settings!$D$20)/Settings!$E$20</f>
        <v>-0.48006092027587877</v>
      </c>
      <c r="Q314" s="19">
        <f>(I314-Settings!$D$21)/Settings!$E$21</f>
        <v>1.4422413741947264</v>
      </c>
      <c r="R314" s="19">
        <f>(J314-Settings!$D$22)/Settings!$E$22</f>
        <v>-0.8247966621937568</v>
      </c>
      <c r="S314" s="19">
        <f>(K314-Settings!$D$23)/Settings!$E$23</f>
        <v>-1.6983861396804703</v>
      </c>
      <c r="T314" s="19">
        <f>(L314-Settings!$D$24)/Settings!$E$24</f>
        <v>-1.0668774874775468</v>
      </c>
      <c r="U314" s="19">
        <f>(M314-Settings!$D$25)/Settings!$E$25</f>
        <v>-0.16663651315173492</v>
      </c>
      <c r="V314" s="31">
        <f>Settings!$B$18*(N314-F$6)^2</f>
        <v>1.4580986533075748</v>
      </c>
      <c r="W314" s="31">
        <f>Settings!$B$19*(O314-G$6)^2</f>
        <v>0.83090579015859911</v>
      </c>
      <c r="X314" s="31">
        <f>Settings!$B$20*(P314-H$6)^2</f>
        <v>7.1029360512835302E-2</v>
      </c>
      <c r="Y314" s="31">
        <f>Settings!$B$21*(Q314-I$6)^2</f>
        <v>0.20501882568723362</v>
      </c>
      <c r="Z314" s="31">
        <f>Settings!$B$22*(R314-J$6)^2</f>
        <v>0.42832342124283596</v>
      </c>
      <c r="AA314" s="31">
        <f>Settings!$B$23*(S314-K$6)^2</f>
        <v>8.0943960645216837</v>
      </c>
      <c r="AB314" s="31">
        <f>Settings!$B$24*(T314-L$6)^2</f>
        <v>2.1338020894830283</v>
      </c>
      <c r="AC314" s="31">
        <f>Settings!$B$25*(U314-M$6)^2</f>
        <v>5.2126278164401461</v>
      </c>
      <c r="AD314" s="19">
        <f t="shared" si="16"/>
        <v>4.2935069606737493</v>
      </c>
      <c r="AE314" s="15">
        <f t="shared" si="17"/>
        <v>1.6994478945643074</v>
      </c>
      <c r="AF314" s="33">
        <f t="shared" si="18"/>
        <v>0.23596741083605227</v>
      </c>
      <c r="AG314" s="47">
        <f t="shared" si="19"/>
        <v>1.3911414667940069E-3</v>
      </c>
      <c r="AH314" s="18">
        <v>-0.88661559485931751</v>
      </c>
      <c r="AI314" s="46">
        <v>1</v>
      </c>
      <c r="AJ314" s="18">
        <v>6.250775221331506E-2</v>
      </c>
      <c r="AK314" s="46">
        <v>1</v>
      </c>
      <c r="AL314" s="48"/>
      <c r="AM314" s="48"/>
      <c r="AN314" s="48"/>
      <c r="AO314" s="48"/>
      <c r="AP314" s="48"/>
      <c r="AQ314" s="48"/>
    </row>
    <row r="315" spans="1:43" ht="20" customHeight="1" x14ac:dyDescent="0.45">
      <c r="A315" s="26">
        <v>305</v>
      </c>
      <c r="B315" s="16" t="s">
        <v>452</v>
      </c>
      <c r="C315" s="16" t="s">
        <v>246</v>
      </c>
      <c r="D315" s="46">
        <v>29</v>
      </c>
      <c r="E315" s="46">
        <v>1</v>
      </c>
      <c r="F315" s="13">
        <v>-0.17052321439885779</v>
      </c>
      <c r="G315" s="13">
        <v>9.1877206327798996E-3</v>
      </c>
      <c r="H315" s="13">
        <v>3.653202580303818E-2</v>
      </c>
      <c r="I315" s="13">
        <v>-1.182916548933798E-5</v>
      </c>
      <c r="J315" s="13">
        <v>0.78374520999983477</v>
      </c>
      <c r="K315" s="13">
        <v>12.859501557632401</v>
      </c>
      <c r="L315" s="13">
        <v>1.1903065734870371</v>
      </c>
      <c r="M315" s="13">
        <v>1.7342181594814841</v>
      </c>
      <c r="N315" s="19">
        <f>(F315-Settings!$D$18)/Settings!$E$18</f>
        <v>-1.2986020220671859</v>
      </c>
      <c r="O315" s="19">
        <f>(G315-Settings!$D$19)/Settings!$E$19</f>
        <v>6.5948201990715466E-2</v>
      </c>
      <c r="P315" s="19">
        <f>(H315-Settings!$D$20)/Settings!$E$20</f>
        <v>-0.15035543195770612</v>
      </c>
      <c r="Q315" s="19">
        <f>(I315-Settings!$D$21)/Settings!$E$21</f>
        <v>3.6063657526628191E-2</v>
      </c>
      <c r="R315" s="19">
        <f>(J315-Settings!$D$22)/Settings!$E$22</f>
        <v>1.4418210797951947</v>
      </c>
      <c r="S315" s="19">
        <f>(K315-Settings!$D$23)/Settings!$E$23</f>
        <v>-0.83197499512817663</v>
      </c>
      <c r="T315" s="19">
        <f>(L315-Settings!$D$24)/Settings!$E$24</f>
        <v>-8.1553129747679379E-2</v>
      </c>
      <c r="U315" s="19">
        <f>(M315-Settings!$D$25)/Settings!$E$25</f>
        <v>1.2055462996286559</v>
      </c>
      <c r="V315" s="31">
        <f>Settings!$B$18*(N315-F$6)^2</f>
        <v>0.81559594608620789</v>
      </c>
      <c r="W315" s="31">
        <f>Settings!$B$19*(O315-G$6)^2</f>
        <v>3.6265148193241805E-3</v>
      </c>
      <c r="X315" s="31">
        <f>Settings!$B$20*(P315-H$6)^2</f>
        <v>1.4176370240650195E-2</v>
      </c>
      <c r="Y315" s="31">
        <f>Settings!$B$21*(Q315-I$6)^2</f>
        <v>3.1001259971815461E-2</v>
      </c>
      <c r="Z315" s="31">
        <f>Settings!$B$22*(R315-J$6)^2</f>
        <v>0.12902323585383946</v>
      </c>
      <c r="AA315" s="31">
        <f>Settings!$B$23*(S315-K$6)^2</f>
        <v>3.915071921401633</v>
      </c>
      <c r="AB315" s="31">
        <f>Settings!$B$24*(T315-L$6)^2</f>
        <v>0.22603329298886049</v>
      </c>
      <c r="AC315" s="31">
        <f>Settings!$B$25*(U315-M$6)^2</f>
        <v>13.361224055153521</v>
      </c>
      <c r="AD315" s="19">
        <f t="shared" si="16"/>
        <v>4.3006688545522609</v>
      </c>
      <c r="AE315" s="15">
        <f t="shared" si="17"/>
        <v>1.7022827020036366</v>
      </c>
      <c r="AF315" s="33">
        <f t="shared" si="18"/>
        <v>0.23483240281774773</v>
      </c>
      <c r="AG315" s="47">
        <f t="shared" si="19"/>
        <v>1.3844500482044113E-3</v>
      </c>
      <c r="AH315" s="18">
        <v>2.9183349121505438E-2</v>
      </c>
      <c r="AI315" s="46">
        <v>1</v>
      </c>
      <c r="AJ315" s="48"/>
      <c r="AK315" s="48"/>
      <c r="AL315" s="48"/>
      <c r="AM315" s="48"/>
      <c r="AN315" s="48"/>
      <c r="AO315" s="48"/>
      <c r="AP315" s="48"/>
      <c r="AQ315" s="48"/>
    </row>
    <row r="316" spans="1:43" ht="20" customHeight="1" x14ac:dyDescent="0.45">
      <c r="A316" s="26">
        <v>306</v>
      </c>
      <c r="B316" s="16" t="s">
        <v>286</v>
      </c>
      <c r="C316" s="16" t="s">
        <v>258</v>
      </c>
      <c r="D316" s="46">
        <v>29</v>
      </c>
      <c r="E316" s="46">
        <v>0</v>
      </c>
      <c r="F316" s="13">
        <v>0.30191703141928961</v>
      </c>
      <c r="G316" s="13">
        <v>0.1239650588763696</v>
      </c>
      <c r="H316" s="13">
        <v>0.51421674261594841</v>
      </c>
      <c r="I316" s="13">
        <v>-4.3431272278836169E-2</v>
      </c>
      <c r="J316" s="13">
        <v>1.6469894809556091E-2</v>
      </c>
      <c r="K316" s="13">
        <v>20.47766990291262</v>
      </c>
      <c r="L316" s="13">
        <v>1.453313986243038</v>
      </c>
      <c r="M316" s="13">
        <v>1.892560566444907</v>
      </c>
      <c r="N316" s="19">
        <f>(F316-Settings!$D$18)/Settings!$E$18</f>
        <v>0.39223216657154708</v>
      </c>
      <c r="O316" s="19">
        <f>(G316-Settings!$D$19)/Settings!$E$19</f>
        <v>0.54412522220727277</v>
      </c>
      <c r="P316" s="19">
        <f>(H316-Settings!$D$20)/Settings!$E$20</f>
        <v>4.177559960264225</v>
      </c>
      <c r="Q316" s="19">
        <f>(I316-Settings!$D$21)/Settings!$E$21</f>
        <v>-0.49787858787630179</v>
      </c>
      <c r="R316" s="19">
        <f>(J316-Settings!$D$22)/Settings!$E$22</f>
        <v>-0.62256927949484764</v>
      </c>
      <c r="S316" s="19">
        <f>(K316-Settings!$D$23)/Settings!$E$23</f>
        <v>1.813639643946084</v>
      </c>
      <c r="T316" s="19">
        <f>(L316-Settings!$D$24)/Settings!$E$24</f>
        <v>0.10027828077062409</v>
      </c>
      <c r="U316" s="19">
        <f>(M316-Settings!$D$25)/Settings!$E$25</f>
        <v>1.3123341824237775</v>
      </c>
      <c r="V316" s="31">
        <f>Settings!$B$18*(N316-F$6)^2</f>
        <v>2.159120815618841E-2</v>
      </c>
      <c r="W316" s="31">
        <f>Settings!$B$19*(O316-G$6)^2</f>
        <v>7.5113167748527096E-2</v>
      </c>
      <c r="X316" s="31">
        <f>Settings!$B$20*(P316-H$6)^2</f>
        <v>3.2994471540545329</v>
      </c>
      <c r="Y316" s="31">
        <f>Settings!$B$21*(Q316-I$6)^2</f>
        <v>0.1721071419232883</v>
      </c>
      <c r="Z316" s="31">
        <f>Settings!$B$22*(R316-J$6)^2</f>
        <v>0.3181246401645379</v>
      </c>
      <c r="AA316" s="31">
        <f>Settings!$B$23*(S316-K$6)^2</f>
        <v>0.44483640316927159</v>
      </c>
      <c r="AB316" s="31">
        <f>Settings!$B$24*(T316-L$6)^2</f>
        <v>8.6199889723626161E-2</v>
      </c>
      <c r="AC316" s="31">
        <f>Settings!$B$25*(U316-M$6)^2</f>
        <v>14.153311377296554</v>
      </c>
      <c r="AD316" s="19">
        <f t="shared" si="16"/>
        <v>4.3093770990987235</v>
      </c>
      <c r="AE316" s="15">
        <f t="shared" si="17"/>
        <v>1.7057295830720476</v>
      </c>
      <c r="AF316" s="33">
        <f t="shared" si="18"/>
        <v>0.23345715588481578</v>
      </c>
      <c r="AG316" s="47">
        <f t="shared" si="19"/>
        <v>1.3763423055771374E-3</v>
      </c>
      <c r="AH316" s="18">
        <v>0.76918756323727999</v>
      </c>
      <c r="AI316" s="46">
        <v>0</v>
      </c>
      <c r="AJ316" s="18">
        <v>-0.68753342687467445</v>
      </c>
      <c r="AK316" s="46">
        <v>0</v>
      </c>
      <c r="AL316" s="18">
        <v>-5.2706598677277672E-2</v>
      </c>
      <c r="AM316" s="46">
        <v>0</v>
      </c>
      <c r="AN316" s="18">
        <v>0.4872710982740176</v>
      </c>
      <c r="AO316" s="46">
        <v>0</v>
      </c>
      <c r="AP316" s="18">
        <v>-0.83099800050035366</v>
      </c>
      <c r="AQ316" s="46">
        <v>0</v>
      </c>
    </row>
    <row r="317" spans="1:43" ht="20" customHeight="1" x14ac:dyDescent="0.45">
      <c r="A317" s="26">
        <v>307</v>
      </c>
      <c r="B317" s="16" t="s">
        <v>603</v>
      </c>
      <c r="C317" s="16" t="s">
        <v>214</v>
      </c>
      <c r="D317" s="46">
        <v>29</v>
      </c>
      <c r="E317" s="46">
        <v>1</v>
      </c>
      <c r="F317" s="13">
        <v>0.35468605852893742</v>
      </c>
      <c r="G317" s="13">
        <v>0.1011977258746584</v>
      </c>
      <c r="H317" s="13">
        <v>-2.1315548807326081E-2</v>
      </c>
      <c r="I317" s="13">
        <v>1.7279365881341428E-2</v>
      </c>
      <c r="J317" s="13">
        <v>0.50552130090773661</v>
      </c>
      <c r="K317" s="13">
        <v>12.433333333333341</v>
      </c>
      <c r="L317" s="13">
        <v>0.66949201888588405</v>
      </c>
      <c r="M317" s="13">
        <v>1.695591942308591</v>
      </c>
      <c r="N317" s="19">
        <f>(F317-Settings!$D$18)/Settings!$E$18</f>
        <v>0.58108922506300509</v>
      </c>
      <c r="O317" s="19">
        <f>(G317-Settings!$D$19)/Settings!$E$19</f>
        <v>0.44927361108233566</v>
      </c>
      <c r="P317" s="19">
        <f>(H317-Settings!$D$20)/Settings!$E$20</f>
        <v>-0.67446558191035311</v>
      </c>
      <c r="Q317" s="19">
        <f>(I317-Settings!$D$21)/Settings!$E$21</f>
        <v>0.24869880084026583</v>
      </c>
      <c r="R317" s="19">
        <f>(J317-Settings!$D$22)/Settings!$E$22</f>
        <v>0.69324655343853891</v>
      </c>
      <c r="S317" s="19">
        <f>(K317-Settings!$D$23)/Settings!$E$23</f>
        <v>-0.97997341703393503</v>
      </c>
      <c r="T317" s="19">
        <f>(L317-Settings!$D$24)/Settings!$E$24</f>
        <v>-0.44162071905720879</v>
      </c>
      <c r="U317" s="19">
        <f>(M317-Settings!$D$25)/Settings!$E$25</f>
        <v>1.1794963485676577</v>
      </c>
      <c r="V317" s="31">
        <f>Settings!$B$18*(N317-F$6)^2</f>
        <v>3.9037537613244092E-3</v>
      </c>
      <c r="W317" s="31">
        <f>Settings!$B$19*(O317-G$6)^2</f>
        <v>5.3661206346185944E-2</v>
      </c>
      <c r="X317" s="31">
        <f>Settings!$B$20*(P317-H$6)^2</f>
        <v>0.12492955192366401</v>
      </c>
      <c r="Y317" s="31">
        <f>Settings!$B$21*(Q317-I$6)^2</f>
        <v>6.5575044552970618E-3</v>
      </c>
      <c r="Z317" s="31">
        <f>Settings!$B$22*(R317-J$6)^2</f>
        <v>5.9659723492685914E-4</v>
      </c>
      <c r="AA317" s="31">
        <f>Settings!$B$23*(S317-K$6)^2</f>
        <v>4.5226508134550771</v>
      </c>
      <c r="AB317" s="31">
        <f>Settings!$B$24*(T317-L$6)^2</f>
        <v>0.69805553301630574</v>
      </c>
      <c r="AC317" s="31">
        <f>Settings!$B$25*(U317-M$6)^2</f>
        <v>13.171461840365861</v>
      </c>
      <c r="AD317" s="19">
        <f t="shared" si="16"/>
        <v>4.3106631509036566</v>
      </c>
      <c r="AE317" s="15">
        <f t="shared" si="17"/>
        <v>1.7062386256920348</v>
      </c>
      <c r="AF317" s="33">
        <f t="shared" si="18"/>
        <v>0.23325450534958944</v>
      </c>
      <c r="AG317" s="47">
        <f t="shared" si="19"/>
        <v>1.3751475831287174E-3</v>
      </c>
      <c r="AH317" s="48"/>
      <c r="AI317" s="48"/>
      <c r="AJ317" s="48"/>
      <c r="AK317" s="48"/>
      <c r="AL317" s="48"/>
      <c r="AM317" s="48"/>
      <c r="AN317" s="48"/>
      <c r="AO317" s="48"/>
      <c r="AP317" s="48"/>
      <c r="AQ317" s="48"/>
    </row>
    <row r="318" spans="1:43" ht="20" customHeight="1" x14ac:dyDescent="0.45">
      <c r="A318" s="26">
        <v>308</v>
      </c>
      <c r="B318" s="16" t="s">
        <v>819</v>
      </c>
      <c r="C318" s="16" t="s">
        <v>220</v>
      </c>
      <c r="D318" s="46">
        <v>29</v>
      </c>
      <c r="E318" s="46">
        <v>1</v>
      </c>
      <c r="F318" s="13">
        <v>-0.59024583504019346</v>
      </c>
      <c r="G318" s="13">
        <v>0.2462015863934407</v>
      </c>
      <c r="H318" s="13">
        <v>-3.0777324371245751E-2</v>
      </c>
      <c r="I318" s="13">
        <v>-1.320360522911976E-2</v>
      </c>
      <c r="J318" s="13">
        <v>-0.1195716489660003</v>
      </c>
      <c r="K318" s="13">
        <v>10.15752688172044</v>
      </c>
      <c r="L318" s="13">
        <v>2.0464130984371529E-2</v>
      </c>
      <c r="M318" s="13">
        <v>-0.37217359900640767</v>
      </c>
      <c r="N318" s="19">
        <f>(F318-Settings!$D$18)/Settings!$E$18</f>
        <v>-2.80076311652777</v>
      </c>
      <c r="O318" s="19">
        <f>(G318-Settings!$D$19)/Settings!$E$19</f>
        <v>1.0533781756577483</v>
      </c>
      <c r="P318" s="19">
        <f>(H318-Settings!$D$20)/Settings!$E$20</f>
        <v>-0.76019108800159285</v>
      </c>
      <c r="Q318" s="19">
        <f>(I318-Settings!$D$21)/Settings!$E$21</f>
        <v>-0.12615966979426702</v>
      </c>
      <c r="R318" s="19">
        <f>(J318-Settings!$D$22)/Settings!$E$22</f>
        <v>-0.98859545793843018</v>
      </c>
      <c r="S318" s="19">
        <f>(K318-Settings!$D$23)/Settings!$E$23</f>
        <v>-1.7703086513316844</v>
      </c>
      <c r="T318" s="19">
        <f>(L318-Settings!$D$24)/Settings!$E$24</f>
        <v>-0.89032919873923133</v>
      </c>
      <c r="U318" s="19">
        <f>(M318-Settings!$D$25)/Settings!$E$25</f>
        <v>-0.21502776223953124</v>
      </c>
      <c r="V318" s="31">
        <f>Settings!$B$18*(N318-F$6)^2</f>
        <v>2.480279683918964</v>
      </c>
      <c r="W318" s="31">
        <f>Settings!$B$19*(O318-G$6)^2</f>
        <v>0.25181594603519591</v>
      </c>
      <c r="X318" s="31">
        <f>Settings!$B$20*(P318-H$6)^2</f>
        <v>0.15350046956076402</v>
      </c>
      <c r="Y318" s="31">
        <f>Settings!$B$21*(Q318-I$6)^2</f>
        <v>6.1812015853857774E-2</v>
      </c>
      <c r="Z318" s="31">
        <f>Settings!$B$22*(R318-J$6)^2</f>
        <v>0.52957242935585203</v>
      </c>
      <c r="AA318" s="31">
        <f>Settings!$B$23*(S318-K$6)^2</f>
        <v>8.508817384021814</v>
      </c>
      <c r="AB318" s="31">
        <f>Settings!$B$24*(T318-L$6)^2</f>
        <v>1.6491841690250526</v>
      </c>
      <c r="AC318" s="31">
        <f>Settings!$B$25*(U318-M$6)^2</f>
        <v>4.9940036654510873</v>
      </c>
      <c r="AD318" s="19">
        <f t="shared" si="16"/>
        <v>4.3161308788337953</v>
      </c>
      <c r="AE318" s="15">
        <f t="shared" si="17"/>
        <v>1.7084028515344605</v>
      </c>
      <c r="AF318" s="33">
        <f t="shared" si="18"/>
        <v>0.23239421387881753</v>
      </c>
      <c r="AG318" s="47">
        <f t="shared" si="19"/>
        <v>1.3700757508181467E-3</v>
      </c>
      <c r="AH318" s="48"/>
      <c r="AI318" s="48"/>
      <c r="AJ318" s="48"/>
      <c r="AK318" s="48"/>
      <c r="AL318" s="48"/>
      <c r="AM318" s="48"/>
      <c r="AN318" s="48"/>
      <c r="AO318" s="48"/>
      <c r="AP318" s="48"/>
      <c r="AQ318" s="48"/>
    </row>
    <row r="319" spans="1:43" ht="20" customHeight="1" x14ac:dyDescent="0.45">
      <c r="A319" s="26">
        <v>309</v>
      </c>
      <c r="B319" s="16" t="s">
        <v>416</v>
      </c>
      <c r="C319" s="16" t="s">
        <v>212</v>
      </c>
      <c r="D319" s="46">
        <v>29</v>
      </c>
      <c r="E319" s="46">
        <v>0</v>
      </c>
      <c r="F319" s="13">
        <v>0.24356562498412829</v>
      </c>
      <c r="G319" s="13">
        <v>-0.15150392439242771</v>
      </c>
      <c r="H319" s="13">
        <v>0.1343540342221643</v>
      </c>
      <c r="I319" s="13">
        <v>2.4235166036395029E-4</v>
      </c>
      <c r="J319" s="13">
        <v>0.47033406474091571</v>
      </c>
      <c r="K319" s="13">
        <v>16.94552845528457</v>
      </c>
      <c r="L319" s="13">
        <v>2.217337601283627</v>
      </c>
      <c r="M319" s="13">
        <v>2.6121256531078059</v>
      </c>
      <c r="N319" s="19">
        <f>(F319-Settings!$D$18)/Settings!$E$18</f>
        <v>0.18339612047038084</v>
      </c>
      <c r="O319" s="19">
        <f>(G319-Settings!$D$19)/Settings!$E$19</f>
        <v>-0.60351367234528397</v>
      </c>
      <c r="P319" s="19">
        <f>(H319-Settings!$D$20)/Settings!$E$20</f>
        <v>0.73593077531279849</v>
      </c>
      <c r="Q319" s="19">
        <f>(I319-Settings!$D$21)/Settings!$E$21</f>
        <v>3.9189397314220199E-2</v>
      </c>
      <c r="R319" s="19">
        <f>(J319-Settings!$D$22)/Settings!$E$22</f>
        <v>0.59857363789604856</v>
      </c>
      <c r="S319" s="19">
        <f>(K319-Settings!$D$23)/Settings!$E$23</f>
        <v>0.58700816278235379</v>
      </c>
      <c r="T319" s="19">
        <f>(L319-Settings!$D$24)/Settings!$E$24</f>
        <v>0.62848959670416649</v>
      </c>
      <c r="U319" s="19">
        <f>(M319-Settings!$D$25)/Settings!$E$25</f>
        <v>1.7976168910273509</v>
      </c>
      <c r="V319" s="31">
        <f>Settings!$B$18*(N319-F$6)^2</f>
        <v>5.7760330668447928E-2</v>
      </c>
      <c r="W319" s="31">
        <f>Settings!$B$19*(O319-G$6)^2</f>
        <v>5.7203197941983287E-2</v>
      </c>
      <c r="X319" s="31">
        <f>Settings!$B$20*(P319-H$6)^2</f>
        <v>7.6892338484158815E-2</v>
      </c>
      <c r="Y319" s="31">
        <f>Settings!$B$21*(Q319-I$6)^2</f>
        <v>3.0510962024364971E-2</v>
      </c>
      <c r="Z319" s="31">
        <f>Settings!$B$22*(R319-J$6)^2</f>
        <v>3.2089974984215634E-4</v>
      </c>
      <c r="AA319" s="31">
        <f>Settings!$B$23*(S319-K$6)^2</f>
        <v>0.31323152776688695</v>
      </c>
      <c r="AB319" s="31">
        <f>Settings!$B$24*(T319-L$6)^2</f>
        <v>5.5043324811695438E-2</v>
      </c>
      <c r="AC319" s="31">
        <f>Settings!$B$25*(U319-M$6)^2</f>
        <v>18.040163872043159</v>
      </c>
      <c r="AD319" s="19">
        <f t="shared" si="16"/>
        <v>4.3163788588920848</v>
      </c>
      <c r="AE319" s="15">
        <f t="shared" si="17"/>
        <v>1.7085010065373087</v>
      </c>
      <c r="AF319" s="33">
        <f t="shared" si="18"/>
        <v>0.23235524623914322</v>
      </c>
      <c r="AG319" s="47">
        <f t="shared" si="19"/>
        <v>1.3698460178256883E-3</v>
      </c>
      <c r="AH319" s="18">
        <v>-0.42023708156176709</v>
      </c>
      <c r="AI319" s="46">
        <v>0</v>
      </c>
      <c r="AJ319" s="18">
        <v>-0.98479609858175843</v>
      </c>
      <c r="AK319" s="46">
        <v>0</v>
      </c>
      <c r="AL319" s="18">
        <v>0.98377908514682966</v>
      </c>
      <c r="AM319" s="46">
        <v>0</v>
      </c>
      <c r="AN319" s="18">
        <v>-0.40220768166876142</v>
      </c>
      <c r="AO319" s="46">
        <v>0</v>
      </c>
      <c r="AP319" s="18">
        <v>-0.44324574050400373</v>
      </c>
      <c r="AQ319" s="46">
        <v>0</v>
      </c>
    </row>
    <row r="320" spans="1:43" ht="20" customHeight="1" x14ac:dyDescent="0.45">
      <c r="A320" s="26">
        <v>310</v>
      </c>
      <c r="B320" s="16" t="s">
        <v>516</v>
      </c>
      <c r="C320" s="16" t="s">
        <v>220</v>
      </c>
      <c r="D320" s="46">
        <v>29</v>
      </c>
      <c r="E320" s="46">
        <v>1</v>
      </c>
      <c r="F320" s="13">
        <v>-0.29110462278830612</v>
      </c>
      <c r="G320" s="13">
        <v>-2.3305122144565701E-2</v>
      </c>
      <c r="H320" s="13">
        <v>-1.4697085775137379E-3</v>
      </c>
      <c r="I320" s="13">
        <v>5.2672862145977217E-2</v>
      </c>
      <c r="J320" s="13">
        <v>-0.63144768434363729</v>
      </c>
      <c r="K320" s="13">
        <v>11.72508090614887</v>
      </c>
      <c r="L320" s="13">
        <v>-0.65874055206138116</v>
      </c>
      <c r="M320" s="13">
        <v>0.21194992943317559</v>
      </c>
      <c r="N320" s="19">
        <f>(F320-Settings!$D$18)/Settings!$E$18</f>
        <v>-1.7301553658472324</v>
      </c>
      <c r="O320" s="19">
        <f>(G320-Settings!$D$19)/Settings!$E$19</f>
        <v>-6.9421122436913535E-2</v>
      </c>
      <c r="P320" s="19">
        <f>(H320-Settings!$D$20)/Settings!$E$20</f>
        <v>-0.49465845310949141</v>
      </c>
      <c r="Q320" s="19">
        <f>(I320-Settings!$D$21)/Settings!$E$21</f>
        <v>0.68394350950376115</v>
      </c>
      <c r="R320" s="19">
        <f>(J320-Settings!$D$22)/Settings!$E$22</f>
        <v>-2.3658220305450905</v>
      </c>
      <c r="S320" s="19">
        <f>(K320-Settings!$D$23)/Settings!$E$23</f>
        <v>-1.2259331943181939</v>
      </c>
      <c r="T320" s="19">
        <f>(L320-Settings!$D$24)/Settings!$E$24</f>
        <v>-1.3599005475263526</v>
      </c>
      <c r="U320" s="19">
        <f>(M320-Settings!$D$25)/Settings!$E$25</f>
        <v>0.17891165101751424</v>
      </c>
      <c r="V320" s="31">
        <f>Settings!$B$18*(N320-F$6)^2</f>
        <v>1.2014352768182439</v>
      </c>
      <c r="W320" s="31">
        <f>Settings!$B$19*(O320-G$6)^2</f>
        <v>1.0141092979163746E-7</v>
      </c>
      <c r="X320" s="31">
        <f>Settings!$B$20*(P320-H$6)^2</f>
        <v>7.4551690953119573E-2</v>
      </c>
      <c r="Y320" s="31">
        <f>Settings!$B$21*(Q320-I$6)^2</f>
        <v>1.2920625964463799E-2</v>
      </c>
      <c r="Z320" s="31">
        <f>Settings!$B$22*(R320-J$6)^2</f>
        <v>1.8053461998169678</v>
      </c>
      <c r="AA320" s="31">
        <f>Settings!$B$23*(S320-K$6)^2</f>
        <v>5.6292889711264484</v>
      </c>
      <c r="AB320" s="31">
        <f>Settings!$B$24*(T320-L$6)^2</f>
        <v>3.075733785418902</v>
      </c>
      <c r="AC320" s="31">
        <f>Settings!$B$25*(U320-M$6)^2</f>
        <v>6.9098858193614285</v>
      </c>
      <c r="AD320" s="19">
        <f t="shared" si="16"/>
        <v>4.3254089368371291</v>
      </c>
      <c r="AE320" s="15">
        <f t="shared" si="17"/>
        <v>1.7120752750995865</v>
      </c>
      <c r="AF320" s="33">
        <f t="shared" si="18"/>
        <v>0.23093918447257133</v>
      </c>
      <c r="AG320" s="47">
        <f t="shared" si="19"/>
        <v>1.3614976521084054E-3</v>
      </c>
      <c r="AH320" s="18">
        <v>0.22314444852323151</v>
      </c>
      <c r="AI320" s="46">
        <v>1</v>
      </c>
      <c r="AJ320" s="18">
        <v>0.88883616397251675</v>
      </c>
      <c r="AK320" s="46">
        <v>1</v>
      </c>
      <c r="AL320" s="18">
        <v>0.70160608684106662</v>
      </c>
      <c r="AM320" s="46">
        <v>1</v>
      </c>
      <c r="AN320" s="18">
        <v>-0.53787438339492355</v>
      </c>
      <c r="AO320" s="46">
        <v>1</v>
      </c>
      <c r="AP320" s="48"/>
      <c r="AQ320" s="48"/>
    </row>
    <row r="321" spans="1:43" ht="20" customHeight="1" x14ac:dyDescent="0.45">
      <c r="A321" s="26">
        <v>311</v>
      </c>
      <c r="B321" s="16" t="s">
        <v>489</v>
      </c>
      <c r="C321" s="16" t="s">
        <v>218</v>
      </c>
      <c r="D321" s="46">
        <v>29</v>
      </c>
      <c r="E321" s="46">
        <v>0</v>
      </c>
      <c r="F321" s="13">
        <v>0.15750374362158981</v>
      </c>
      <c r="G321" s="13">
        <v>-2.2074816763660111E-2</v>
      </c>
      <c r="H321" s="13">
        <v>1.7728379031505891E-2</v>
      </c>
      <c r="I321" s="13">
        <v>9.442814918410998E-2</v>
      </c>
      <c r="J321" s="13">
        <v>-0.70826491139913417</v>
      </c>
      <c r="K321" s="13">
        <v>10.86875</v>
      </c>
      <c r="L321" s="13">
        <v>-0.2074715333578995</v>
      </c>
      <c r="M321" s="13">
        <v>0.33430739627049461</v>
      </c>
      <c r="N321" s="19">
        <f>(F321-Settings!$D$18)/Settings!$E$18</f>
        <v>-0.12461398797064115</v>
      </c>
      <c r="O321" s="19">
        <f>(G321-Settings!$D$19)/Settings!$E$19</f>
        <v>-6.4295513409900862E-2</v>
      </c>
      <c r="P321" s="19">
        <f>(H321-Settings!$D$20)/Settings!$E$20</f>
        <v>-0.32072008761465548</v>
      </c>
      <c r="Q321" s="19">
        <f>(I321-Settings!$D$21)/Settings!$E$21</f>
        <v>1.1974211158466939</v>
      </c>
      <c r="R321" s="19">
        <f>(J321-Settings!$D$22)/Settings!$E$22</f>
        <v>-2.5725023965378826</v>
      </c>
      <c r="S321" s="19">
        <f>(K321-Settings!$D$23)/Settings!$E$23</f>
        <v>-1.5233172213596498</v>
      </c>
      <c r="T321" s="19">
        <f>(L321-Settings!$D$24)/Settings!$E$24</f>
        <v>-1.0479135912112114</v>
      </c>
      <c r="U321" s="19">
        <f>(M321-Settings!$D$25)/Settings!$E$25</f>
        <v>0.26143088940922266</v>
      </c>
      <c r="V321" s="31">
        <f>Settings!$B$18*(N321-F$6)^2</f>
        <v>0.14294456062153488</v>
      </c>
      <c r="W321" s="31">
        <f>Settings!$B$19*(O321-G$6)^2</f>
        <v>3.8958517572338239E-6</v>
      </c>
      <c r="X321" s="31">
        <f>Settings!$B$20*(P321-H$6)^2</f>
        <v>3.8124106369540792E-2</v>
      </c>
      <c r="Y321" s="31">
        <f>Settings!$B$21*(Q321-I$6)^2</f>
        <v>0.11785701705263217</v>
      </c>
      <c r="Z321" s="31">
        <f>Settings!$B$22*(R321-J$6)^2</f>
        <v>2.0622740388429026</v>
      </c>
      <c r="AA321" s="31">
        <f>Settings!$B$23*(S321-K$6)^2</f>
        <v>7.1288802120041685</v>
      </c>
      <c r="AB321" s="31">
        <f>Settings!$B$24*(T321-L$6)^2</f>
        <v>2.0787585462559677</v>
      </c>
      <c r="AC321" s="31">
        <f>Settings!$B$25*(U321-M$6)^2</f>
        <v>7.3505263042974347</v>
      </c>
      <c r="AD321" s="19">
        <f t="shared" si="16"/>
        <v>4.3496400634185743</v>
      </c>
      <c r="AE321" s="15">
        <f t="shared" si="17"/>
        <v>1.7216663943009622</v>
      </c>
      <c r="AF321" s="33">
        <f t="shared" si="18"/>
        <v>0.22716751397288548</v>
      </c>
      <c r="AG321" s="47">
        <f t="shared" si="19"/>
        <v>1.3392618390670775E-3</v>
      </c>
      <c r="AH321" s="18">
        <v>1.9616321478749741</v>
      </c>
      <c r="AI321" s="46">
        <v>0</v>
      </c>
      <c r="AJ321" s="18">
        <v>1.302230064401386</v>
      </c>
      <c r="AK321" s="46">
        <v>0</v>
      </c>
      <c r="AL321" s="18">
        <v>0.35724074958109853</v>
      </c>
      <c r="AM321" s="46">
        <v>0</v>
      </c>
      <c r="AN321" s="48"/>
      <c r="AO321" s="48"/>
      <c r="AP321" s="48"/>
      <c r="AQ321" s="48"/>
    </row>
    <row r="322" spans="1:43" ht="20" customHeight="1" x14ac:dyDescent="0.45">
      <c r="A322" s="26">
        <v>312</v>
      </c>
      <c r="B322" s="16" t="s">
        <v>439</v>
      </c>
      <c r="C322" s="16" t="s">
        <v>216</v>
      </c>
      <c r="D322" s="46">
        <v>29</v>
      </c>
      <c r="E322" s="46">
        <v>1</v>
      </c>
      <c r="F322" s="13">
        <v>-0.27552329842643192</v>
      </c>
      <c r="G322" s="13">
        <v>0.19099047600993879</v>
      </c>
      <c r="H322" s="13">
        <v>0.14663767595206159</v>
      </c>
      <c r="I322" s="13">
        <v>-0.32351412561456933</v>
      </c>
      <c r="J322" s="13">
        <v>-6.3334423996998401E-2</v>
      </c>
      <c r="K322" s="13">
        <v>17.89937888198758</v>
      </c>
      <c r="L322" s="13">
        <v>-0.13913310955275329</v>
      </c>
      <c r="M322" s="13">
        <v>1.3260338967159011</v>
      </c>
      <c r="N322" s="19">
        <f>(F322-Settings!$D$18)/Settings!$E$18</f>
        <v>-1.6743907772701039</v>
      </c>
      <c r="O322" s="19">
        <f>(G322-Settings!$D$19)/Settings!$E$19</f>
        <v>0.8233616527967571</v>
      </c>
      <c r="P322" s="19">
        <f>(H322-Settings!$D$20)/Settings!$E$20</f>
        <v>0.84722293150749572</v>
      </c>
      <c r="Q322" s="19">
        <f>(I322-Settings!$D$21)/Settings!$E$21</f>
        <v>-3.9421435734622374</v>
      </c>
      <c r="R322" s="19">
        <f>(J322-Settings!$D$22)/Settings!$E$22</f>
        <v>-0.8372865564778873</v>
      </c>
      <c r="S322" s="19">
        <f>(K322-Settings!$D$23)/Settings!$E$23</f>
        <v>0.91825847624335022</v>
      </c>
      <c r="T322" s="19">
        <f>(L322-Settings!$D$24)/Settings!$E$24</f>
        <v>-1.0006675008334647</v>
      </c>
      <c r="U322" s="19">
        <f>(M322-Settings!$D$25)/Settings!$E$25</f>
        <v>0.93026228666620736</v>
      </c>
      <c r="V322" s="31">
        <f>Settings!$B$18*(N322-F$6)^2</f>
        <v>1.1473866341365209</v>
      </c>
      <c r="W322" s="31">
        <f>Settings!$B$19*(O322-G$6)^2</f>
        <v>0.15915802588011277</v>
      </c>
      <c r="X322" s="31">
        <f>Settings!$B$20*(P322-H$6)^2</f>
        <v>0.10697219673849685</v>
      </c>
      <c r="Y322" s="31">
        <f>Settings!$B$21*(Q322-I$6)^2</f>
        <v>3.8227292471883709</v>
      </c>
      <c r="Z322" s="31">
        <f>Settings!$B$22*(R322-J$6)^2</f>
        <v>0.43566583762064826</v>
      </c>
      <c r="AA322" s="31">
        <f>Settings!$B$23*(S322-K$6)^2</f>
        <v>5.217596903206672E-2</v>
      </c>
      <c r="AB322" s="31">
        <f>Settings!$B$24*(T322-L$6)^2</f>
        <v>1.9447528533621707</v>
      </c>
      <c r="AC322" s="31">
        <f>Settings!$B$25*(U322-M$6)^2</f>
        <v>11.424513588541791</v>
      </c>
      <c r="AD322" s="19">
        <f t="shared" si="16"/>
        <v>4.3695943006759999</v>
      </c>
      <c r="AE322" s="15">
        <f t="shared" si="17"/>
        <v>1.7295646431696323</v>
      </c>
      <c r="AF322" s="33">
        <f t="shared" si="18"/>
        <v>0.22409237416900138</v>
      </c>
      <c r="AG322" s="47">
        <f t="shared" si="19"/>
        <v>1.3211324097437025E-3</v>
      </c>
      <c r="AH322" s="18">
        <v>0.70781425219316585</v>
      </c>
      <c r="AI322" s="46">
        <v>1</v>
      </c>
      <c r="AJ322" s="18">
        <v>0.38203760470111248</v>
      </c>
      <c r="AK322" s="46">
        <v>1</v>
      </c>
      <c r="AL322" s="48"/>
      <c r="AM322" s="48"/>
      <c r="AN322" s="48"/>
      <c r="AO322" s="48"/>
      <c r="AP322" s="48"/>
      <c r="AQ322" s="48"/>
    </row>
    <row r="323" spans="1:43" ht="20" customHeight="1" x14ac:dyDescent="0.45">
      <c r="A323" s="26">
        <v>313</v>
      </c>
      <c r="B323" s="16" t="s">
        <v>610</v>
      </c>
      <c r="C323" s="16" t="s">
        <v>218</v>
      </c>
      <c r="D323" s="46">
        <v>29</v>
      </c>
      <c r="E323" s="46">
        <v>0</v>
      </c>
      <c r="F323" s="13">
        <v>-1.309490646534409E-2</v>
      </c>
      <c r="G323" s="13">
        <v>-0.14289283171443301</v>
      </c>
      <c r="H323" s="13">
        <v>5.5406711001988788E-2</v>
      </c>
      <c r="I323" s="13">
        <v>-1.311717520562814E-2</v>
      </c>
      <c r="J323" s="13">
        <v>-0.77548837561260597</v>
      </c>
      <c r="K323" s="13">
        <v>12.91902777777775</v>
      </c>
      <c r="L323" s="13">
        <v>-1.263270925917249</v>
      </c>
      <c r="M323" s="13">
        <v>0.48023430530459721</v>
      </c>
      <c r="N323" s="19">
        <f>(F323-Settings!$D$18)/Settings!$E$18</f>
        <v>-0.73517592179377333</v>
      </c>
      <c r="O323" s="19">
        <f>(G323-Settings!$D$19)/Settings!$E$19</f>
        <v>-0.56763876271082836</v>
      </c>
      <c r="P323" s="19">
        <f>(H323-Settings!$D$20)/Settings!$E$20</f>
        <v>2.065284551221282E-2</v>
      </c>
      <c r="Q323" s="19">
        <f>(I323-Settings!$D$21)/Settings!$E$21</f>
        <v>-0.12509681321425808</v>
      </c>
      <c r="R323" s="19">
        <f>(J323-Settings!$D$22)/Settings!$E$22</f>
        <v>-2.7533702919242411</v>
      </c>
      <c r="S323" s="19">
        <f>(K323-Settings!$D$23)/Settings!$E$23</f>
        <v>-0.81130290804797178</v>
      </c>
      <c r="T323" s="19">
        <f>(L323-Settings!$D$24)/Settings!$E$24</f>
        <v>-1.7778454618065744</v>
      </c>
      <c r="U323" s="19">
        <f>(M323-Settings!$D$25)/Settings!$E$25</f>
        <v>0.35984562212316867</v>
      </c>
      <c r="V323" s="31">
        <f>Settings!$B$18*(N323-F$6)^2</f>
        <v>0.42397248534869769</v>
      </c>
      <c r="W323" s="31">
        <f>Settings!$B$19*(O323-G$6)^2</f>
        <v>4.9786172695242714E-2</v>
      </c>
      <c r="X323" s="31">
        <f>Settings!$B$20*(P323-H$6)^2</f>
        <v>1.8136812472934619E-3</v>
      </c>
      <c r="Y323" s="31">
        <f>Settings!$B$21*(Q323-I$6)^2</f>
        <v>6.157589151127249E-2</v>
      </c>
      <c r="Z323" s="31">
        <f>Settings!$B$22*(R323-J$6)^2</f>
        <v>2.3011329692093816</v>
      </c>
      <c r="AA323" s="31">
        <f>Settings!$B$23*(S323-K$6)^2</f>
        <v>3.8336934381891381</v>
      </c>
      <c r="AB323" s="31">
        <f>Settings!$B$24*(T323-L$6)^2</f>
        <v>4.7163760973471804</v>
      </c>
      <c r="AC323" s="31">
        <f>Settings!$B$25*(U323-M$6)^2</f>
        <v>7.8938529380002942</v>
      </c>
      <c r="AD323" s="19">
        <f t="shared" si="16"/>
        <v>4.3911506092991734</v>
      </c>
      <c r="AE323" s="15">
        <f t="shared" si="17"/>
        <v>1.7380970209297657</v>
      </c>
      <c r="AF323" s="33">
        <f t="shared" si="18"/>
        <v>0.22080162012522261</v>
      </c>
      <c r="AG323" s="47">
        <f t="shared" si="19"/>
        <v>1.3017318306929736E-3</v>
      </c>
      <c r="AH323" s="18">
        <v>1.3404637163208379</v>
      </c>
      <c r="AI323" s="46">
        <v>0</v>
      </c>
      <c r="AJ323" s="18">
        <v>1.122590657812446</v>
      </c>
      <c r="AK323" s="46">
        <v>0</v>
      </c>
      <c r="AL323" s="18">
        <v>-1.8229485888640481E-2</v>
      </c>
      <c r="AM323" s="46">
        <v>0</v>
      </c>
      <c r="AN323" s="18">
        <v>-0.1824168659824745</v>
      </c>
      <c r="AO323" s="46">
        <v>0</v>
      </c>
      <c r="AP323" s="18">
        <v>-4.4922563491800897E-2</v>
      </c>
      <c r="AQ323" s="46">
        <v>1</v>
      </c>
    </row>
    <row r="324" spans="1:43" ht="20" customHeight="1" x14ac:dyDescent="0.45">
      <c r="A324" s="26">
        <v>314</v>
      </c>
      <c r="B324" s="16" t="s">
        <v>604</v>
      </c>
      <c r="C324" s="16" t="s">
        <v>260</v>
      </c>
      <c r="D324" s="46">
        <v>29</v>
      </c>
      <c r="E324" s="46">
        <v>1</v>
      </c>
      <c r="F324" s="13">
        <v>-0.29976241844679191</v>
      </c>
      <c r="G324" s="13">
        <v>-0.231737618350318</v>
      </c>
      <c r="H324" s="13">
        <v>6.9334571656793742E-4</v>
      </c>
      <c r="I324" s="13">
        <v>9.4197298140451524E-2</v>
      </c>
      <c r="J324" s="13">
        <v>0.37360931934587049</v>
      </c>
      <c r="K324" s="13">
        <v>11.557279693486599</v>
      </c>
      <c r="L324" s="13">
        <v>-3.4996015287986147E-2</v>
      </c>
      <c r="M324" s="13">
        <v>1.0363457572999399</v>
      </c>
      <c r="N324" s="19">
        <f>(F324-Settings!$D$18)/Settings!$E$18</f>
        <v>-1.7611410767962752</v>
      </c>
      <c r="O324" s="19">
        <f>(G324-Settings!$D$19)/Settings!$E$19</f>
        <v>-0.93777746766285752</v>
      </c>
      <c r="P324" s="19">
        <f>(H324-Settings!$D$20)/Settings!$E$20</f>
        <v>-0.4750607652537287</v>
      </c>
      <c r="Q324" s="19">
        <f>(I324-Settings!$D$21)/Settings!$E$21</f>
        <v>1.1945822695657125</v>
      </c>
      <c r="R324" s="19">
        <f>(J324-Settings!$D$22)/Settings!$E$22</f>
        <v>0.33833115655309448</v>
      </c>
      <c r="S324" s="19">
        <f>(K324-Settings!$D$23)/Settings!$E$23</f>
        <v>-1.2842066958415297</v>
      </c>
      <c r="T324" s="19">
        <f>(L324-Settings!$D$24)/Settings!$E$24</f>
        <v>-0.92867183143761012</v>
      </c>
      <c r="U324" s="19">
        <f>(M324-Settings!$D$25)/Settings!$E$25</f>
        <v>0.73489337904164065</v>
      </c>
      <c r="V324" s="31">
        <f>Settings!$B$18*(N324-F$6)^2</f>
        <v>1.2320051227620197</v>
      </c>
      <c r="W324" s="31">
        <f>Settings!$B$19*(O324-G$6)^2</f>
        <v>0.15105598474493881</v>
      </c>
      <c r="X324" s="31">
        <f>Settings!$B$20*(P324-H$6)^2</f>
        <v>6.9842439977938847E-2</v>
      </c>
      <c r="Y324" s="31">
        <f>Settings!$B$21*(Q324-I$6)^2</f>
        <v>0.11698693378624513</v>
      </c>
      <c r="Z324" s="31">
        <f>Settings!$B$22*(R324-J$6)^2</f>
        <v>1.8035858989670507E-2</v>
      </c>
      <c r="AA324" s="31">
        <f>Settings!$B$23*(S324-K$6)^2</f>
        <v>5.9092056212563397</v>
      </c>
      <c r="AB324" s="31">
        <f>Settings!$B$24*(T324-L$6)^2</f>
        <v>1.7491339781250488</v>
      </c>
      <c r="AC324" s="31">
        <f>Settings!$B$25*(U324-M$6)^2</f>
        <v>10.141982217499816</v>
      </c>
      <c r="AD324" s="19">
        <f t="shared" si="16"/>
        <v>4.4032088477770408</v>
      </c>
      <c r="AE324" s="15">
        <f t="shared" si="17"/>
        <v>1.74286989033025</v>
      </c>
      <c r="AF324" s="33">
        <f t="shared" si="18"/>
        <v>0.21897499641386736</v>
      </c>
      <c r="AG324" s="47">
        <f t="shared" si="19"/>
        <v>1.2909630046924164E-3</v>
      </c>
      <c r="AH324" s="18">
        <v>0.48819262011711378</v>
      </c>
      <c r="AI324" s="46">
        <v>1</v>
      </c>
      <c r="AJ324" s="18">
        <v>-0.37346700189401261</v>
      </c>
      <c r="AK324" s="46">
        <v>1</v>
      </c>
      <c r="AL324" s="18">
        <v>-0.28644014090691128</v>
      </c>
      <c r="AM324" s="46">
        <v>1</v>
      </c>
      <c r="AN324" s="48"/>
      <c r="AO324" s="48"/>
      <c r="AP324" s="48"/>
      <c r="AQ324" s="48"/>
    </row>
    <row r="325" spans="1:43" ht="20" customHeight="1" x14ac:dyDescent="0.45">
      <c r="A325" s="26">
        <v>315</v>
      </c>
      <c r="B325" s="16" t="s">
        <v>572</v>
      </c>
      <c r="C325" s="16" t="s">
        <v>246</v>
      </c>
      <c r="D325" s="46">
        <v>29</v>
      </c>
      <c r="E325" s="46">
        <v>1</v>
      </c>
      <c r="F325" s="13">
        <v>3.4774798283816667E-2</v>
      </c>
      <c r="G325" s="13">
        <v>-0.3151264595036351</v>
      </c>
      <c r="H325" s="13">
        <v>-6.2686827557473799E-3</v>
      </c>
      <c r="I325" s="13">
        <v>-0.23997684679445311</v>
      </c>
      <c r="J325" s="13">
        <v>0.40385321266234758</v>
      </c>
      <c r="K325" s="13">
        <v>12.371866666666669</v>
      </c>
      <c r="L325" s="13">
        <v>9.4404709407729825E-2</v>
      </c>
      <c r="M325" s="13">
        <v>1.1291791878423501</v>
      </c>
      <c r="N325" s="19">
        <f>(F325-Settings!$D$18)/Settings!$E$18</f>
        <v>-0.56385323261483666</v>
      </c>
      <c r="O325" s="19">
        <f>(G325-Settings!$D$19)/Settings!$E$19</f>
        <v>-1.2851860083399367</v>
      </c>
      <c r="P325" s="19">
        <f>(H325-Settings!$D$20)/Settings!$E$20</f>
        <v>-0.53813808199824142</v>
      </c>
      <c r="Q325" s="19">
        <f>(I325-Settings!$D$21)/Settings!$E$21</f>
        <v>-2.9148599643283264</v>
      </c>
      <c r="R325" s="19">
        <f>(J325-Settings!$D$22)/Settings!$E$22</f>
        <v>0.4197037754212623</v>
      </c>
      <c r="S325" s="19">
        <f>(K325-Settings!$D$23)/Settings!$E$23</f>
        <v>-1.0013193765583386</v>
      </c>
      <c r="T325" s="19">
        <f>(L325-Settings!$D$24)/Settings!$E$24</f>
        <v>-0.83921003244511816</v>
      </c>
      <c r="U325" s="19">
        <f>(M325-Settings!$D$25)/Settings!$E$25</f>
        <v>0.79750127853202779</v>
      </c>
      <c r="V325" s="31">
        <f>Settings!$B$18*(N325-F$6)^2</f>
        <v>0.33006617537560556</v>
      </c>
      <c r="W325" s="31">
        <f>Settings!$B$19*(O325-G$6)^2</f>
        <v>0.29596324059472412</v>
      </c>
      <c r="X325" s="31">
        <f>Settings!$B$20*(P325-H$6)^2</f>
        <v>8.5548198557034216E-2</v>
      </c>
      <c r="Y325" s="31">
        <f>Settings!$B$21*(Q325-I$6)^2</f>
        <v>2.2373126648961876</v>
      </c>
      <c r="Z325" s="31">
        <f>Settings!$B$22*(R325-J$6)^2</f>
        <v>9.5857237188165662E-3</v>
      </c>
      <c r="AA325" s="31">
        <f>Settings!$B$23*(S325-K$6)^2</f>
        <v>4.6138973393934464</v>
      </c>
      <c r="AB325" s="31">
        <f>Settings!$B$24*(T325-L$6)^2</f>
        <v>1.5205022931333534</v>
      </c>
      <c r="AC325" s="31">
        <f>Settings!$B$25*(U325-M$6)^2</f>
        <v>10.544670197269909</v>
      </c>
      <c r="AD325" s="19">
        <f t="shared" si="16"/>
        <v>4.4314270650591867</v>
      </c>
      <c r="AE325" s="15">
        <f t="shared" si="17"/>
        <v>1.7540391723152908</v>
      </c>
      <c r="AF325" s="33">
        <f t="shared" si="18"/>
        <v>0.21474012368338077</v>
      </c>
      <c r="AG325" s="47">
        <f t="shared" si="19"/>
        <v>1.2659963915440087E-3</v>
      </c>
      <c r="AH325" s="18">
        <v>1.261938142880667E-2</v>
      </c>
      <c r="AI325" s="46">
        <v>1</v>
      </c>
      <c r="AJ325" s="48"/>
      <c r="AK325" s="48"/>
      <c r="AL325" s="48"/>
      <c r="AM325" s="48"/>
      <c r="AN325" s="48"/>
      <c r="AO325" s="48"/>
      <c r="AP325" s="48"/>
      <c r="AQ325" s="48"/>
    </row>
    <row r="326" spans="1:43" ht="20" customHeight="1" x14ac:dyDescent="0.45">
      <c r="A326" s="26">
        <v>316</v>
      </c>
      <c r="B326" s="16" t="s">
        <v>345</v>
      </c>
      <c r="C326" s="16" t="s">
        <v>218</v>
      </c>
      <c r="D326" s="46">
        <v>29</v>
      </c>
      <c r="E326" s="46">
        <v>0</v>
      </c>
      <c r="F326" s="13">
        <v>4.9763326785736368E-2</v>
      </c>
      <c r="G326" s="13">
        <v>2.7533789900937231E-3</v>
      </c>
      <c r="H326" s="13">
        <v>-0.14370998243201979</v>
      </c>
      <c r="I326" s="13">
        <v>1.220651319416621E-2</v>
      </c>
      <c r="J326" s="13">
        <v>0.79156679859798385</v>
      </c>
      <c r="K326" s="13">
        <v>18.779885057471269</v>
      </c>
      <c r="L326" s="13">
        <v>2.3225537169916022</v>
      </c>
      <c r="M326" s="13">
        <v>2.7063515031180199</v>
      </c>
      <c r="N326" s="19">
        <f>(F326-Settings!$D$18)/Settings!$E$18</f>
        <v>-0.51021022346657063</v>
      </c>
      <c r="O326" s="19">
        <f>(G326-Settings!$D$19)/Settings!$E$19</f>
        <v>3.9141914609967472E-2</v>
      </c>
      <c r="P326" s="19">
        <f>(H326-Settings!$D$20)/Settings!$E$20</f>
        <v>-1.7833826867757039</v>
      </c>
      <c r="Q326" s="19">
        <f>(I326-Settings!$D$21)/Settings!$E$21</f>
        <v>0.18631637121495323</v>
      </c>
      <c r="R326" s="19">
        <f>(J326-Settings!$D$22)/Settings!$E$22</f>
        <v>1.4628654321634806</v>
      </c>
      <c r="S326" s="19">
        <f>(K326-Settings!$D$23)/Settings!$E$23</f>
        <v>1.2240380182638608</v>
      </c>
      <c r="T326" s="19">
        <f>(L326-Settings!$D$24)/Settings!$E$24</f>
        <v>0.70123125264443864</v>
      </c>
      <c r="U326" s="19">
        <f>(M326-Settings!$D$25)/Settings!$E$25</f>
        <v>1.8611638537149007</v>
      </c>
      <c r="V326" s="31">
        <f>Settings!$B$18*(N326-F$6)^2</f>
        <v>0.30307664929949496</v>
      </c>
      <c r="W326" s="31">
        <f>Settings!$B$19*(O326-G$6)^2</f>
        <v>2.3263658864654379E-3</v>
      </c>
      <c r="X326" s="31">
        <f>Settings!$B$20*(P326-H$6)^2</f>
        <v>0.72144052964448535</v>
      </c>
      <c r="Y326" s="31">
        <f>Settings!$B$21*(Q326-I$6)^2</f>
        <v>1.1854133698862936E-2</v>
      </c>
      <c r="Z326" s="31">
        <f>Settings!$B$22*(R326-J$6)^2</f>
        <v>0.13587286465561774</v>
      </c>
      <c r="AA326" s="31">
        <f>Settings!$B$23*(S326-K$6)^2</f>
        <v>5.984406409152607E-3</v>
      </c>
      <c r="AB326" s="31">
        <f>Settings!$B$24*(T326-L$6)^2</f>
        <v>9.4466969737311238E-2</v>
      </c>
      <c r="AC326" s="31">
        <f>Settings!$B$25*(U326-M$6)^2</f>
        <v>18.584017193197077</v>
      </c>
      <c r="AD326" s="19">
        <f t="shared" si="16"/>
        <v>4.4563481812498074</v>
      </c>
      <c r="AE326" s="15">
        <f t="shared" si="17"/>
        <v>1.7639034019132085</v>
      </c>
      <c r="AF326" s="33">
        <f t="shared" si="18"/>
        <v>0.21104632799687145</v>
      </c>
      <c r="AG326" s="47">
        <f t="shared" si="19"/>
        <v>1.2442196880104086E-3</v>
      </c>
      <c r="AH326" s="18">
        <v>-0.36616184352379189</v>
      </c>
      <c r="AI326" s="46">
        <v>0</v>
      </c>
      <c r="AJ326" s="18">
        <v>-2.1760416702245591</v>
      </c>
      <c r="AK326" s="46">
        <v>0</v>
      </c>
      <c r="AL326" s="18">
        <v>-6.1638291620662138E-2</v>
      </c>
      <c r="AM326" s="46">
        <v>0</v>
      </c>
      <c r="AN326" s="18">
        <v>0.1136299133182879</v>
      </c>
      <c r="AO326" s="46">
        <v>0</v>
      </c>
      <c r="AP326" s="18">
        <v>0.93171147639911789</v>
      </c>
      <c r="AQ326" s="46">
        <v>1</v>
      </c>
    </row>
    <row r="327" spans="1:43" ht="20" customHeight="1" x14ac:dyDescent="0.45">
      <c r="A327" s="26">
        <v>317</v>
      </c>
      <c r="B327" s="16" t="s">
        <v>386</v>
      </c>
      <c r="C327" s="16" t="s">
        <v>216</v>
      </c>
      <c r="D327" s="46">
        <v>29</v>
      </c>
      <c r="E327" s="46">
        <v>1</v>
      </c>
      <c r="F327" s="13">
        <v>0.36120863525959102</v>
      </c>
      <c r="G327" s="13">
        <v>-0.2113821608951891</v>
      </c>
      <c r="H327" s="13">
        <v>0.1088943695138872</v>
      </c>
      <c r="I327" s="13">
        <v>-2.0897203004774559E-2</v>
      </c>
      <c r="J327" s="13">
        <v>0.29761763132655822</v>
      </c>
      <c r="K327" s="13">
        <v>17.238117283950618</v>
      </c>
      <c r="L327" s="13">
        <v>0.44317393378671821</v>
      </c>
      <c r="M327" s="13">
        <v>2.679942429822133</v>
      </c>
      <c r="N327" s="19">
        <f>(F327-Settings!$D$18)/Settings!$E$18</f>
        <v>0.6044331205753567</v>
      </c>
      <c r="O327" s="19">
        <f>(G327-Settings!$D$19)/Settings!$E$19</f>
        <v>-0.85297403747369249</v>
      </c>
      <c r="P327" s="19">
        <f>(H327-Settings!$D$20)/Settings!$E$20</f>
        <v>0.50526131720887135</v>
      </c>
      <c r="Q327" s="19">
        <f>(I327-Settings!$D$21)/Settings!$E$21</f>
        <v>-0.22077020776999157</v>
      </c>
      <c r="R327" s="19">
        <f>(J327-Settings!$D$22)/Settings!$E$22</f>
        <v>0.13387194220401741</v>
      </c>
      <c r="S327" s="19">
        <f>(K327-Settings!$D$23)/Settings!$E$23</f>
        <v>0.68861753307515672</v>
      </c>
      <c r="T327" s="19">
        <f>(L327-Settings!$D$24)/Settings!$E$24</f>
        <v>-0.59808679051946201</v>
      </c>
      <c r="U327" s="19">
        <f>(M327-Settings!$D$25)/Settings!$E$25</f>
        <v>1.8433532805530288</v>
      </c>
      <c r="V327" s="31">
        <f>Settings!$B$18*(N327-F$6)^2</f>
        <v>2.7081948488892685E-3</v>
      </c>
      <c r="W327" s="31">
        <f>Settings!$B$19*(O327-G$6)^2</f>
        <v>0.12301431576607005</v>
      </c>
      <c r="X327" s="31">
        <f>Settings!$B$20*(P327-H$6)^2</f>
        <v>3.0323402336598256E-2</v>
      </c>
      <c r="Y327" s="31">
        <f>Settings!$B$21*(Q327-I$6)^2</f>
        <v>8.4641046342811666E-2</v>
      </c>
      <c r="Z327" s="31">
        <f>Settings!$B$22*(R327-J$6)^2</f>
        <v>5.0956105621330086E-2</v>
      </c>
      <c r="AA327" s="31">
        <f>Settings!$B$23*(S327-K$6)^2</f>
        <v>0.20982037437717446</v>
      </c>
      <c r="AB327" s="31">
        <f>Settings!$B$24*(T327-L$6)^2</f>
        <v>0.98399108658631818</v>
      </c>
      <c r="AC327" s="31">
        <f>Settings!$B$25*(U327-M$6)^2</f>
        <v>18.430774555664314</v>
      </c>
      <c r="AD327" s="19">
        <f t="shared" si="16"/>
        <v>4.4627602536483524</v>
      </c>
      <c r="AE327" s="15">
        <f t="shared" si="17"/>
        <v>1.7664414164168092</v>
      </c>
      <c r="AF327" s="33">
        <f t="shared" si="18"/>
        <v>0.21010294821003939</v>
      </c>
      <c r="AG327" s="47">
        <f t="shared" si="19"/>
        <v>1.2386580100831577E-3</v>
      </c>
      <c r="AH327" s="18">
        <v>1.758820855641124</v>
      </c>
      <c r="AI327" s="46">
        <v>1</v>
      </c>
      <c r="AJ327" s="18">
        <v>-0.87591986386467835</v>
      </c>
      <c r="AK327" s="46">
        <v>1</v>
      </c>
      <c r="AL327" s="48"/>
      <c r="AM327" s="48"/>
      <c r="AN327" s="48"/>
      <c r="AO327" s="48"/>
      <c r="AP327" s="48"/>
      <c r="AQ327" s="48"/>
    </row>
    <row r="328" spans="1:43" ht="20" customHeight="1" x14ac:dyDescent="0.45">
      <c r="A328" s="26">
        <v>318</v>
      </c>
      <c r="B328" s="16" t="s">
        <v>317</v>
      </c>
      <c r="C328" s="16" t="s">
        <v>216</v>
      </c>
      <c r="D328" s="46">
        <v>29</v>
      </c>
      <c r="E328" s="46">
        <v>1</v>
      </c>
      <c r="F328" s="13">
        <v>0.21547084590316931</v>
      </c>
      <c r="G328" s="13">
        <v>0.22629704092072939</v>
      </c>
      <c r="H328" s="13">
        <v>-5.884733119957785E-2</v>
      </c>
      <c r="I328" s="13">
        <v>7.7241822920066384E-6</v>
      </c>
      <c r="J328" s="13">
        <v>0.49937705779423142</v>
      </c>
      <c r="K328" s="13">
        <v>14.021158392434961</v>
      </c>
      <c r="L328" s="13">
        <v>2.4294887529943048</v>
      </c>
      <c r="M328" s="13">
        <v>2.444707669326903</v>
      </c>
      <c r="N328" s="19">
        <f>(F328-Settings!$D$18)/Settings!$E$18</f>
        <v>8.2846657521741807E-2</v>
      </c>
      <c r="O328" s="19">
        <f>(G328-Settings!$D$19)/Settings!$E$19</f>
        <v>0.97045330225890358</v>
      </c>
      <c r="P328" s="19">
        <f>(H328-Settings!$D$20)/Settings!$E$20</f>
        <v>-1.0145107476772315</v>
      </c>
      <c r="Q328" s="19">
        <f>(I328-Settings!$D$21)/Settings!$E$21</f>
        <v>3.6304111057832197E-2</v>
      </c>
      <c r="R328" s="19">
        <f>(J328-Settings!$D$22)/Settings!$E$22</f>
        <v>0.6767151780670938</v>
      </c>
      <c r="S328" s="19">
        <f>(K328-Settings!$D$23)/Settings!$E$23</f>
        <v>-0.42855829593717465</v>
      </c>
      <c r="T328" s="19">
        <f>(L328-Settings!$D$24)/Settings!$E$24</f>
        <v>0.77516129220661567</v>
      </c>
      <c r="U328" s="19">
        <f>(M328-Settings!$D$25)/Settings!$E$25</f>
        <v>1.6847083381472592</v>
      </c>
      <c r="V328" s="31">
        <f>Settings!$B$18*(N328-F$6)^2</f>
        <v>8.1396590394405388E-2</v>
      </c>
      <c r="W328" s="31">
        <f>Settings!$B$19*(O328-G$6)^2</f>
        <v>0.21597167668331943</v>
      </c>
      <c r="X328" s="31">
        <f>Settings!$B$20*(P328-H$6)^2</f>
        <v>0.25555711210849569</v>
      </c>
      <c r="Y328" s="31">
        <f>Settings!$B$21*(Q328-I$6)^2</f>
        <v>3.0963404105911693E-2</v>
      </c>
      <c r="Z328" s="31">
        <f>Settings!$B$22*(R328-J$6)^2</f>
        <v>2.900987050076912E-4</v>
      </c>
      <c r="AA328" s="31">
        <f>Settings!$B$23*(S328-K$6)^2</f>
        <v>2.4813727685609561</v>
      </c>
      <c r="AB328" s="31">
        <f>Settings!$B$24*(T328-L$6)^2</f>
        <v>0.14537812472945652</v>
      </c>
      <c r="AC328" s="31">
        <f>Settings!$B$25*(U328-M$6)^2</f>
        <v>17.09378309505847</v>
      </c>
      <c r="AD328" s="19">
        <f t="shared" si="16"/>
        <v>4.5060751070467102</v>
      </c>
      <c r="AE328" s="15">
        <f t="shared" si="17"/>
        <v>1.7835862206725008</v>
      </c>
      <c r="AF328" s="33">
        <f t="shared" si="18"/>
        <v>0.20380535082031037</v>
      </c>
      <c r="AG328" s="47">
        <f t="shared" si="19"/>
        <v>1.2015306422022063E-3</v>
      </c>
      <c r="AH328" s="48"/>
      <c r="AI328" s="48"/>
      <c r="AJ328" s="48"/>
      <c r="AK328" s="48"/>
      <c r="AL328" s="48"/>
      <c r="AM328" s="48"/>
      <c r="AN328" s="48"/>
      <c r="AO328" s="48"/>
      <c r="AP328" s="48"/>
      <c r="AQ328" s="48"/>
    </row>
    <row r="329" spans="1:43" ht="20" customHeight="1" x14ac:dyDescent="0.45">
      <c r="A329" s="26">
        <v>319</v>
      </c>
      <c r="B329" s="16" t="s">
        <v>521</v>
      </c>
      <c r="C329" s="16" t="s">
        <v>216</v>
      </c>
      <c r="D329" s="46">
        <v>29</v>
      </c>
      <c r="E329" s="46">
        <v>1</v>
      </c>
      <c r="F329" s="13">
        <v>-0.3740434146052915</v>
      </c>
      <c r="G329" s="13">
        <v>7.1197878246397672E-2</v>
      </c>
      <c r="H329" s="13">
        <v>-2.9766189234997618E-3</v>
      </c>
      <c r="I329" s="13">
        <v>-2.88945907324938E-2</v>
      </c>
      <c r="J329" s="13">
        <v>0.52288749749231733</v>
      </c>
      <c r="K329" s="13">
        <v>9.6937499999999996</v>
      </c>
      <c r="L329" s="13">
        <v>0.1068242877284547</v>
      </c>
      <c r="M329" s="13">
        <v>0.44497869643478227</v>
      </c>
      <c r="N329" s="19">
        <f>(F329-Settings!$D$18)/Settings!$E$18</f>
        <v>-2.0269881314929625</v>
      </c>
      <c r="O329" s="19">
        <f>(G329-Settings!$D$19)/Settings!$E$19</f>
        <v>0.32429042219370807</v>
      </c>
      <c r="P329" s="19">
        <f>(H329-Settings!$D$20)/Settings!$E$20</f>
        <v>-0.50831135062022692</v>
      </c>
      <c r="Q329" s="19">
        <f>(I329-Settings!$D$21)/Settings!$E$21</f>
        <v>-0.31911654421537161</v>
      </c>
      <c r="R329" s="19">
        <f>(J329-Settings!$D$22)/Settings!$E$22</f>
        <v>0.73997112296004564</v>
      </c>
      <c r="S329" s="19">
        <f>(K329-Settings!$D$23)/Settings!$E$23</f>
        <v>-1.9313676949145124</v>
      </c>
      <c r="T329" s="19">
        <f>(L329-Settings!$D$24)/Settings!$E$24</f>
        <v>-0.83062369862115482</v>
      </c>
      <c r="U329" s="19">
        <f>(M329-Settings!$D$25)/Settings!$E$25</f>
        <v>0.33606884684192562</v>
      </c>
      <c r="V329" s="31">
        <f>Settings!$B$18*(N329-F$6)^2</f>
        <v>1.5100666178558733</v>
      </c>
      <c r="W329" s="31">
        <f>Settings!$B$19*(O329-G$6)^2</f>
        <v>3.0889716201757969E-2</v>
      </c>
      <c r="X329" s="31">
        <f>Settings!$B$20*(P329-H$6)^2</f>
        <v>7.7923224445509268E-2</v>
      </c>
      <c r="Y329" s="31">
        <f>Settings!$B$21*(Q329-I$6)^2</f>
        <v>0.11216682590078286</v>
      </c>
      <c r="Z329" s="31">
        <f>Settings!$B$22*(R329-J$6)^2</f>
        <v>2.0540114187526256E-3</v>
      </c>
      <c r="AA329" s="31">
        <f>Settings!$B$23*(S329-K$6)^2</f>
        <v>9.4743719055956834</v>
      </c>
      <c r="AB329" s="31">
        <f>Settings!$B$24*(T329-L$6)^2</f>
        <v>1.4994006337788297</v>
      </c>
      <c r="AC329" s="31">
        <f>Settings!$B$25*(U329-M$6)^2</f>
        <v>7.7608118107987325</v>
      </c>
      <c r="AD329" s="19">
        <f t="shared" si="16"/>
        <v>4.5241225387909116</v>
      </c>
      <c r="AE329" s="15">
        <f t="shared" si="17"/>
        <v>1.7907297213494309</v>
      </c>
      <c r="AF329" s="33">
        <f t="shared" si="18"/>
        <v>0.20121999490030598</v>
      </c>
      <c r="AG329" s="47">
        <f t="shared" si="19"/>
        <v>1.1862887246255527E-3</v>
      </c>
      <c r="AH329" s="48"/>
      <c r="AI329" s="48"/>
      <c r="AJ329" s="48"/>
      <c r="AK329" s="48"/>
      <c r="AL329" s="48"/>
      <c r="AM329" s="48"/>
      <c r="AN329" s="48"/>
      <c r="AO329" s="48"/>
      <c r="AP329" s="48"/>
      <c r="AQ329" s="48"/>
    </row>
    <row r="330" spans="1:43" ht="20" customHeight="1" x14ac:dyDescent="0.45">
      <c r="A330" s="26">
        <v>320</v>
      </c>
      <c r="B330" s="16" t="s">
        <v>770</v>
      </c>
      <c r="C330" s="16" t="s">
        <v>246</v>
      </c>
      <c r="D330" s="46">
        <v>29</v>
      </c>
      <c r="E330" s="46">
        <v>1</v>
      </c>
      <c r="F330" s="13">
        <v>0.1198823088808337</v>
      </c>
      <c r="G330" s="13">
        <v>-0.47294052933276381</v>
      </c>
      <c r="H330" s="13">
        <v>5.2926454486318698E-3</v>
      </c>
      <c r="I330" s="13">
        <v>1.529869245855525E-2</v>
      </c>
      <c r="J330" s="13">
        <v>-0.38658582387921531</v>
      </c>
      <c r="K330" s="13">
        <v>12.78843843843844</v>
      </c>
      <c r="L330" s="13">
        <v>-1.291181961480405</v>
      </c>
      <c r="M330" s="13">
        <v>0.93042513146327677</v>
      </c>
      <c r="N330" s="19">
        <f>(F330-Settings!$D$18)/Settings!$E$18</f>
        <v>-0.25925875764971901</v>
      </c>
      <c r="O330" s="19">
        <f>(G330-Settings!$D$19)/Settings!$E$19</f>
        <v>-1.9426595376440114</v>
      </c>
      <c r="P330" s="19">
        <f>(H330-Settings!$D$20)/Settings!$E$20</f>
        <v>-0.43339022524430693</v>
      </c>
      <c r="Q330" s="19">
        <f>(I330-Settings!$D$21)/Settings!$E$21</f>
        <v>0.22434185061380679</v>
      </c>
      <c r="R330" s="19">
        <f>(J330-Settings!$D$22)/Settings!$E$22</f>
        <v>-1.7070096667259596</v>
      </c>
      <c r="S330" s="19">
        <f>(K330-Settings!$D$23)/Settings!$E$23</f>
        <v>-0.85665358188509666</v>
      </c>
      <c r="T330" s="19">
        <f>(L330-Settings!$D$24)/Settings!$E$24</f>
        <v>-1.7971418873798854</v>
      </c>
      <c r="U330" s="19">
        <f>(M330-Settings!$D$25)/Settings!$E$25</f>
        <v>0.66345932928613593</v>
      </c>
      <c r="V330" s="31">
        <f>Settings!$B$18*(N330-F$6)^2</f>
        <v>0.19210256814023821</v>
      </c>
      <c r="W330" s="31">
        <f>Settings!$B$19*(O330-G$6)^2</f>
        <v>0.70233808997236202</v>
      </c>
      <c r="X330" s="31">
        <f>Settings!$B$20*(P330-H$6)^2</f>
        <v>6.0339781347328036E-2</v>
      </c>
      <c r="Y330" s="31">
        <f>Settings!$B$21*(Q330-I$6)^2</f>
        <v>8.4403135262561737E-3</v>
      </c>
      <c r="Z330" s="31">
        <f>Settings!$B$22*(R330-J$6)^2</f>
        <v>1.1004049323358884</v>
      </c>
      <c r="AA330" s="31">
        <f>Settings!$B$23*(S330-K$6)^2</f>
        <v>4.0133417262114346</v>
      </c>
      <c r="AB330" s="31">
        <f>Settings!$B$24*(T330-L$6)^2</f>
        <v>4.8005613901734039</v>
      </c>
      <c r="AC330" s="31">
        <f>Settings!$B$25*(U330-M$6)^2</f>
        <v>9.6921004485406961</v>
      </c>
      <c r="AD330" s="19">
        <f t="shared" si="16"/>
        <v>4.5353753152575598</v>
      </c>
      <c r="AE330" s="15">
        <f t="shared" si="17"/>
        <v>1.7951837742831769</v>
      </c>
      <c r="AF330" s="33">
        <f t="shared" si="18"/>
        <v>0.19961946661585317</v>
      </c>
      <c r="AG330" s="47">
        <f t="shared" si="19"/>
        <v>1.1768528399947467E-3</v>
      </c>
      <c r="AH330" s="18">
        <v>1.1377075738061739</v>
      </c>
      <c r="AI330" s="46">
        <v>1</v>
      </c>
      <c r="AJ330" s="48"/>
      <c r="AK330" s="48"/>
      <c r="AL330" s="48"/>
      <c r="AM330" s="48"/>
      <c r="AN330" s="48"/>
      <c r="AO330" s="48"/>
      <c r="AP330" s="48"/>
      <c r="AQ330" s="48"/>
    </row>
    <row r="331" spans="1:43" ht="20" customHeight="1" x14ac:dyDescent="0.45">
      <c r="A331" s="26">
        <v>321</v>
      </c>
      <c r="B331" s="16" t="s">
        <v>774</v>
      </c>
      <c r="C331" s="16" t="s">
        <v>214</v>
      </c>
      <c r="D331" s="46">
        <v>29</v>
      </c>
      <c r="E331" s="46">
        <v>1</v>
      </c>
      <c r="F331" s="13">
        <v>0.35005149756046899</v>
      </c>
      <c r="G331" s="13">
        <v>0.33480882243842602</v>
      </c>
      <c r="H331" s="13">
        <v>3.7017692710492969E-3</v>
      </c>
      <c r="I331" s="13">
        <v>-7.62751240621551E-2</v>
      </c>
      <c r="J331" s="13">
        <v>0.23516278666790069</v>
      </c>
      <c r="K331" s="13">
        <v>10.91100628930818</v>
      </c>
      <c r="L331" s="13">
        <v>0.44072119677876881</v>
      </c>
      <c r="M331" s="13">
        <v>1.3884749667604761</v>
      </c>
      <c r="N331" s="19">
        <f>(F331-Settings!$D$18)/Settings!$E$18</f>
        <v>0.56450242026773068</v>
      </c>
      <c r="O331" s="19">
        <f>(G331-Settings!$D$19)/Settings!$E$19</f>
        <v>1.4225272145707721</v>
      </c>
      <c r="P331" s="19">
        <f>(H331-Settings!$D$20)/Settings!$E$20</f>
        <v>-0.44780386933578292</v>
      </c>
      <c r="Q331" s="19">
        <f>(I331-Settings!$D$21)/Settings!$E$21</f>
        <v>-0.90176953422231043</v>
      </c>
      <c r="R331" s="19">
        <f>(J331-Settings!$D$22)/Settings!$E$22</f>
        <v>-3.4165757760715329E-2</v>
      </c>
      <c r="S331" s="19">
        <f>(K331-Settings!$D$23)/Settings!$E$23</f>
        <v>-1.5086425840295443</v>
      </c>
      <c r="T331" s="19">
        <f>(L331-Settings!$D$24)/Settings!$E$24</f>
        <v>-0.59978250177380465</v>
      </c>
      <c r="U331" s="19">
        <f>(M331-Settings!$D$25)/Settings!$E$25</f>
        <v>0.97237323974185663</v>
      </c>
      <c r="V331" s="31">
        <f>Settings!$B$18*(N331-F$6)^2</f>
        <v>4.8857124415652604E-3</v>
      </c>
      <c r="W331" s="31">
        <f>Settings!$B$19*(O331-G$6)^2</f>
        <v>0.44475711621558295</v>
      </c>
      <c r="X331" s="31">
        <f>Settings!$B$20*(P331-H$6)^2</f>
        <v>6.3548132100863533E-2</v>
      </c>
      <c r="Y331" s="31">
        <f>Settings!$B$21*(Q331-I$6)^2</f>
        <v>0.35460059915454456</v>
      </c>
      <c r="Z331" s="31">
        <f>Settings!$B$22*(R331-J$6)^2</f>
        <v>9.0530781332321231E-2</v>
      </c>
      <c r="AA331" s="31">
        <f>Settings!$B$23*(S331-K$6)^2</f>
        <v>7.0507331023994277</v>
      </c>
      <c r="AB331" s="31">
        <f>Settings!$B$24*(T331-L$6)^2</f>
        <v>0.98735812851208971</v>
      </c>
      <c r="AC331" s="31">
        <f>Settings!$B$25*(U331-M$6)^2</f>
        <v>11.710958378882554</v>
      </c>
      <c r="AD331" s="19">
        <f t="shared" ref="AD331:AD394" si="20">SQRT(SUM(V331:AC331))</f>
        <v>4.5505353477408512</v>
      </c>
      <c r="AE331" s="15">
        <f t="shared" ref="AE331:AE394" si="21">AD331/Yardstick</f>
        <v>1.801184389985268</v>
      </c>
      <c r="AF331" s="33">
        <f t="shared" ref="AF331:AF363" si="22">EXP(-(AD331^2)/(2*Yardstick^2))</f>
        <v>0.19747710935397614</v>
      </c>
      <c r="AG331" s="47">
        <f t="shared" ref="AG331:AG394" si="23">AF331/$E$7</f>
        <v>1.16422261273953E-3</v>
      </c>
      <c r="AH331" s="48"/>
      <c r="AI331" s="48"/>
      <c r="AJ331" s="48"/>
      <c r="AK331" s="48"/>
      <c r="AL331" s="48"/>
      <c r="AM331" s="48"/>
      <c r="AN331" s="48"/>
      <c r="AO331" s="48"/>
      <c r="AP331" s="48"/>
      <c r="AQ331" s="48"/>
    </row>
    <row r="332" spans="1:43" ht="20" customHeight="1" x14ac:dyDescent="0.45">
      <c r="A332" s="26">
        <v>322</v>
      </c>
      <c r="B332" s="16" t="s">
        <v>586</v>
      </c>
      <c r="C332" s="16" t="s">
        <v>220</v>
      </c>
      <c r="D332" s="46">
        <v>29</v>
      </c>
      <c r="E332" s="46">
        <v>1</v>
      </c>
      <c r="F332" s="13">
        <v>0.29099725730386861</v>
      </c>
      <c r="G332" s="13">
        <v>-7.8538215398939376E-2</v>
      </c>
      <c r="H332" s="13">
        <v>-2.0933516315740409E-2</v>
      </c>
      <c r="I332" s="13">
        <v>-0.49887153072625362</v>
      </c>
      <c r="J332" s="13">
        <v>0.1106594802551979</v>
      </c>
      <c r="K332" s="13">
        <v>14.85000000000003</v>
      </c>
      <c r="L332" s="13">
        <v>-0.38071197997833689</v>
      </c>
      <c r="M332" s="13">
        <v>0.46077113501649308</v>
      </c>
      <c r="N332" s="19">
        <f>(F332-Settings!$D$18)/Settings!$E$18</f>
        <v>0.35315097573313337</v>
      </c>
      <c r="O332" s="19">
        <f>(G332-Settings!$D$19)/Settings!$E$19</f>
        <v>-0.29952922873981169</v>
      </c>
      <c r="P332" s="19">
        <f>(H332-Settings!$D$20)/Settings!$E$20</f>
        <v>-0.67100429407243778</v>
      </c>
      <c r="Q332" s="19">
        <f>(I332-Settings!$D$21)/Settings!$E$21</f>
        <v>-6.0985675144358726</v>
      </c>
      <c r="R332" s="19">
        <f>(J332-Settings!$D$22)/Settings!$E$22</f>
        <v>-0.36914776535257671</v>
      </c>
      <c r="S332" s="19">
        <f>(K332-Settings!$D$23)/Settings!$E$23</f>
        <v>-0.14072067000619606</v>
      </c>
      <c r="T332" s="19">
        <f>(L332-Settings!$D$24)/Settings!$E$24</f>
        <v>-1.1676841879321447</v>
      </c>
      <c r="U332" s="19">
        <f>(M332-Settings!$D$25)/Settings!$E$25</f>
        <v>0.34671944330975907</v>
      </c>
      <c r="V332" s="31">
        <f>Settings!$B$18*(N332-F$6)^2</f>
        <v>2.7032986367875059E-2</v>
      </c>
      <c r="W332" s="31">
        <f>Settings!$B$19*(O332-G$6)^2</f>
        <v>1.0655591468504533E-2</v>
      </c>
      <c r="X332" s="31">
        <f>Settings!$B$20*(P332-H$6)^2</f>
        <v>0.12383770118657514</v>
      </c>
      <c r="Y332" s="31">
        <f>Settings!$B$21*(Q332-I$6)^2</f>
        <v>8.5238434988730152</v>
      </c>
      <c r="Z332" s="31">
        <f>Settings!$B$22*(R332-J$6)^2</f>
        <v>0.20312313746274149</v>
      </c>
      <c r="AA332" s="31">
        <f>Settings!$B$23*(S332-K$6)^2</f>
        <v>1.6573980983454142</v>
      </c>
      <c r="AB332" s="31">
        <f>Settings!$B$24*(T332-L$6)^2</f>
        <v>2.4384716511964095</v>
      </c>
      <c r="AC332" s="31">
        <f>Settings!$B$25*(U332-M$6)^2</f>
        <v>7.8202666069474827</v>
      </c>
      <c r="AD332" s="19">
        <f t="shared" si="20"/>
        <v>4.5612091896610067</v>
      </c>
      <c r="AE332" s="15">
        <f t="shared" si="21"/>
        <v>1.805409290129665</v>
      </c>
      <c r="AF332" s="33">
        <f t="shared" si="22"/>
        <v>0.19597829759404548</v>
      </c>
      <c r="AG332" s="47">
        <f t="shared" si="23"/>
        <v>1.1553863959807391E-3</v>
      </c>
      <c r="AH332" s="18">
        <v>0.18002605713611439</v>
      </c>
      <c r="AI332" s="46">
        <v>1</v>
      </c>
      <c r="AJ332" s="18">
        <v>4.0876930907389947E-2</v>
      </c>
      <c r="AK332" s="46">
        <v>1</v>
      </c>
      <c r="AL332" s="18">
        <v>-0.13244306768066111</v>
      </c>
      <c r="AM332" s="46">
        <v>1</v>
      </c>
      <c r="AN332" s="18">
        <v>6.7977848396759577E-2</v>
      </c>
      <c r="AO332" s="46">
        <v>1</v>
      </c>
      <c r="AP332" s="48"/>
      <c r="AQ332" s="48"/>
    </row>
    <row r="333" spans="1:43" ht="20" customHeight="1" x14ac:dyDescent="0.45">
      <c r="A333" s="26">
        <v>323</v>
      </c>
      <c r="B333" s="16" t="s">
        <v>238</v>
      </c>
      <c r="C333" s="16" t="s">
        <v>214</v>
      </c>
      <c r="D333" s="46">
        <v>29</v>
      </c>
      <c r="E333" s="46">
        <v>1</v>
      </c>
      <c r="F333" s="13">
        <v>0.44796529540480429</v>
      </c>
      <c r="G333" s="13">
        <v>-0.31947810702267643</v>
      </c>
      <c r="H333" s="13">
        <v>-3.4343901115307149E-2</v>
      </c>
      <c r="I333" s="13">
        <v>4.2688263670238558E-5</v>
      </c>
      <c r="J333" s="13">
        <v>0.19817000819354191</v>
      </c>
      <c r="K333" s="13">
        <v>19.776712328767118</v>
      </c>
      <c r="L333" s="13">
        <v>0.65027424869678274</v>
      </c>
      <c r="M333" s="13">
        <v>2.8291781498578992</v>
      </c>
      <c r="N333" s="19">
        <f>(F333-Settings!$D$18)/Settings!$E$18</f>
        <v>0.91492979896821025</v>
      </c>
      <c r="O333" s="19">
        <f>(G333-Settings!$D$19)/Settings!$E$19</f>
        <v>-1.3033155265491132</v>
      </c>
      <c r="P333" s="19">
        <f>(H333-Settings!$D$20)/Settings!$E$20</f>
        <v>-0.79250495914897079</v>
      </c>
      <c r="Q333" s="19">
        <f>(I333-Settings!$D$21)/Settings!$E$21</f>
        <v>3.6734075119573127E-2</v>
      </c>
      <c r="R333" s="19">
        <f>(J333-Settings!$D$22)/Settings!$E$22</f>
        <v>-0.13369656988762427</v>
      </c>
      <c r="S333" s="19">
        <f>(K333-Settings!$D$23)/Settings!$E$23</f>
        <v>1.5702132013316672</v>
      </c>
      <c r="T333" s="19">
        <f>(L333-Settings!$D$24)/Settings!$E$24</f>
        <v>-0.45490701476988038</v>
      </c>
      <c r="U333" s="19">
        <f>(M333-Settings!$D$25)/Settings!$E$25</f>
        <v>1.9439995122583882</v>
      </c>
      <c r="V333" s="31">
        <f>Settings!$B$18*(N333-F$6)^2</f>
        <v>7.5373679856463975E-3</v>
      </c>
      <c r="W333" s="31">
        <f>Settings!$B$19*(O333-G$6)^2</f>
        <v>0.30485063298588788</v>
      </c>
      <c r="X333" s="31">
        <f>Settings!$B$20*(P333-H$6)^2</f>
        <v>0.16503301936921644</v>
      </c>
      <c r="Y333" s="31">
        <f>Settings!$B$21*(Q333-I$6)^2</f>
        <v>3.0895770250113946E-2</v>
      </c>
      <c r="Z333" s="31">
        <f>Settings!$B$22*(R333-J$6)^2</f>
        <v>0.11929761445393086</v>
      </c>
      <c r="AA333" s="31">
        <f>Settings!$B$23*(S333-K$6)^2</f>
        <v>0.17938115784423075</v>
      </c>
      <c r="AB333" s="31">
        <f>Settings!$B$24*(T333-L$6)^2</f>
        <v>0.72043338379535671</v>
      </c>
      <c r="AC333" s="31">
        <f>Settings!$B$25*(U333-M$6)^2</f>
        <v>19.305074463743306</v>
      </c>
      <c r="AD333" s="19">
        <f t="shared" si="20"/>
        <v>4.5642637314716694</v>
      </c>
      <c r="AE333" s="15">
        <f t="shared" si="21"/>
        <v>1.8066183331559222</v>
      </c>
      <c r="AF333" s="33">
        <f t="shared" si="22"/>
        <v>0.19555083635605083</v>
      </c>
      <c r="AG333" s="47">
        <f t="shared" si="23"/>
        <v>1.1528663062297243E-3</v>
      </c>
      <c r="AH333" s="48"/>
      <c r="AI333" s="48"/>
      <c r="AJ333" s="48"/>
      <c r="AK333" s="48"/>
      <c r="AL333" s="48"/>
      <c r="AM333" s="48"/>
      <c r="AN333" s="48"/>
      <c r="AO333" s="48"/>
      <c r="AP333" s="48"/>
      <c r="AQ333" s="48"/>
    </row>
    <row r="334" spans="1:43" ht="20" customHeight="1" x14ac:dyDescent="0.45">
      <c r="A334" s="26">
        <v>324</v>
      </c>
      <c r="B334" s="16" t="s">
        <v>276</v>
      </c>
      <c r="C334" s="16" t="s">
        <v>216</v>
      </c>
      <c r="D334" s="46">
        <v>29</v>
      </c>
      <c r="E334" s="46">
        <v>1</v>
      </c>
      <c r="F334" s="13">
        <v>0.33484926840869039</v>
      </c>
      <c r="G334" s="13">
        <v>-6.374126738671158E-3</v>
      </c>
      <c r="H334" s="13">
        <v>0.1316790909029473</v>
      </c>
      <c r="I334" s="13">
        <v>-5.3449796214814813E-5</v>
      </c>
      <c r="J334" s="13">
        <v>0.52704406415347638</v>
      </c>
      <c r="K334" s="13">
        <v>17.543939393939411</v>
      </c>
      <c r="L334" s="13">
        <v>4.3898153822134063</v>
      </c>
      <c r="M334" s="13">
        <v>2.5390516889213681</v>
      </c>
      <c r="N334" s="19">
        <f>(F334-Settings!$D$18)/Settings!$E$18</f>
        <v>0.51009458981536515</v>
      </c>
      <c r="O334" s="19">
        <f>(G334-Settings!$D$19)/Settings!$E$19</f>
        <v>1.1155623859115346E-3</v>
      </c>
      <c r="P334" s="19">
        <f>(H334-Settings!$D$20)/Settings!$E$20</f>
        <v>0.71169527445398695</v>
      </c>
      <c r="Q334" s="19">
        <f>(I334-Settings!$D$21)/Settings!$E$21</f>
        <v>3.5551835830374884E-2</v>
      </c>
      <c r="R334" s="19">
        <f>(J334-Settings!$D$22)/Settings!$E$22</f>
        <v>0.75115456125548352</v>
      </c>
      <c r="S334" s="19">
        <f>(K334-Settings!$D$23)/Settings!$E$23</f>
        <v>0.79482251758960265</v>
      </c>
      <c r="T334" s="19">
        <f>(L334-Settings!$D$24)/Settings!$E$24</f>
        <v>2.1304423176816956</v>
      </c>
      <c r="U334" s="19">
        <f>(M334-Settings!$D$25)/Settings!$E$25</f>
        <v>1.7483349957185419</v>
      </c>
      <c r="V334" s="31">
        <f>Settings!$B$18*(N334-F$6)^2</f>
        <v>8.8792538868444626E-3</v>
      </c>
      <c r="W334" s="31">
        <f>Settings!$B$19*(O334-G$6)^2</f>
        <v>9.7509515200822679E-4</v>
      </c>
      <c r="X334" s="31">
        <f>Settings!$B$20*(P334-H$6)^2</f>
        <v>7.0998923885506188E-2</v>
      </c>
      <c r="Y334" s="31">
        <f>Settings!$B$21*(Q334-I$6)^2</f>
        <v>3.1081915763415499E-2</v>
      </c>
      <c r="Z334" s="31">
        <f>Settings!$B$22*(R334-J$6)^2</f>
        <v>2.5323629033424805E-3</v>
      </c>
      <c r="AA334" s="31">
        <f>Settings!$B$23*(S334-K$6)^2</f>
        <v>0.12380303559975386</v>
      </c>
      <c r="AB334" s="31">
        <f>Settings!$B$24*(T334-L$6)^2</f>
        <v>3.0156609847091067</v>
      </c>
      <c r="AC334" s="31">
        <f>Settings!$B$25*(U334-M$6)^2</f>
        <v>17.623955551178287</v>
      </c>
      <c r="AD334" s="19">
        <f t="shared" si="20"/>
        <v>4.5692326623929169</v>
      </c>
      <c r="AE334" s="15">
        <f t="shared" si="21"/>
        <v>1.8085851260992425</v>
      </c>
      <c r="AF334" s="33">
        <f t="shared" si="22"/>
        <v>0.19485685260991603</v>
      </c>
      <c r="AG334" s="47">
        <f t="shared" si="23"/>
        <v>1.1487749380059997E-3</v>
      </c>
      <c r="AH334" s="18">
        <v>-0.17475394325310131</v>
      </c>
      <c r="AI334" s="46">
        <v>1</v>
      </c>
      <c r="AJ334" s="18">
        <v>-0.91180163483720467</v>
      </c>
      <c r="AK334" s="46">
        <v>1</v>
      </c>
      <c r="AL334" s="48"/>
      <c r="AM334" s="48"/>
      <c r="AN334" s="48"/>
      <c r="AO334" s="48"/>
      <c r="AP334" s="48"/>
      <c r="AQ334" s="48"/>
    </row>
    <row r="335" spans="1:43" ht="20" customHeight="1" x14ac:dyDescent="0.45">
      <c r="A335" s="26">
        <v>325</v>
      </c>
      <c r="B335" s="16" t="s">
        <v>752</v>
      </c>
      <c r="C335" s="16" t="s">
        <v>214</v>
      </c>
      <c r="D335" s="46">
        <v>29</v>
      </c>
      <c r="E335" s="46">
        <v>1</v>
      </c>
      <c r="F335" s="13">
        <v>0.63914869989428791</v>
      </c>
      <c r="G335" s="13">
        <v>-9.6085190512772839E-2</v>
      </c>
      <c r="H335" s="13">
        <v>3.9907335311783802E-2</v>
      </c>
      <c r="I335" s="13">
        <v>-3.3322294501100922E-6</v>
      </c>
      <c r="J335" s="13">
        <v>0.22485544205170541</v>
      </c>
      <c r="K335" s="13">
        <v>12.10568181818182</v>
      </c>
      <c r="L335" s="13">
        <v>0.93266805699087951</v>
      </c>
      <c r="M335" s="13">
        <v>2.105889346491415</v>
      </c>
      <c r="N335" s="19">
        <f>(F335-Settings!$D$18)/Settings!$E$18</f>
        <v>1.5991632855784861</v>
      </c>
      <c r="O335" s="19">
        <f>(G335-Settings!$D$19)/Settings!$E$19</f>
        <v>-0.37263216353639889</v>
      </c>
      <c r="P335" s="19">
        <f>(H335-Settings!$D$20)/Settings!$E$20</f>
        <v>-0.11977447874262846</v>
      </c>
      <c r="Q335" s="19">
        <f>(I335-Settings!$D$21)/Settings!$E$21</f>
        <v>3.6168146962293847E-2</v>
      </c>
      <c r="R335" s="19">
        <f>(J335-Settings!$D$22)/Settings!$E$22</f>
        <v>-6.1898153726401763E-2</v>
      </c>
      <c r="S335" s="19">
        <f>(K335-Settings!$D$23)/Settings!$E$23</f>
        <v>-1.0937592518582298</v>
      </c>
      <c r="T335" s="19">
        <f>(L335-Settings!$D$24)/Settings!$E$24</f>
        <v>-0.25967272861161156</v>
      </c>
      <c r="U335" s="19">
        <f>(M335-Settings!$D$25)/Settings!$E$25</f>
        <v>1.4562054876370119</v>
      </c>
      <c r="V335" s="31">
        <f>Settings!$B$18*(N335-F$6)^2</f>
        <v>0.15430482953239355</v>
      </c>
      <c r="W335" s="31">
        <f>Settings!$B$19*(O335-G$6)^2</f>
        <v>1.8473852428000814E-2</v>
      </c>
      <c r="X335" s="31">
        <f>Settings!$B$20*(P335-H$6)^2</f>
        <v>1.1106703322448515E-2</v>
      </c>
      <c r="Y335" s="31">
        <f>Settings!$B$21*(Q335-I$6)^2</f>
        <v>3.0984806808242799E-2</v>
      </c>
      <c r="Z335" s="31">
        <f>Settings!$B$22*(R335-J$6)^2</f>
        <v>9.8147891977945143E-2</v>
      </c>
      <c r="AA335" s="31">
        <f>Settings!$B$23*(S335-K$6)^2</f>
        <v>5.0195638875857771</v>
      </c>
      <c r="AB335" s="31">
        <f>Settings!$B$24*(T335-L$6)^2</f>
        <v>0.42712653943470169</v>
      </c>
      <c r="AC335" s="31">
        <f>Settings!$B$25*(U335-M$6)^2</f>
        <v>15.25652355259586</v>
      </c>
      <c r="AD335" s="19">
        <f t="shared" si="20"/>
        <v>4.5843464161955918</v>
      </c>
      <c r="AE335" s="15">
        <f t="shared" si="21"/>
        <v>1.8145674238605318</v>
      </c>
      <c r="AF335" s="33">
        <f t="shared" si="22"/>
        <v>0.19275651480388703</v>
      </c>
      <c r="AG335" s="47">
        <f t="shared" si="23"/>
        <v>1.1363924356685385E-3</v>
      </c>
      <c r="AH335" s="48"/>
      <c r="AI335" s="48"/>
      <c r="AJ335" s="48"/>
      <c r="AK335" s="48"/>
      <c r="AL335" s="48"/>
      <c r="AM335" s="48"/>
      <c r="AN335" s="48"/>
      <c r="AO335" s="48"/>
      <c r="AP335" s="48"/>
      <c r="AQ335" s="48"/>
    </row>
    <row r="336" spans="1:43" ht="20" customHeight="1" x14ac:dyDescent="0.45">
      <c r="A336" s="26">
        <v>326</v>
      </c>
      <c r="B336" s="16" t="s">
        <v>379</v>
      </c>
      <c r="C336" s="16" t="s">
        <v>220</v>
      </c>
      <c r="D336" s="46">
        <v>29</v>
      </c>
      <c r="E336" s="46">
        <v>1</v>
      </c>
      <c r="F336" s="13">
        <v>-9.8565436717840405E-3</v>
      </c>
      <c r="G336" s="13">
        <v>-6.8904265006340837E-2</v>
      </c>
      <c r="H336" s="13">
        <v>0.21067442560649011</v>
      </c>
      <c r="I336" s="13">
        <v>-5.052048716835477E-4</v>
      </c>
      <c r="J336" s="13">
        <v>0.71005956084370137</v>
      </c>
      <c r="K336" s="13">
        <v>15.992519685039349</v>
      </c>
      <c r="L336" s="13">
        <v>1.3563888935704149</v>
      </c>
      <c r="M336" s="13">
        <v>2.8249464750131561</v>
      </c>
      <c r="N336" s="19">
        <f>(F336-Settings!$D$18)/Settings!$E$18</f>
        <v>-0.72358602322980847</v>
      </c>
      <c r="O336" s="19">
        <f>(G336-Settings!$D$19)/Settings!$E$19</f>
        <v>-0.25939296349666657</v>
      </c>
      <c r="P336" s="19">
        <f>(H336-Settings!$D$20)/Settings!$E$20</f>
        <v>1.4274081975264008</v>
      </c>
      <c r="Q336" s="19">
        <f>(I336-Settings!$D$21)/Settings!$E$21</f>
        <v>2.999646473226426E-2</v>
      </c>
      <c r="R336" s="19">
        <f>(J336-Settings!$D$22)/Settings!$E$22</f>
        <v>1.2435663715771588</v>
      </c>
      <c r="S336" s="19">
        <f>(K336-Settings!$D$23)/Settings!$E$23</f>
        <v>0.2560501372500138</v>
      </c>
      <c r="T336" s="19">
        <f>(L336-Settings!$D$24)/Settings!$E$24</f>
        <v>3.326866256024074E-2</v>
      </c>
      <c r="U336" s="19">
        <f>(M336-Settings!$D$25)/Settings!$E$25</f>
        <v>1.9411456236128033</v>
      </c>
      <c r="V336" s="31">
        <f>Settings!$B$18*(N336-F$6)^2</f>
        <v>0.41724951070583016</v>
      </c>
      <c r="W336" s="31">
        <f>Settings!$B$19*(O336-G$6)^2</f>
        <v>7.2720713746145822E-3</v>
      </c>
      <c r="X336" s="31">
        <f>Settings!$B$20*(P336-H$6)^2</f>
        <v>0.34402070466796397</v>
      </c>
      <c r="Y336" s="31">
        <f>Settings!$B$21*(Q336-I$6)^2</f>
        <v>3.1964104031047248E-2</v>
      </c>
      <c r="Z336" s="31">
        <f>Settings!$B$22*(R336-J$6)^2</f>
        <v>7.3189643192475354E-2</v>
      </c>
      <c r="AA336" s="31">
        <f>Settings!$B$23*(S336-K$6)^2</f>
        <v>0.79321990123181496</v>
      </c>
      <c r="AB336" s="31">
        <f>Settings!$B$24*(T336-L$6)^2</f>
        <v>0.13003798219482632</v>
      </c>
      <c r="AC336" s="31">
        <f>Settings!$B$25*(U336-M$6)^2</f>
        <v>19.280004038956335</v>
      </c>
      <c r="AD336" s="19">
        <f t="shared" si="20"/>
        <v>4.5909648175906232</v>
      </c>
      <c r="AE336" s="15">
        <f t="shared" si="21"/>
        <v>1.8171871071216026</v>
      </c>
      <c r="AF336" s="33">
        <f t="shared" si="22"/>
        <v>0.19184174509170898</v>
      </c>
      <c r="AG336" s="47">
        <f t="shared" si="23"/>
        <v>1.1309994279024693E-3</v>
      </c>
      <c r="AH336" s="18">
        <v>1.04631502064938E-2</v>
      </c>
      <c r="AI336" s="46">
        <v>1</v>
      </c>
      <c r="AJ336" s="18">
        <v>-0.92073990865780186</v>
      </c>
      <c r="AK336" s="46">
        <v>1</v>
      </c>
      <c r="AL336" s="48"/>
      <c r="AM336" s="48"/>
      <c r="AN336" s="48"/>
      <c r="AO336" s="48"/>
      <c r="AP336" s="48"/>
      <c r="AQ336" s="48"/>
    </row>
    <row r="337" spans="1:43" ht="20" customHeight="1" x14ac:dyDescent="0.45">
      <c r="A337" s="26">
        <v>327</v>
      </c>
      <c r="B337" s="16" t="s">
        <v>650</v>
      </c>
      <c r="C337" s="16" t="s">
        <v>227</v>
      </c>
      <c r="D337" s="46">
        <v>29</v>
      </c>
      <c r="E337" s="46">
        <v>0</v>
      </c>
      <c r="F337" s="13">
        <v>0.47818675647584502</v>
      </c>
      <c r="G337" s="13">
        <v>6.58656482462327E-2</v>
      </c>
      <c r="H337" s="13">
        <v>-3.7802529956942672E-2</v>
      </c>
      <c r="I337" s="13">
        <v>1.034170336593475E-5</v>
      </c>
      <c r="J337" s="13">
        <v>-0.41813472361761372</v>
      </c>
      <c r="K337" s="13">
        <v>12.37505747126437</v>
      </c>
      <c r="L337" s="13">
        <v>0.45323828166515928</v>
      </c>
      <c r="M337" s="13">
        <v>1.918376037477483</v>
      </c>
      <c r="N337" s="19">
        <f>(F337-Settings!$D$18)/Settings!$E$18</f>
        <v>1.0230905241855102</v>
      </c>
      <c r="O337" s="19">
        <f>(G337-Settings!$D$19)/Settings!$E$19</f>
        <v>0.30207567238676503</v>
      </c>
      <c r="P337" s="19">
        <f>(H337-Settings!$D$20)/Settings!$E$20</f>
        <v>-0.8238408015421862</v>
      </c>
      <c r="Q337" s="19">
        <f>(I337-Settings!$D$21)/Settings!$E$21</f>
        <v>3.6336299519484139E-2</v>
      </c>
      <c r="R337" s="19">
        <f>(J337-Settings!$D$22)/Settings!$E$22</f>
        <v>-1.791893466812772</v>
      </c>
      <c r="S337" s="19">
        <f>(K337-Settings!$D$23)/Settings!$E$23</f>
        <v>-1.0002112835139874</v>
      </c>
      <c r="T337" s="19">
        <f>(L337-Settings!$D$24)/Settings!$E$24</f>
        <v>-0.59112875632754525</v>
      </c>
      <c r="U337" s="19">
        <f>(M337-Settings!$D$25)/Settings!$E$25</f>
        <v>1.3297444236080258</v>
      </c>
      <c r="V337" s="31">
        <f>Settings!$B$18*(N337-F$6)^2</f>
        <v>1.8276055797325906E-2</v>
      </c>
      <c r="W337" s="31">
        <f>Settings!$B$19*(O337-G$6)^2</f>
        <v>2.749626129069296E-2</v>
      </c>
      <c r="X337" s="31">
        <f>Settings!$B$20*(P337-H$6)^2</f>
        <v>0.1766154223899834</v>
      </c>
      <c r="Y337" s="31">
        <f>Settings!$B$21*(Q337-I$6)^2</f>
        <v>3.0958338262040114E-2</v>
      </c>
      <c r="Z337" s="31">
        <f>Settings!$B$22*(R337-J$6)^2</f>
        <v>1.1814887019803086</v>
      </c>
      <c r="AA337" s="31">
        <f>Settings!$B$23*(S337-K$6)^2</f>
        <v>4.6091382029811303</v>
      </c>
      <c r="AB337" s="31">
        <f>Settings!$B$24*(T337-L$6)^2</f>
        <v>0.97023527242427399</v>
      </c>
      <c r="AC337" s="31">
        <f>Settings!$B$25*(U337-M$6)^2</f>
        <v>14.284612236998351</v>
      </c>
      <c r="AD337" s="19">
        <f t="shared" si="20"/>
        <v>4.6150645165722342</v>
      </c>
      <c r="AE337" s="15">
        <f t="shared" si="21"/>
        <v>1.8267262048962352</v>
      </c>
      <c r="AF337" s="33">
        <f t="shared" si="22"/>
        <v>0.18853637614271213</v>
      </c>
      <c r="AG337" s="47">
        <f t="shared" si="23"/>
        <v>1.1115126869507806E-3</v>
      </c>
      <c r="AH337" s="18">
        <v>-9.934704680357842E-2</v>
      </c>
      <c r="AI337" s="46">
        <v>0</v>
      </c>
      <c r="AJ337" s="48"/>
      <c r="AK337" s="48"/>
      <c r="AL337" s="48"/>
      <c r="AM337" s="48"/>
      <c r="AN337" s="48"/>
      <c r="AO337" s="48"/>
      <c r="AP337" s="48"/>
      <c r="AQ337" s="48"/>
    </row>
    <row r="338" spans="1:43" ht="20" customHeight="1" x14ac:dyDescent="0.45">
      <c r="A338" s="26">
        <v>328</v>
      </c>
      <c r="B338" s="16" t="s">
        <v>406</v>
      </c>
      <c r="C338" s="16" t="s">
        <v>216</v>
      </c>
      <c r="D338" s="46">
        <v>29</v>
      </c>
      <c r="E338" s="46">
        <v>1</v>
      </c>
      <c r="F338" s="13">
        <v>-8.6705596522063694E-2</v>
      </c>
      <c r="G338" s="13">
        <v>-0.25366725561867992</v>
      </c>
      <c r="H338" s="13">
        <v>-0.2372384288853821</v>
      </c>
      <c r="I338" s="13">
        <v>-0.31254571188507718</v>
      </c>
      <c r="J338" s="13">
        <v>-0.1098430070887971</v>
      </c>
      <c r="K338" s="13">
        <v>16.787784679089011</v>
      </c>
      <c r="L338" s="13">
        <v>-0.88330031172374213</v>
      </c>
      <c r="M338" s="13">
        <v>1.306944740122076</v>
      </c>
      <c r="N338" s="19">
        <f>(F338-Settings!$D$18)/Settings!$E$18</f>
        <v>-0.99862399273796509</v>
      </c>
      <c r="O338" s="19">
        <f>(G338-Settings!$D$19)/Settings!$E$19</f>
        <v>-1.0291391315930709</v>
      </c>
      <c r="P338" s="19">
        <f>(H338-Settings!$D$20)/Settings!$E$20</f>
        <v>-2.6307683969922788</v>
      </c>
      <c r="Q338" s="19">
        <f>(I338-Settings!$D$21)/Settings!$E$21</f>
        <v>-3.8072616165484896</v>
      </c>
      <c r="R338" s="19">
        <f>(J338-Settings!$D$22)/Settings!$E$22</f>
        <v>-0.9624200889376654</v>
      </c>
      <c r="S338" s="19">
        <f>(K338-Settings!$D$23)/Settings!$E$23</f>
        <v>0.53222737761049832</v>
      </c>
      <c r="T338" s="19">
        <f>(L338-Settings!$D$24)/Settings!$E$24</f>
        <v>-1.5151509924365849</v>
      </c>
      <c r="U338" s="19">
        <f>(M338-Settings!$D$25)/Settings!$E$25</f>
        <v>0.91738834685379811</v>
      </c>
      <c r="V338" s="31">
        <f>Settings!$B$18*(N338-F$6)^2</f>
        <v>0.59128295659708163</v>
      </c>
      <c r="W338" s="31">
        <f>Settings!$B$19*(O338-G$6)^2</f>
        <v>0.18448519034719829</v>
      </c>
      <c r="X338" s="31">
        <f>Settings!$B$20*(P338-H$6)^2</f>
        <v>1.5088166098578419</v>
      </c>
      <c r="Y338" s="31">
        <f>Settings!$B$21*(Q338-I$6)^2</f>
        <v>3.590490861640244</v>
      </c>
      <c r="Z338" s="31">
        <f>Settings!$B$22*(R338-J$6)^2</f>
        <v>0.51267217037146229</v>
      </c>
      <c r="AA338" s="31">
        <f>Settings!$B$23*(S338-K$6)^2</f>
        <v>0.37755088599232628</v>
      </c>
      <c r="AB338" s="31">
        <f>Settings!$B$24*(T338-L$6)^2</f>
        <v>3.644385806853411</v>
      </c>
      <c r="AC338" s="31">
        <f>Settings!$B$25*(U338-M$6)^2</f>
        <v>11.337651061094654</v>
      </c>
      <c r="AD338" s="19">
        <f t="shared" si="20"/>
        <v>4.663403857994096</v>
      </c>
      <c r="AE338" s="15">
        <f t="shared" si="21"/>
        <v>1.8458597926035478</v>
      </c>
      <c r="AF338" s="33">
        <f t="shared" si="22"/>
        <v>0.18202719372867265</v>
      </c>
      <c r="AG338" s="47">
        <f t="shared" si="23"/>
        <v>1.0731379235077553E-3</v>
      </c>
      <c r="AH338" s="18">
        <v>1.157991955593296</v>
      </c>
      <c r="AI338" s="46">
        <v>1</v>
      </c>
      <c r="AJ338" s="18">
        <v>-0.33471465173517417</v>
      </c>
      <c r="AK338" s="46">
        <v>1</v>
      </c>
      <c r="AL338" s="48"/>
      <c r="AM338" s="48"/>
      <c r="AN338" s="48"/>
      <c r="AO338" s="48"/>
      <c r="AP338" s="48"/>
      <c r="AQ338" s="48"/>
    </row>
    <row r="339" spans="1:43" ht="20" customHeight="1" x14ac:dyDescent="0.45">
      <c r="A339" s="26">
        <v>329</v>
      </c>
      <c r="B339" s="16" t="s">
        <v>611</v>
      </c>
      <c r="C339" s="16" t="s">
        <v>271</v>
      </c>
      <c r="D339" s="46">
        <v>29</v>
      </c>
      <c r="E339" s="46">
        <v>1</v>
      </c>
      <c r="F339" s="13">
        <v>-0.50122238190731039</v>
      </c>
      <c r="G339" s="13">
        <v>0.39845616777947851</v>
      </c>
      <c r="H339" s="13">
        <v>-6.8259449606820433E-4</v>
      </c>
      <c r="I339" s="13">
        <v>3.480301984870187E-3</v>
      </c>
      <c r="J339" s="13">
        <v>9.6158553832272647E-2</v>
      </c>
      <c r="K339" s="13">
        <v>9.7992877492877515</v>
      </c>
      <c r="L339" s="13">
        <v>-1.3048391313490979E-2</v>
      </c>
      <c r="M339" s="13">
        <v>0.52552392621102784</v>
      </c>
      <c r="N339" s="19">
        <f>(F339-Settings!$D$18)/Settings!$E$18</f>
        <v>-2.4821537273401759</v>
      </c>
      <c r="O339" s="19">
        <f>(G339-Settings!$D$19)/Settings!$E$19</f>
        <v>1.6876901675161324</v>
      </c>
      <c r="P339" s="19">
        <f>(H339-Settings!$D$20)/Settings!$E$20</f>
        <v>-0.48752704817099729</v>
      </c>
      <c r="Q339" s="19">
        <f>(I339-Settings!$D$21)/Settings!$E$21</f>
        <v>7.9007468270513997E-2</v>
      </c>
      <c r="R339" s="19">
        <f>(J339-Settings!$D$22)/Settings!$E$22</f>
        <v>-0.40816319060555428</v>
      </c>
      <c r="S339" s="19">
        <f>(K339-Settings!$D$23)/Settings!$E$23</f>
        <v>-1.8947168620849111</v>
      </c>
      <c r="T339" s="19">
        <f>(L339-Settings!$D$24)/Settings!$E$24</f>
        <v>-0.91349823848450895</v>
      </c>
      <c r="U339" s="19">
        <f>(M339-Settings!$D$25)/Settings!$E$25</f>
        <v>0.39038944687574184</v>
      </c>
      <c r="V339" s="31">
        <f>Settings!$B$18*(N339-F$6)^2</f>
        <v>2.0517809944240635</v>
      </c>
      <c r="W339" s="31">
        <f>Settings!$B$19*(O339-G$6)^2</f>
        <v>0.61698763856155114</v>
      </c>
      <c r="X339" s="31">
        <f>Settings!$B$20*(P339-H$6)^2</f>
        <v>7.2820260639647583E-2</v>
      </c>
      <c r="Y339" s="31">
        <f>Settings!$B$21*(Q339-I$6)^2</f>
        <v>2.4607158636269614E-2</v>
      </c>
      <c r="Z339" s="31">
        <f>Settings!$B$22*(R339-J$6)^2</f>
        <v>0.2191551267650251</v>
      </c>
      <c r="AA339" s="31">
        <f>Settings!$B$23*(S339-K$6)^2</f>
        <v>9.2500892340762171</v>
      </c>
      <c r="AB339" s="31">
        <f>Settings!$B$24*(T339-L$6)^2</f>
        <v>1.7092285972360153</v>
      </c>
      <c r="AC339" s="31">
        <f>Settings!$B$25*(U339-M$6)^2</f>
        <v>8.0664177317382926</v>
      </c>
      <c r="AD339" s="19">
        <f t="shared" si="20"/>
        <v>4.691597461641086</v>
      </c>
      <c r="AE339" s="15">
        <f t="shared" si="21"/>
        <v>1.8570193320655588</v>
      </c>
      <c r="AF339" s="33">
        <f t="shared" si="22"/>
        <v>0.1783048773349093</v>
      </c>
      <c r="AG339" s="47">
        <f t="shared" si="23"/>
        <v>1.0511930766768124E-3</v>
      </c>
      <c r="AH339" s="18">
        <v>0.1642932821466821</v>
      </c>
      <c r="AI339" s="46">
        <v>1</v>
      </c>
      <c r="AJ339" s="18">
        <v>2.5091641164247169E-2</v>
      </c>
      <c r="AK339" s="46">
        <v>1</v>
      </c>
      <c r="AL339" s="18">
        <v>-0.3269514722369643</v>
      </c>
      <c r="AM339" s="46">
        <v>1</v>
      </c>
      <c r="AN339" s="18">
        <v>-0.22606793938037881</v>
      </c>
      <c r="AO339" s="46">
        <v>1</v>
      </c>
      <c r="AP339" s="18">
        <v>0.2456366239602919</v>
      </c>
      <c r="AQ339" s="46">
        <v>1</v>
      </c>
    </row>
    <row r="340" spans="1:43" ht="20" customHeight="1" x14ac:dyDescent="0.45">
      <c r="A340" s="26">
        <v>330</v>
      </c>
      <c r="B340" s="16" t="s">
        <v>675</v>
      </c>
      <c r="C340" s="16" t="s">
        <v>218</v>
      </c>
      <c r="D340" s="46">
        <v>29</v>
      </c>
      <c r="E340" s="46">
        <v>0</v>
      </c>
      <c r="F340" s="13">
        <v>-0.17352545875825859</v>
      </c>
      <c r="G340" s="13">
        <v>7.6861988879113566E-2</v>
      </c>
      <c r="H340" s="13">
        <v>9.6297417722088066E-2</v>
      </c>
      <c r="I340" s="13">
        <v>-0.45115953828893951</v>
      </c>
      <c r="J340" s="13">
        <v>0.20215559635160041</v>
      </c>
      <c r="K340" s="13">
        <v>11.31890756302521</v>
      </c>
      <c r="L340" s="13">
        <v>-0.31316765696556093</v>
      </c>
      <c r="M340" s="13">
        <v>-0.12110179825228851</v>
      </c>
      <c r="N340" s="19">
        <f>(F340-Settings!$D$18)/Settings!$E$18</f>
        <v>-1.3093468674745281</v>
      </c>
      <c r="O340" s="19">
        <f>(G340-Settings!$D$19)/Settings!$E$19</f>
        <v>0.34788782901613252</v>
      </c>
      <c r="P340" s="19">
        <f>(H340-Settings!$D$20)/Settings!$E$20</f>
        <v>0.39113051160439177</v>
      </c>
      <c r="Q340" s="19">
        <f>(I340-Settings!$D$21)/Settings!$E$21</f>
        <v>-5.5118384698434939</v>
      </c>
      <c r="R340" s="19">
        <f>(J340-Settings!$D$22)/Settings!$E$22</f>
        <v>-0.12297315730454635</v>
      </c>
      <c r="S340" s="19">
        <f>(K340-Settings!$D$23)/Settings!$E$23</f>
        <v>-1.3669878538985947</v>
      </c>
      <c r="T340" s="19">
        <f>(L340-Settings!$D$24)/Settings!$E$24</f>
        <v>-1.1209871028681924</v>
      </c>
      <c r="U340" s="19">
        <f>(M340-Settings!$D$25)/Settings!$E$25</f>
        <v>-4.5702143498087884E-2</v>
      </c>
      <c r="V340" s="31">
        <f>Settings!$B$18*(N340-F$6)^2</f>
        <v>0.82429829633969265</v>
      </c>
      <c r="W340" s="31">
        <f>Settings!$B$19*(O340-G$6)^2</f>
        <v>3.471059104438215E-2</v>
      </c>
      <c r="X340" s="31">
        <f>Settings!$B$20*(P340-H$6)^2</f>
        <v>1.5152455935939084E-2</v>
      </c>
      <c r="Y340" s="31">
        <f>Settings!$B$21*(Q340-I$6)^2</f>
        <v>7.0605471185967339</v>
      </c>
      <c r="Z340" s="31">
        <f>Settings!$B$22*(R340-J$6)^2</f>
        <v>0.11600782290353882</v>
      </c>
      <c r="AA340" s="31">
        <f>Settings!$B$23*(S340-K$6)^2</f>
        <v>6.3185214194872978</v>
      </c>
      <c r="AB340" s="31">
        <f>Settings!$B$24*(T340-L$6)^2</f>
        <v>2.2948116083105066</v>
      </c>
      <c r="AC340" s="31">
        <f>Settings!$B$25*(U340-M$6)^2</f>
        <v>5.7794678113223661</v>
      </c>
      <c r="AD340" s="19">
        <f t="shared" si="20"/>
        <v>4.7374589311085806</v>
      </c>
      <c r="AE340" s="15">
        <f t="shared" si="21"/>
        <v>1.8751721331305251</v>
      </c>
      <c r="AF340" s="33">
        <f t="shared" si="22"/>
        <v>0.17236598130600389</v>
      </c>
      <c r="AG340" s="47">
        <f t="shared" si="23"/>
        <v>1.0161804259742593E-3</v>
      </c>
      <c r="AH340" s="18">
        <v>-0.1164486757294922</v>
      </c>
      <c r="AI340" s="46">
        <v>0</v>
      </c>
      <c r="AJ340" s="18">
        <v>0.35626252101891748</v>
      </c>
      <c r="AK340" s="46">
        <v>0</v>
      </c>
      <c r="AL340" s="18">
        <v>0.2725694150764667</v>
      </c>
      <c r="AM340" s="46">
        <v>0</v>
      </c>
      <c r="AN340" s="18">
        <v>-0.74597307897043952</v>
      </c>
      <c r="AO340" s="46">
        <v>0</v>
      </c>
      <c r="AP340" s="18">
        <v>-0.73649692214132223</v>
      </c>
      <c r="AQ340" s="46">
        <v>1</v>
      </c>
    </row>
    <row r="341" spans="1:43" ht="20" customHeight="1" x14ac:dyDescent="0.45">
      <c r="A341" s="26">
        <v>331</v>
      </c>
      <c r="B341" s="16" t="s">
        <v>630</v>
      </c>
      <c r="C341" s="16" t="s">
        <v>214</v>
      </c>
      <c r="D341" s="46">
        <v>29</v>
      </c>
      <c r="E341" s="46">
        <v>1</v>
      </c>
      <c r="F341" s="13">
        <v>0.57017269435489271</v>
      </c>
      <c r="G341" s="13">
        <v>-7.11073302013875E-2</v>
      </c>
      <c r="H341" s="13">
        <v>0.14800383337452161</v>
      </c>
      <c r="I341" s="13">
        <v>2.4553818551939988E-2</v>
      </c>
      <c r="J341" s="13">
        <v>0.18616232351725809</v>
      </c>
      <c r="K341" s="13">
        <v>21.67964205816557</v>
      </c>
      <c r="L341" s="13">
        <v>6.0560742420505473</v>
      </c>
      <c r="M341" s="13">
        <v>1.630501954484386</v>
      </c>
      <c r="N341" s="19">
        <f>(F341-Settings!$D$18)/Settings!$E$18</f>
        <v>1.3523024616032222</v>
      </c>
      <c r="O341" s="19">
        <f>(G341-Settings!$D$19)/Settings!$E$19</f>
        <v>-0.26857121389374838</v>
      </c>
      <c r="P341" s="19">
        <f>(H341-Settings!$D$20)/Settings!$E$20</f>
        <v>0.85960058046455601</v>
      </c>
      <c r="Q341" s="19">
        <f>(I341-Settings!$D$21)/Settings!$E$21</f>
        <v>0.33815498255307963</v>
      </c>
      <c r="R341" s="19">
        <f>(J341-Settings!$D$22)/Settings!$E$22</f>
        <v>-0.16600381083798343</v>
      </c>
      <c r="S341" s="19">
        <f>(K341-Settings!$D$23)/Settings!$E$23</f>
        <v>2.2310569266275517</v>
      </c>
      <c r="T341" s="19">
        <f>(L341-Settings!$D$24)/Settings!$E$24</f>
        <v>3.2824182091516767</v>
      </c>
      <c r="U341" s="19">
        <f>(M341-Settings!$D$25)/Settings!$E$25</f>
        <v>1.135598935839097</v>
      </c>
      <c r="V341" s="31">
        <f>Settings!$B$18*(N341-F$6)^2</f>
        <v>7.9759371779872204E-2</v>
      </c>
      <c r="W341" s="31">
        <f>Settings!$B$19*(O341-G$6)^2</f>
        <v>7.9889773319095723E-3</v>
      </c>
      <c r="X341" s="31">
        <f>Settings!$B$20*(P341-H$6)^2</f>
        <v>0.11062375533000715</v>
      </c>
      <c r="Y341" s="31">
        <f>Settings!$B$21*(Q341-I$6)^2</f>
        <v>1.6787374818904546E-3</v>
      </c>
      <c r="Z341" s="31">
        <f>Settings!$B$22*(R341-J$6)^2</f>
        <v>0.12948706009092018</v>
      </c>
      <c r="AA341" s="31">
        <f>Settings!$B$23*(S341-K$6)^2</f>
        <v>1.1758753293932587</v>
      </c>
      <c r="AB341" s="31">
        <f>Settings!$B$24*(T341-L$6)^2</f>
        <v>8.3436734476425283</v>
      </c>
      <c r="AC341" s="31">
        <f>Settings!$B$25*(U341-M$6)^2</f>
        <v>12.854759376986259</v>
      </c>
      <c r="AD341" s="19">
        <f t="shared" si="20"/>
        <v>4.7648553027386518</v>
      </c>
      <c r="AE341" s="15">
        <f t="shared" si="21"/>
        <v>1.8860161137067484</v>
      </c>
      <c r="AF341" s="33">
        <f t="shared" si="22"/>
        <v>0.16888649944844386</v>
      </c>
      <c r="AG341" s="47">
        <f t="shared" si="23"/>
        <v>9.9566720561955415E-4</v>
      </c>
      <c r="AH341" s="48"/>
      <c r="AI341" s="48"/>
      <c r="AJ341" s="48"/>
      <c r="AK341" s="48"/>
      <c r="AL341" s="48"/>
      <c r="AM341" s="48"/>
      <c r="AN341" s="48"/>
      <c r="AO341" s="48"/>
      <c r="AP341" s="48"/>
      <c r="AQ341" s="48"/>
    </row>
    <row r="342" spans="1:43" ht="20" customHeight="1" x14ac:dyDescent="0.45">
      <c r="A342" s="26">
        <v>332</v>
      </c>
      <c r="B342" s="16" t="s">
        <v>667</v>
      </c>
      <c r="C342" s="16" t="s">
        <v>258</v>
      </c>
      <c r="D342" s="46">
        <v>29</v>
      </c>
      <c r="E342" s="46">
        <v>0</v>
      </c>
      <c r="F342" s="13">
        <v>-0.24971048061083889</v>
      </c>
      <c r="G342" s="13">
        <v>0.5649346364666229</v>
      </c>
      <c r="H342" s="13">
        <v>7.0650413259433519E-4</v>
      </c>
      <c r="I342" s="13">
        <v>-4.0763188665527979E-2</v>
      </c>
      <c r="J342" s="13">
        <v>0.14388519012441611</v>
      </c>
      <c r="K342" s="13">
        <v>8.6173976608187104</v>
      </c>
      <c r="L342" s="13">
        <v>-3.3328480019887419E-2</v>
      </c>
      <c r="M342" s="13">
        <v>9.122883480697816E-2</v>
      </c>
      <c r="N342" s="19">
        <f>(F342-Settings!$D$18)/Settings!$E$18</f>
        <v>-1.5820083114365142</v>
      </c>
      <c r="O342" s="19">
        <f>(G342-Settings!$D$19)/Settings!$E$19</f>
        <v>2.381260686794838</v>
      </c>
      <c r="P342" s="19">
        <f>(H342-Settings!$D$20)/Settings!$E$20</f>
        <v>-0.47494154747419021</v>
      </c>
      <c r="Q342" s="19">
        <f>(I342-Settings!$D$21)/Settings!$E$21</f>
        <v>-0.46506834312733991</v>
      </c>
      <c r="R342" s="19">
        <f>(J342-Settings!$D$22)/Settings!$E$22</f>
        <v>-0.27975242866359162</v>
      </c>
      <c r="S342" s="19">
        <f>(K342-Settings!$D$23)/Settings!$E$23</f>
        <v>-2.3051601048845627</v>
      </c>
      <c r="T342" s="19">
        <f>(L342-Settings!$D$24)/Settings!$E$24</f>
        <v>-0.92751897309529141</v>
      </c>
      <c r="U342" s="19">
        <f>(M342-Settings!$D$25)/Settings!$E$25</f>
        <v>9.7496000270086147E-2</v>
      </c>
      <c r="V342" s="31">
        <f>Settings!$B$18*(N342-F$6)^2</f>
        <v>1.0605841299604666</v>
      </c>
      <c r="W342" s="31">
        <f>Settings!$B$19*(O342-G$6)^2</f>
        <v>1.2004703370856455</v>
      </c>
      <c r="X342" s="31">
        <f>Settings!$B$20*(P342-H$6)^2</f>
        <v>6.9814262513269415E-2</v>
      </c>
      <c r="Y342" s="31">
        <f>Settings!$B$21*(Q342-I$6)^2</f>
        <v>0.16014786654136537</v>
      </c>
      <c r="Z342" s="31">
        <f>Settings!$B$22*(R342-J$6)^2</f>
        <v>0.1686851956297365</v>
      </c>
      <c r="AA342" s="31">
        <f>Settings!$B$23*(S342-K$6)^2</f>
        <v>11.915193710120864</v>
      </c>
      <c r="AB342" s="31">
        <f>Settings!$B$24*(T342-L$6)^2</f>
        <v>1.7460858855500103</v>
      </c>
      <c r="AC342" s="31">
        <f>Settings!$B$25*(U342-M$6)^2</f>
        <v>6.4884851943232409</v>
      </c>
      <c r="AD342" s="19">
        <f t="shared" si="20"/>
        <v>4.7759257303400977</v>
      </c>
      <c r="AE342" s="15">
        <f t="shared" si="21"/>
        <v>1.8903979896537368</v>
      </c>
      <c r="AF342" s="33">
        <f t="shared" si="22"/>
        <v>0.16749491612947615</v>
      </c>
      <c r="AG342" s="47">
        <f t="shared" si="23"/>
        <v>9.8746315213328758E-4</v>
      </c>
      <c r="AH342" s="18">
        <v>-0.44635213829473591</v>
      </c>
      <c r="AI342" s="46">
        <v>0</v>
      </c>
      <c r="AJ342" s="18">
        <v>0.1663652137803194</v>
      </c>
      <c r="AK342" s="46">
        <v>0</v>
      </c>
      <c r="AL342" s="18">
        <v>0.22704749058393159</v>
      </c>
      <c r="AM342" s="46">
        <v>0</v>
      </c>
      <c r="AN342" s="18">
        <v>-0.39031865029579588</v>
      </c>
      <c r="AO342" s="46">
        <v>0</v>
      </c>
      <c r="AP342" s="18">
        <v>-3.29434677554995E-2</v>
      </c>
      <c r="AQ342" s="46">
        <v>0</v>
      </c>
    </row>
    <row r="343" spans="1:43" ht="20" customHeight="1" x14ac:dyDescent="0.45">
      <c r="A343" s="26">
        <v>333</v>
      </c>
      <c r="B343" s="16" t="s">
        <v>558</v>
      </c>
      <c r="C343" s="16" t="s">
        <v>246</v>
      </c>
      <c r="D343" s="46">
        <v>29</v>
      </c>
      <c r="E343" s="46">
        <v>1</v>
      </c>
      <c r="F343" s="13">
        <v>0.35777914443422271</v>
      </c>
      <c r="G343" s="13">
        <v>-0.48198204476196321</v>
      </c>
      <c r="H343" s="13">
        <v>4.9443876647926439E-5</v>
      </c>
      <c r="I343" s="13">
        <v>1.8699760269654829E-2</v>
      </c>
      <c r="J343" s="13">
        <v>-0.14148960665751131</v>
      </c>
      <c r="K343" s="13">
        <v>11.848320413436699</v>
      </c>
      <c r="L343" s="13">
        <v>-0.43709833409773929</v>
      </c>
      <c r="M343" s="13">
        <v>1.757065455074301</v>
      </c>
      <c r="N343" s="19">
        <f>(F343-Settings!$D$18)/Settings!$E$18</f>
        <v>0.59215918670015577</v>
      </c>
      <c r="O343" s="19">
        <f>(G343-Settings!$D$19)/Settings!$E$19</f>
        <v>-1.9803276433200729</v>
      </c>
      <c r="P343" s="19">
        <f>(H343-Settings!$D$20)/Settings!$E$20</f>
        <v>-0.4808946397445496</v>
      </c>
      <c r="Q343" s="19">
        <f>(I343-Settings!$D$21)/Settings!$E$21</f>
        <v>0.26616582746872686</v>
      </c>
      <c r="R343" s="19">
        <f>(J343-Settings!$D$22)/Settings!$E$22</f>
        <v>-1.0475667550177079</v>
      </c>
      <c r="S343" s="19">
        <f>(K343-Settings!$D$23)/Settings!$E$23</f>
        <v>-1.1831349480973712</v>
      </c>
      <c r="T343" s="19">
        <f>(L343-Settings!$D$24)/Settings!$E$24</f>
        <v>-1.2066671587772564</v>
      </c>
      <c r="U343" s="19">
        <f>(M343-Settings!$D$25)/Settings!$E$25</f>
        <v>1.2209547702382686</v>
      </c>
      <c r="V343" s="31">
        <f>Settings!$B$18*(N343-F$6)^2</f>
        <v>3.3096306623869032E-3</v>
      </c>
      <c r="W343" s="31">
        <f>Settings!$B$19*(O343-G$6)^2</f>
        <v>0.73085713328879953</v>
      </c>
      <c r="X343" s="31">
        <f>Settings!$B$20*(P343-H$6)^2</f>
        <v>7.1228238891374307E-2</v>
      </c>
      <c r="Y343" s="31">
        <f>Settings!$B$21*(Q343-I$6)^2</f>
        <v>5.353399339436302E-3</v>
      </c>
      <c r="Z343" s="31">
        <f>Settings!$B$22*(R343-J$6)^2</f>
        <v>0.56865178654542814</v>
      </c>
      <c r="AA343" s="31">
        <f>Settings!$B$23*(S343-K$6)^2</f>
        <v>5.4280333729978079</v>
      </c>
      <c r="AB343" s="31">
        <f>Settings!$B$24*(T343-L$6)^2</f>
        <v>2.5617398694856135</v>
      </c>
      <c r="AC343" s="31">
        <f>Settings!$B$25*(U343-M$6)^2</f>
        <v>13.474106666504055</v>
      </c>
      <c r="AD343" s="19">
        <f t="shared" si="20"/>
        <v>4.7794644153623427</v>
      </c>
      <c r="AE343" s="15">
        <f t="shared" si="21"/>
        <v>1.8917986653404573</v>
      </c>
      <c r="AF343" s="33">
        <f t="shared" si="22"/>
        <v>0.1670518400804851</v>
      </c>
      <c r="AG343" s="47">
        <f t="shared" si="23"/>
        <v>9.8485100555545792E-4</v>
      </c>
      <c r="AH343" s="18">
        <v>1.395865720102063</v>
      </c>
      <c r="AI343" s="46">
        <v>1</v>
      </c>
      <c r="AJ343" s="48"/>
      <c r="AK343" s="48"/>
      <c r="AL343" s="48"/>
      <c r="AM343" s="48"/>
      <c r="AN343" s="48"/>
      <c r="AO343" s="48"/>
      <c r="AP343" s="48"/>
      <c r="AQ343" s="48"/>
    </row>
    <row r="344" spans="1:43" ht="20" customHeight="1" x14ac:dyDescent="0.45">
      <c r="A344" s="26">
        <v>334</v>
      </c>
      <c r="B344" s="16" t="s">
        <v>363</v>
      </c>
      <c r="C344" s="16" t="s">
        <v>246</v>
      </c>
      <c r="D344" s="46">
        <v>29</v>
      </c>
      <c r="E344" s="46">
        <v>1</v>
      </c>
      <c r="F344" s="13">
        <v>0.17143601439624639</v>
      </c>
      <c r="G344" s="13">
        <v>-0.2458062699637848</v>
      </c>
      <c r="H344" s="13">
        <v>-2.1675681514919259E-2</v>
      </c>
      <c r="I344" s="13">
        <v>-3.4660351280806062E-5</v>
      </c>
      <c r="J344" s="13">
        <v>-0.56104737377376868</v>
      </c>
      <c r="K344" s="13">
        <v>10.96958333333332</v>
      </c>
      <c r="L344" s="13">
        <v>-0.58550147707734435</v>
      </c>
      <c r="M344" s="13">
        <v>1.2556693745074781</v>
      </c>
      <c r="N344" s="19">
        <f>(F344-Settings!$D$18)/Settings!$E$18</f>
        <v>-7.4751259382888124E-2</v>
      </c>
      <c r="O344" s="19">
        <f>(G344-Settings!$D$19)/Settings!$E$19</f>
        <v>-0.99638926342270673</v>
      </c>
      <c r="P344" s="19">
        <f>(H344-Settings!$D$20)/Settings!$E$20</f>
        <v>-0.67772845349400801</v>
      </c>
      <c r="Q344" s="19">
        <f>(I344-Settings!$D$21)/Settings!$E$21</f>
        <v>3.5782895413330594E-2</v>
      </c>
      <c r="R344" s="19">
        <f>(J344-Settings!$D$22)/Settings!$E$22</f>
        <v>-2.176406680469062</v>
      </c>
      <c r="S344" s="19">
        <f>(K344-Settings!$D$23)/Settings!$E$23</f>
        <v>-1.4883001239836697</v>
      </c>
      <c r="T344" s="19">
        <f>(L344-Settings!$D$24)/Settings!$E$24</f>
        <v>-1.3092663689309458</v>
      </c>
      <c r="U344" s="19">
        <f>(M344-Settings!$D$25)/Settings!$E$25</f>
        <v>0.88280766920378895</v>
      </c>
      <c r="V344" s="31">
        <f>Settings!$B$18*(N344-F$6)^2</f>
        <v>0.12657998335727061</v>
      </c>
      <c r="W344" s="31">
        <f>Settings!$B$19*(O344-G$6)^2</f>
        <v>0.17211811762769461</v>
      </c>
      <c r="X344" s="31">
        <f>Settings!$B$20*(P344-H$6)^2</f>
        <v>0.125963200984294</v>
      </c>
      <c r="Y344" s="31">
        <f>Settings!$B$21*(Q344-I$6)^2</f>
        <v>3.104549109762765E-2</v>
      </c>
      <c r="Z344" s="31">
        <f>Settings!$B$22*(R344-J$6)^2</f>
        <v>1.5848861141939379</v>
      </c>
      <c r="AA344" s="31">
        <f>Settings!$B$23*(S344-K$6)^2</f>
        <v>6.9431153686451701</v>
      </c>
      <c r="AB344" s="31">
        <f>Settings!$B$24*(T344-L$6)^2</f>
        <v>2.9006954892234234</v>
      </c>
      <c r="AC344" s="31">
        <f>Settings!$B$25*(U344-M$6)^2</f>
        <v>11.105970720454762</v>
      </c>
      <c r="AD344" s="19">
        <f t="shared" si="20"/>
        <v>4.7948278890471325</v>
      </c>
      <c r="AE344" s="15">
        <f t="shared" si="21"/>
        <v>1.8978798067584075</v>
      </c>
      <c r="AF344" s="33">
        <f t="shared" si="22"/>
        <v>0.16513798522868778</v>
      </c>
      <c r="AG344" s="47">
        <f t="shared" si="23"/>
        <v>9.7356790999439337E-4</v>
      </c>
      <c r="AH344" s="48"/>
      <c r="AI344" s="48"/>
      <c r="AJ344" s="48"/>
      <c r="AK344" s="48"/>
      <c r="AL344" s="48"/>
      <c r="AM344" s="48"/>
      <c r="AN344" s="48"/>
      <c r="AO344" s="48"/>
      <c r="AP344" s="48"/>
      <c r="AQ344" s="48"/>
    </row>
    <row r="345" spans="1:43" ht="20" customHeight="1" x14ac:dyDescent="0.45">
      <c r="A345" s="26">
        <v>335</v>
      </c>
      <c r="B345" s="16" t="s">
        <v>209</v>
      </c>
      <c r="C345" s="16" t="s">
        <v>218</v>
      </c>
      <c r="D345" s="46">
        <v>29</v>
      </c>
      <c r="E345" s="46">
        <v>0</v>
      </c>
      <c r="F345" s="13">
        <v>0.20964362042749449</v>
      </c>
      <c r="G345" s="13">
        <v>5.0341042552824858E-2</v>
      </c>
      <c r="H345" s="13">
        <v>0.16946906097154141</v>
      </c>
      <c r="I345" s="13">
        <v>1.2221282268057691E-2</v>
      </c>
      <c r="J345" s="13">
        <v>0.5583249937800816</v>
      </c>
      <c r="K345" s="13">
        <v>19.084230769230771</v>
      </c>
      <c r="L345" s="13">
        <v>4.9192363331669444</v>
      </c>
      <c r="M345" s="13">
        <v>2.7130065263929919</v>
      </c>
      <c r="N345" s="19">
        <f>(F345-Settings!$D$18)/Settings!$E$18</f>
        <v>6.1991380803910742E-2</v>
      </c>
      <c r="O345" s="19">
        <f>(G345-Settings!$D$19)/Settings!$E$19</f>
        <v>0.23739818635937524</v>
      </c>
      <c r="P345" s="19">
        <f>(H345-Settings!$D$20)/Settings!$E$20</f>
        <v>1.0540796702175448</v>
      </c>
      <c r="Q345" s="19">
        <f>(I345-Settings!$D$21)/Settings!$E$21</f>
        <v>0.18649799105875345</v>
      </c>
      <c r="R345" s="19">
        <f>(J345-Settings!$D$22)/Settings!$E$22</f>
        <v>0.835317375140327</v>
      </c>
      <c r="S345" s="19">
        <f>(K345-Settings!$D$23)/Settings!$E$23</f>
        <v>1.3297302836322493</v>
      </c>
      <c r="T345" s="19">
        <f>(L345-Settings!$D$24)/Settings!$E$24</f>
        <v>2.4964599795455893</v>
      </c>
      <c r="U345" s="19">
        <f>(M345-Settings!$D$25)/Settings!$E$25</f>
        <v>1.8656520755318817</v>
      </c>
      <c r="V345" s="31">
        <f>Settings!$B$18*(N345-F$6)^2</f>
        <v>8.680544639727053E-2</v>
      </c>
      <c r="W345" s="31">
        <f>Settings!$B$19*(O345-G$6)^2</f>
        <v>1.8740327386048909E-2</v>
      </c>
      <c r="X345" s="31">
        <f>Settings!$B$20*(P345-H$6)^2</f>
        <v>0.17604333944379771</v>
      </c>
      <c r="Y345" s="31">
        <f>Settings!$B$21*(Q345-I$6)^2</f>
        <v>1.1836453742931706E-2</v>
      </c>
      <c r="Z345" s="31">
        <f>Settings!$B$22*(R345-J$6)^2</f>
        <v>7.7371978633306998E-3</v>
      </c>
      <c r="AA345" s="31">
        <f>Settings!$B$23*(S345-K$6)^2</f>
        <v>3.3507745706396974E-2</v>
      </c>
      <c r="AB345" s="31">
        <f>Settings!$B$24*(T345-L$6)^2</f>
        <v>4.420857464708285</v>
      </c>
      <c r="AC345" s="31">
        <f>Settings!$B$25*(U345-M$6)^2</f>
        <v>18.622734053091481</v>
      </c>
      <c r="AD345" s="19">
        <f t="shared" si="20"/>
        <v>4.8351072406245077</v>
      </c>
      <c r="AE345" s="15">
        <f t="shared" si="21"/>
        <v>1.9138231043609444</v>
      </c>
      <c r="AF345" s="33">
        <f t="shared" si="22"/>
        <v>0.16019564373342082</v>
      </c>
      <c r="AG345" s="47">
        <f t="shared" si="23"/>
        <v>9.4443042794650333E-4</v>
      </c>
      <c r="AH345" s="18">
        <v>0.8529700881519604</v>
      </c>
      <c r="AI345" s="46">
        <v>0</v>
      </c>
      <c r="AJ345" s="18">
        <v>-0.99598650553672474</v>
      </c>
      <c r="AK345" s="46">
        <v>0</v>
      </c>
      <c r="AL345" s="18">
        <v>-1.9453096243649699</v>
      </c>
      <c r="AM345" s="46">
        <v>0</v>
      </c>
      <c r="AN345" s="18">
        <v>-1.2790731164305751</v>
      </c>
      <c r="AO345" s="46">
        <v>0</v>
      </c>
      <c r="AP345" s="18">
        <v>1.861744133105367</v>
      </c>
      <c r="AQ345" s="46">
        <v>1</v>
      </c>
    </row>
    <row r="346" spans="1:43" ht="20" customHeight="1" x14ac:dyDescent="0.45">
      <c r="A346" s="26">
        <v>336</v>
      </c>
      <c r="B346" s="16" t="s">
        <v>690</v>
      </c>
      <c r="C346" s="16" t="s">
        <v>229</v>
      </c>
      <c r="D346" s="46">
        <v>29</v>
      </c>
      <c r="E346" s="46">
        <v>1</v>
      </c>
      <c r="F346" s="13">
        <v>0.3693741443374281</v>
      </c>
      <c r="G346" s="13">
        <v>0.19212675842000709</v>
      </c>
      <c r="H346" s="13">
        <v>-3.9715675934993309E-3</v>
      </c>
      <c r="I346" s="13">
        <v>-1.365247667407968E-5</v>
      </c>
      <c r="J346" s="13">
        <v>0.43451387717239148</v>
      </c>
      <c r="K346" s="13">
        <v>9.8271062271062313</v>
      </c>
      <c r="L346" s="13">
        <v>0.87185501287834932</v>
      </c>
      <c r="M346" s="13">
        <v>1.758630104526103</v>
      </c>
      <c r="N346" s="19">
        <f>(F346-Settings!$D$18)/Settings!$E$18</f>
        <v>0.63365696854058984</v>
      </c>
      <c r="O346" s="19">
        <f>(G346-Settings!$D$19)/Settings!$E$19</f>
        <v>0.8280955501434426</v>
      </c>
      <c r="P346" s="19">
        <f>(H346-Settings!$D$20)/Settings!$E$20</f>
        <v>-0.51732577689723169</v>
      </c>
      <c r="Q346" s="19">
        <f>(I346-Settings!$D$21)/Settings!$E$21</f>
        <v>3.6041235708238958E-2</v>
      </c>
      <c r="R346" s="19">
        <f>(J346-Settings!$D$22)/Settings!$E$22</f>
        <v>0.50219773680755309</v>
      </c>
      <c r="S346" s="19">
        <f>(K346-Settings!$D$23)/Settings!$E$23</f>
        <v>-1.8850561445977569</v>
      </c>
      <c r="T346" s="19">
        <f>(L346-Settings!$D$24)/Settings!$E$24</f>
        <v>-0.30171611238175539</v>
      </c>
      <c r="U346" s="19">
        <f>(M346-Settings!$D$25)/Settings!$E$25</f>
        <v>1.2220099872548513</v>
      </c>
      <c r="V346" s="31">
        <f>Settings!$B$18*(N346-F$6)^2</f>
        <v>1.51874019183392E-3</v>
      </c>
      <c r="W346" s="31">
        <f>Settings!$B$19*(O346-G$6)^2</f>
        <v>0.16085169628017729</v>
      </c>
      <c r="X346" s="31">
        <f>Settings!$B$20*(P346-H$6)^2</f>
        <v>8.0190170884094469E-2</v>
      </c>
      <c r="Y346" s="31">
        <f>Settings!$B$21*(Q346-I$6)^2</f>
        <v>3.1004791135610506E-2</v>
      </c>
      <c r="Z346" s="31">
        <f>Settings!$B$22*(R346-J$6)^2</f>
        <v>3.7227433627159364E-3</v>
      </c>
      <c r="AA346" s="31">
        <f>Settings!$B$23*(S346-K$6)^2</f>
        <v>9.1914184297473156</v>
      </c>
      <c r="AB346" s="31">
        <f>Settings!$B$24*(T346-L$6)^2</f>
        <v>0.48384902409163383</v>
      </c>
      <c r="AC346" s="31">
        <f>Settings!$B$25*(U346-M$6)^2</f>
        <v>13.481854569791237</v>
      </c>
      <c r="AD346" s="19">
        <f t="shared" si="20"/>
        <v>4.8409100555045042</v>
      </c>
      <c r="AE346" s="15">
        <f t="shared" si="21"/>
        <v>1.9161199636931134</v>
      </c>
      <c r="AF346" s="33">
        <f t="shared" si="22"/>
        <v>0.15949258328297461</v>
      </c>
      <c r="AG346" s="47">
        <f t="shared" si="23"/>
        <v>9.4028554818190678E-4</v>
      </c>
      <c r="AH346" s="48"/>
      <c r="AI346" s="48"/>
      <c r="AJ346" s="48"/>
      <c r="AK346" s="48"/>
      <c r="AL346" s="48"/>
      <c r="AM346" s="48"/>
      <c r="AN346" s="48"/>
      <c r="AO346" s="48"/>
      <c r="AP346" s="48"/>
      <c r="AQ346" s="48"/>
    </row>
    <row r="347" spans="1:43" ht="20" customHeight="1" x14ac:dyDescent="0.45">
      <c r="A347" s="26">
        <v>337</v>
      </c>
      <c r="B347" s="16" t="s">
        <v>627</v>
      </c>
      <c r="C347" s="16" t="s">
        <v>227</v>
      </c>
      <c r="D347" s="46">
        <v>29</v>
      </c>
      <c r="E347" s="46">
        <v>0</v>
      </c>
      <c r="F347" s="13">
        <v>0.44830424151254922</v>
      </c>
      <c r="G347" s="13">
        <v>9.8337104333266534E-2</v>
      </c>
      <c r="H347" s="13">
        <v>-4.9802377780991487E-3</v>
      </c>
      <c r="I347" s="13">
        <v>-0.2583377611596126</v>
      </c>
      <c r="J347" s="13">
        <v>-0.19004065521647251</v>
      </c>
      <c r="K347" s="13">
        <v>11.81532258064516</v>
      </c>
      <c r="L347" s="13">
        <v>-0.23058208829508239</v>
      </c>
      <c r="M347" s="13">
        <v>1.5759381313951291</v>
      </c>
      <c r="N347" s="19">
        <f>(F347-Settings!$D$18)/Settings!$E$18</f>
        <v>0.91614286595848904</v>
      </c>
      <c r="O347" s="19">
        <f>(G347-Settings!$D$19)/Settings!$E$19</f>
        <v>0.43735589713668699</v>
      </c>
      <c r="P347" s="19">
        <f>(H347-Settings!$D$20)/Settings!$E$20</f>
        <v>-0.52646452273513689</v>
      </c>
      <c r="Q347" s="19">
        <f>(I347-Settings!$D$21)/Settings!$E$21</f>
        <v>-3.1406497750864144</v>
      </c>
      <c r="R347" s="19">
        <f>(J347-Settings!$D$22)/Settings!$E$22</f>
        <v>-1.1781956369773552</v>
      </c>
      <c r="S347" s="19">
        <f>(K347-Settings!$D$23)/Settings!$E$23</f>
        <v>-1.1945943364351341</v>
      </c>
      <c r="T347" s="19">
        <f>(L347-Settings!$D$24)/Settings!$E$24</f>
        <v>-1.0638911819492611</v>
      </c>
      <c r="U347" s="19">
        <f>(M347-Settings!$D$25)/Settings!$E$25</f>
        <v>1.0988004858429739</v>
      </c>
      <c r="V347" s="31">
        <f>Settings!$B$18*(N347-F$6)^2</f>
        <v>7.6318598485672993E-3</v>
      </c>
      <c r="W347" s="31">
        <f>Settings!$B$19*(O347-G$6)^2</f>
        <v>5.1220345078973245E-2</v>
      </c>
      <c r="X347" s="31">
        <f>Settings!$B$20*(P347-H$6)^2</f>
        <v>8.2521560630644475E-2</v>
      </c>
      <c r="Y347" s="31">
        <f>Settings!$B$21*(Q347-I$6)^2</f>
        <v>2.5495824046312463</v>
      </c>
      <c r="Z347" s="31">
        <f>Settings!$B$22*(R347-J$6)^2</f>
        <v>0.66017095751751909</v>
      </c>
      <c r="AA347" s="31">
        <f>Settings!$B$23*(S347-K$6)^2</f>
        <v>5.4815611778243936</v>
      </c>
      <c r="AB347" s="31">
        <f>Settings!$B$24*(T347-L$6)^2</f>
        <v>2.1250864923375259</v>
      </c>
      <c r="AC347" s="31">
        <f>Settings!$B$25*(U347-M$6)^2</f>
        <v>12.592242603452176</v>
      </c>
      <c r="AD347" s="19">
        <f t="shared" si="20"/>
        <v>4.852836016322934</v>
      </c>
      <c r="AE347" s="15">
        <f t="shared" si="21"/>
        <v>1.9208404751978525</v>
      </c>
      <c r="AF347" s="33">
        <f t="shared" si="22"/>
        <v>0.15805470596793023</v>
      </c>
      <c r="AG347" s="47">
        <f t="shared" si="23"/>
        <v>9.3180856930574134E-4</v>
      </c>
      <c r="AH347" s="18">
        <v>0.9788723137741715</v>
      </c>
      <c r="AI347" s="46">
        <v>0</v>
      </c>
      <c r="AJ347" s="18">
        <v>0.106425524867246</v>
      </c>
      <c r="AK347" s="46">
        <v>0</v>
      </c>
      <c r="AL347" s="18">
        <v>-1.06941991884499</v>
      </c>
      <c r="AM347" s="46">
        <v>0</v>
      </c>
      <c r="AN347" s="18">
        <v>-0.6068646727256708</v>
      </c>
      <c r="AO347" s="46">
        <v>1</v>
      </c>
      <c r="AP347" s="18">
        <v>-3.2611901650901658E-2</v>
      </c>
      <c r="AQ347" s="46">
        <v>1</v>
      </c>
    </row>
    <row r="348" spans="1:43" ht="20" customHeight="1" x14ac:dyDescent="0.45">
      <c r="A348" s="26">
        <v>338</v>
      </c>
      <c r="B348" s="16" t="s">
        <v>442</v>
      </c>
      <c r="C348" s="16" t="s">
        <v>229</v>
      </c>
      <c r="D348" s="46">
        <v>29</v>
      </c>
      <c r="E348" s="46">
        <v>1</v>
      </c>
      <c r="F348" s="13">
        <v>-0.10887259230382</v>
      </c>
      <c r="G348" s="13">
        <v>-0.14767915779596591</v>
      </c>
      <c r="H348" s="13">
        <v>4.0700197398351567E-2</v>
      </c>
      <c r="I348" s="13">
        <v>-0.57279196837548618</v>
      </c>
      <c r="J348" s="13">
        <v>-0.12995608412637641</v>
      </c>
      <c r="K348" s="13">
        <v>15.604244306418201</v>
      </c>
      <c r="L348" s="13">
        <v>-0.80779602093846903</v>
      </c>
      <c r="M348" s="13">
        <v>0.31682444229843632</v>
      </c>
      <c r="N348" s="19">
        <f>(F348-Settings!$D$18)/Settings!$E$18</f>
        <v>-1.0779582887869756</v>
      </c>
      <c r="O348" s="19">
        <f>(G348-Settings!$D$19)/Settings!$E$19</f>
        <v>-0.58757920721386181</v>
      </c>
      <c r="P348" s="19">
        <f>(H348-Settings!$D$20)/Settings!$E$20</f>
        <v>-0.11259099577239606</v>
      </c>
      <c r="Q348" s="19">
        <f>(I348-Settings!$D$21)/Settings!$E$21</f>
        <v>-7.0075898700787986</v>
      </c>
      <c r="R348" s="19">
        <f>(J348-Settings!$D$22)/Settings!$E$22</f>
        <v>-1.0165352696427028</v>
      </c>
      <c r="S348" s="19">
        <f>(K348-Settings!$D$23)/Settings!$E$23</f>
        <v>0.12121102906613869</v>
      </c>
      <c r="T348" s="19">
        <f>(L348-Settings!$D$24)/Settings!$E$24</f>
        <v>-1.4629507462541433</v>
      </c>
      <c r="U348" s="19">
        <f>(M348-Settings!$D$25)/Settings!$E$25</f>
        <v>0.24964019053401904</v>
      </c>
      <c r="V348" s="31">
        <f>Settings!$B$18*(N348-F$6)^2</f>
        <v>0.64710542184694209</v>
      </c>
      <c r="W348" s="31">
        <f>Settings!$B$19*(O348-G$6)^2</f>
        <v>5.3845249101497086E-2</v>
      </c>
      <c r="X348" s="31">
        <f>Settings!$B$20*(P348-H$6)^2</f>
        <v>1.0439892887750019E-2</v>
      </c>
      <c r="Y348" s="31">
        <f>Settings!$B$21*(Q348-I$6)^2</f>
        <v>11.062870471923013</v>
      </c>
      <c r="Z348" s="31">
        <f>Settings!$B$22*(R348-J$6)^2</f>
        <v>0.54791430326079515</v>
      </c>
      <c r="AA348" s="31">
        <f>Settings!$B$23*(S348-K$6)^2</f>
        <v>1.0515847091717518</v>
      </c>
      <c r="AB348" s="31">
        <f>Settings!$B$24*(T348-L$6)^2</f>
        <v>3.447807266782156</v>
      </c>
      <c r="AC348" s="31">
        <f>Settings!$B$25*(U348-M$6)^2</f>
        <v>7.2867317834495475</v>
      </c>
      <c r="AD348" s="19">
        <f t="shared" si="20"/>
        <v>4.910020274746679</v>
      </c>
      <c r="AE348" s="15">
        <f t="shared" si="21"/>
        <v>1.9434750414092474</v>
      </c>
      <c r="AF348" s="33">
        <f t="shared" si="22"/>
        <v>0.15129138218192828</v>
      </c>
      <c r="AG348" s="47">
        <f t="shared" si="23"/>
        <v>8.9193552014727665E-4</v>
      </c>
      <c r="AH348" s="18">
        <v>0.29134231879638123</v>
      </c>
      <c r="AI348" s="46">
        <v>1</v>
      </c>
      <c r="AJ348" s="18">
        <v>0.18160059804679601</v>
      </c>
      <c r="AK348" s="46">
        <v>1</v>
      </c>
      <c r="AL348" s="18">
        <v>3.6720413415653907E-2</v>
      </c>
      <c r="AM348" s="46">
        <v>1</v>
      </c>
      <c r="AN348" s="48"/>
      <c r="AO348" s="48"/>
      <c r="AP348" s="48"/>
      <c r="AQ348" s="48"/>
    </row>
    <row r="349" spans="1:43" ht="20" customHeight="1" x14ac:dyDescent="0.45">
      <c r="A349" s="26">
        <v>339</v>
      </c>
      <c r="B349" s="16" t="s">
        <v>778</v>
      </c>
      <c r="C349" s="16" t="s">
        <v>234</v>
      </c>
      <c r="D349" s="46">
        <v>29</v>
      </c>
      <c r="E349" s="46">
        <v>1</v>
      </c>
      <c r="F349" s="13">
        <v>-0.51870893340792334</v>
      </c>
      <c r="G349" s="13">
        <v>-0.16134018994691129</v>
      </c>
      <c r="H349" s="13">
        <v>5.5615823104988664E-4</v>
      </c>
      <c r="I349" s="13">
        <v>1.7648824139465238E-2</v>
      </c>
      <c r="J349" s="13">
        <v>-0.30174589427465021</v>
      </c>
      <c r="K349" s="13">
        <v>9.1023364485981304</v>
      </c>
      <c r="L349" s="13">
        <v>-0.57120120482759584</v>
      </c>
      <c r="M349" s="13">
        <v>0.34205113431114381</v>
      </c>
      <c r="N349" s="19">
        <f>(F349-Settings!$D$18)/Settings!$E$18</f>
        <v>-2.5447370050781384</v>
      </c>
      <c r="O349" s="19">
        <f>(G349-Settings!$D$19)/Settings!$E$19</f>
        <v>-0.64449280833918221</v>
      </c>
      <c r="P349" s="19">
        <f>(H349-Settings!$D$20)/Settings!$E$20</f>
        <v>-0.47630371025342466</v>
      </c>
      <c r="Q349" s="19">
        <f>(I349-Settings!$D$21)/Settings!$E$21</f>
        <v>0.25324214266550088</v>
      </c>
      <c r="R349" s="19">
        <f>(J349-Settings!$D$22)/Settings!$E$22</f>
        <v>-1.4787438418113703</v>
      </c>
      <c r="S349" s="19">
        <f>(K349-Settings!$D$23)/Settings!$E$23</f>
        <v>-2.1367520180773174</v>
      </c>
      <c r="T349" s="19">
        <f>(L349-Settings!$D$24)/Settings!$E$24</f>
        <v>-1.2993798085229324</v>
      </c>
      <c r="U349" s="19">
        <f>(M349-Settings!$D$25)/Settings!$E$25</f>
        <v>0.26665335258973999</v>
      </c>
      <c r="V349" s="31">
        <f>Settings!$B$18*(N349-F$6)^2</f>
        <v>2.1327448351061196</v>
      </c>
      <c r="W349" s="31">
        <f>Settings!$B$19*(O349-G$6)^2</f>
        <v>6.6305388485294756E-2</v>
      </c>
      <c r="X349" s="31">
        <f>Settings!$B$20*(P349-H$6)^2</f>
        <v>7.0136552217893458E-2</v>
      </c>
      <c r="Y349" s="31">
        <f>Settings!$B$21*(Q349-I$6)^2</f>
        <v>6.2325617761606429E-3</v>
      </c>
      <c r="Z349" s="31">
        <f>Settings!$B$22*(R349-J$6)^2</f>
        <v>0.8966542555771696</v>
      </c>
      <c r="AA349" s="31">
        <f>Settings!$B$23*(S349-K$6)^2</f>
        <v>10.780919729988341</v>
      </c>
      <c r="AB349" s="31">
        <f>Settings!$B$24*(T349-L$6)^2</f>
        <v>2.8671167844145451</v>
      </c>
      <c r="AC349" s="31">
        <f>Settings!$B$25*(U349-M$6)^2</f>
        <v>7.3788717103331729</v>
      </c>
      <c r="AD349" s="19">
        <f t="shared" si="20"/>
        <v>4.9192460619386278</v>
      </c>
      <c r="AE349" s="15">
        <f t="shared" si="21"/>
        <v>1.9471267752395787</v>
      </c>
      <c r="AF349" s="33">
        <f t="shared" si="22"/>
        <v>0.15022045866695014</v>
      </c>
      <c r="AG349" s="47">
        <f t="shared" si="23"/>
        <v>8.8562191055105151E-4</v>
      </c>
      <c r="AH349" s="48"/>
      <c r="AI349" s="48"/>
      <c r="AJ349" s="48"/>
      <c r="AK349" s="48"/>
      <c r="AL349" s="48"/>
      <c r="AM349" s="48"/>
      <c r="AN349" s="48"/>
      <c r="AO349" s="48"/>
      <c r="AP349" s="48"/>
      <c r="AQ349" s="48"/>
    </row>
    <row r="350" spans="1:43" ht="20" customHeight="1" x14ac:dyDescent="0.45">
      <c r="A350" s="26">
        <v>340</v>
      </c>
      <c r="B350" s="16" t="s">
        <v>422</v>
      </c>
      <c r="C350" s="16" t="s">
        <v>220</v>
      </c>
      <c r="D350" s="46">
        <v>29</v>
      </c>
      <c r="E350" s="46">
        <v>1</v>
      </c>
      <c r="F350" s="13">
        <v>-4.1130423307460168E-2</v>
      </c>
      <c r="G350" s="13">
        <v>0.59496503523903899</v>
      </c>
      <c r="H350" s="13">
        <v>-8.6027980881951877E-2</v>
      </c>
      <c r="I350" s="13">
        <v>0.13196505725353869</v>
      </c>
      <c r="J350" s="13">
        <v>0.14591150331801031</v>
      </c>
      <c r="K350" s="13">
        <v>14.906901041666639</v>
      </c>
      <c r="L350" s="13">
        <v>0.15575169809369069</v>
      </c>
      <c r="M350" s="13">
        <v>2.6957618309785731</v>
      </c>
      <c r="N350" s="19">
        <f>(F350-Settings!$D$18)/Settings!$E$18</f>
        <v>-0.83551328888390364</v>
      </c>
      <c r="O350" s="19">
        <f>(G350-Settings!$D$19)/Settings!$E$19</f>
        <v>2.5063711556439521</v>
      </c>
      <c r="P350" s="19">
        <f>(H350-Settings!$D$20)/Settings!$E$20</f>
        <v>-1.2607726605887384</v>
      </c>
      <c r="Q350" s="19">
        <f>(I350-Settings!$D$21)/Settings!$E$21</f>
        <v>1.6590240186695813</v>
      </c>
      <c r="R350" s="19">
        <f>(J350-Settings!$D$22)/Settings!$E$22</f>
        <v>-0.27430053761621614</v>
      </c>
      <c r="S350" s="19">
        <f>(K350-Settings!$D$23)/Settings!$E$23</f>
        <v>-0.12096024702932372</v>
      </c>
      <c r="T350" s="19">
        <f>(L350-Settings!$D$24)/Settings!$E$24</f>
        <v>-0.7967975035854572</v>
      </c>
      <c r="U350" s="19">
        <f>(M350-Settings!$D$25)/Settings!$E$25</f>
        <v>1.8540220608815554</v>
      </c>
      <c r="V350" s="31">
        <f>Settings!$B$18*(N350-F$6)^2</f>
        <v>0.48442147134894697</v>
      </c>
      <c r="W350" s="31">
        <f>Settings!$B$19*(O350-G$6)^2</f>
        <v>1.3262076076800708</v>
      </c>
      <c r="X350" s="31">
        <f>Settings!$B$20*(P350-H$6)^2</f>
        <v>0.3790350742053552</v>
      </c>
      <c r="Y350" s="31">
        <f>Settings!$B$21*(Q350-I$6)^2</f>
        <v>0.30221207952452261</v>
      </c>
      <c r="Z350" s="31">
        <f>Settings!$B$22*(R350-J$6)^2</f>
        <v>0.16668837224122474</v>
      </c>
      <c r="AA350" s="31">
        <f>Settings!$B$23*(S350-K$6)^2</f>
        <v>1.6069094457365871</v>
      </c>
      <c r="AB350" s="31">
        <f>Settings!$B$24*(T350-L$6)^2</f>
        <v>1.4177044830053036</v>
      </c>
      <c r="AC350" s="31">
        <f>Settings!$B$25*(U350-M$6)^2</f>
        <v>18.52249282656129</v>
      </c>
      <c r="AD350" s="19">
        <f t="shared" si="20"/>
        <v>4.9199259506930897</v>
      </c>
      <c r="AE350" s="15">
        <f t="shared" si="21"/>
        <v>1.9473958875347006</v>
      </c>
      <c r="AF350" s="33">
        <f t="shared" si="22"/>
        <v>0.15014175896702794</v>
      </c>
      <c r="AG350" s="47">
        <f t="shared" si="23"/>
        <v>8.8515793793890951E-4</v>
      </c>
      <c r="AH350" s="18">
        <v>0.54322132878170948</v>
      </c>
      <c r="AI350" s="46">
        <v>1</v>
      </c>
      <c r="AJ350" s="18">
        <v>-0.53698282359016192</v>
      </c>
      <c r="AK350" s="46">
        <v>1</v>
      </c>
      <c r="AL350" s="18">
        <v>0.12843413603833931</v>
      </c>
      <c r="AM350" s="46">
        <v>1</v>
      </c>
      <c r="AN350" s="18">
        <v>-0.33649051750291459</v>
      </c>
      <c r="AO350" s="46">
        <v>1</v>
      </c>
      <c r="AP350" s="48"/>
      <c r="AQ350" s="48"/>
    </row>
    <row r="351" spans="1:43" ht="20" customHeight="1" x14ac:dyDescent="0.45">
      <c r="A351" s="26">
        <v>341</v>
      </c>
      <c r="B351" s="16" t="s">
        <v>695</v>
      </c>
      <c r="C351" s="16" t="s">
        <v>232</v>
      </c>
      <c r="D351" s="46">
        <v>29</v>
      </c>
      <c r="E351" s="46">
        <v>0</v>
      </c>
      <c r="F351" s="13">
        <v>-0.65219788922026078</v>
      </c>
      <c r="G351" s="13">
        <v>5.2503083529598323E-2</v>
      </c>
      <c r="H351" s="13">
        <v>-3.4915008702625789E-4</v>
      </c>
      <c r="I351" s="13">
        <v>-4.8302281659280852E-5</v>
      </c>
      <c r="J351" s="13">
        <v>0.29490157488145541</v>
      </c>
      <c r="K351" s="13">
        <v>8.2875862068965525</v>
      </c>
      <c r="L351" s="13">
        <v>-0.47887892058688619</v>
      </c>
      <c r="M351" s="13">
        <v>-9.8264322218909017E-2</v>
      </c>
      <c r="N351" s="19">
        <f>(F351-Settings!$D$18)/Settings!$E$18</f>
        <v>-3.0224856564495228</v>
      </c>
      <c r="O351" s="19">
        <f>(G351-Settings!$D$19)/Settings!$E$19</f>
        <v>0.24640552463433624</v>
      </c>
      <c r="P351" s="19">
        <f>(H351-Settings!$D$20)/Settings!$E$20</f>
        <v>-0.48450597770432757</v>
      </c>
      <c r="Q351" s="19">
        <f>(I351-Settings!$D$21)/Settings!$E$21</f>
        <v>3.5615136399957295E-2</v>
      </c>
      <c r="R351" s="19">
        <f>(J351-Settings!$D$22)/Settings!$E$22</f>
        <v>0.12656426446494232</v>
      </c>
      <c r="S351" s="19">
        <f>(K351-Settings!$D$23)/Settings!$E$23</f>
        <v>-2.4196960367626512</v>
      </c>
      <c r="T351" s="19">
        <f>(L351-Settings!$D$24)/Settings!$E$24</f>
        <v>-1.2355523635477073</v>
      </c>
      <c r="U351" s="19">
        <f>(M351-Settings!$D$25)/Settings!$E$25</f>
        <v>-3.0300295308725172E-2</v>
      </c>
      <c r="V351" s="31">
        <f>Settings!$B$18*(N351-F$6)^2</f>
        <v>2.8024357230143271</v>
      </c>
      <c r="W351" s="31">
        <f>Settings!$B$19*(O351-G$6)^2</f>
        <v>1.9859438366171947E-2</v>
      </c>
      <c r="X351" s="31">
        <f>Settings!$B$20*(P351-H$6)^2</f>
        <v>7.2092910688886819E-2</v>
      </c>
      <c r="Y351" s="31">
        <f>Settings!$B$21*(Q351-I$6)^2</f>
        <v>3.1071934819118782E-2</v>
      </c>
      <c r="Z351" s="31">
        <f>Settings!$B$22*(R351-J$6)^2</f>
        <v>5.2442229252374545E-2</v>
      </c>
      <c r="AA351" s="31">
        <f>Settings!$B$23*(S351-K$6)^2</f>
        <v>12.719031423681367</v>
      </c>
      <c r="AB351" s="31">
        <f>Settings!$B$24*(T351-L$6)^2</f>
        <v>2.655038284774581</v>
      </c>
      <c r="AC351" s="31">
        <f>Settings!$B$25*(U351-M$6)^2</f>
        <v>5.8537587276213072</v>
      </c>
      <c r="AD351" s="19">
        <f t="shared" si="20"/>
        <v>4.9199319784137394</v>
      </c>
      <c r="AE351" s="15">
        <f t="shared" si="21"/>
        <v>1.9473982734158137</v>
      </c>
      <c r="AF351" s="33">
        <f t="shared" si="22"/>
        <v>0.1501410613713127</v>
      </c>
      <c r="AG351" s="47">
        <f t="shared" si="23"/>
        <v>8.8515382527638929E-4</v>
      </c>
      <c r="AH351" s="18">
        <v>0.53764236236387775</v>
      </c>
      <c r="AI351" s="46">
        <v>0</v>
      </c>
      <c r="AJ351" s="18">
        <v>0.1285832465647605</v>
      </c>
      <c r="AK351" s="46">
        <v>0</v>
      </c>
      <c r="AL351" s="18">
        <v>-0.27689598971645651</v>
      </c>
      <c r="AM351" s="46">
        <v>1</v>
      </c>
      <c r="AN351" s="18">
        <v>0.29495253856412279</v>
      </c>
      <c r="AO351" s="46">
        <v>1</v>
      </c>
      <c r="AP351" s="18">
        <v>-0.6554697045034753</v>
      </c>
      <c r="AQ351" s="46">
        <v>1</v>
      </c>
    </row>
    <row r="352" spans="1:43" ht="20" customHeight="1" x14ac:dyDescent="0.45">
      <c r="A352" s="26">
        <v>342</v>
      </c>
      <c r="B352" s="16" t="s">
        <v>402</v>
      </c>
      <c r="C352" s="16" t="s">
        <v>218</v>
      </c>
      <c r="D352" s="46">
        <v>29</v>
      </c>
      <c r="E352" s="46">
        <v>0</v>
      </c>
      <c r="F352" s="13">
        <v>4.1543896039141943E-2</v>
      </c>
      <c r="G352" s="13">
        <v>-7.0841338914779797E-2</v>
      </c>
      <c r="H352" s="13">
        <v>0.14826647690448011</v>
      </c>
      <c r="I352" s="13">
        <v>2.3403936694887831E-2</v>
      </c>
      <c r="J352" s="13">
        <v>0.71594435144671043</v>
      </c>
      <c r="K352" s="13">
        <v>17.875781250000021</v>
      </c>
      <c r="L352" s="13">
        <v>1.0299467513698199</v>
      </c>
      <c r="M352" s="13">
        <v>3.5288640439650441</v>
      </c>
      <c r="N352" s="19">
        <f>(F352-Settings!$D$18)/Settings!$E$18</f>
        <v>-0.53962705372289843</v>
      </c>
      <c r="O352" s="19">
        <f>(G352-Settings!$D$19)/Settings!$E$19</f>
        <v>-0.26746306029147798</v>
      </c>
      <c r="P352" s="19">
        <f>(H352-Settings!$D$20)/Settings!$E$20</f>
        <v>0.86198018135185028</v>
      </c>
      <c r="Q352" s="19">
        <f>(I352-Settings!$D$21)/Settings!$E$21</f>
        <v>0.32401453171634859</v>
      </c>
      <c r="R352" s="19">
        <f>(J352-Settings!$D$22)/Settings!$E$22</f>
        <v>1.259399677753938</v>
      </c>
      <c r="S352" s="19">
        <f>(K352-Settings!$D$23)/Settings!$E$23</f>
        <v>0.91006356142862932</v>
      </c>
      <c r="T352" s="19">
        <f>(L352-Settings!$D$24)/Settings!$E$24</f>
        <v>-0.1924186462002096</v>
      </c>
      <c r="U352" s="19">
        <f>(M352-Settings!$D$25)/Settings!$E$25</f>
        <v>2.4158754719977997</v>
      </c>
      <c r="V352" s="31">
        <f>Settings!$B$18*(N352-F$6)^2</f>
        <v>0.31773467282133477</v>
      </c>
      <c r="W352" s="31">
        <f>Settings!$B$19*(O352-G$6)^2</f>
        <v>7.900631739707913E-3</v>
      </c>
      <c r="X352" s="31">
        <f>Settings!$B$20*(P352-H$6)^2</f>
        <v>0.11133279011537695</v>
      </c>
      <c r="Y352" s="31">
        <f>Settings!$B$21*(Q352-I$6)^2</f>
        <v>2.2369306182498032E-3</v>
      </c>
      <c r="Z352" s="31">
        <f>Settings!$B$22*(R352-J$6)^2</f>
        <v>7.7071040083841705E-2</v>
      </c>
      <c r="AA352" s="31">
        <f>Settings!$B$23*(S352-K$6)^2</f>
        <v>5.5986900325921504E-2</v>
      </c>
      <c r="AB352" s="31">
        <f>Settings!$B$24*(T352-L$6)^2</f>
        <v>0.34374194931140573</v>
      </c>
      <c r="AC352" s="31">
        <f>Settings!$B$25*(U352-M$6)^2</f>
        <v>23.67435518332211</v>
      </c>
      <c r="AD352" s="19">
        <f t="shared" si="20"/>
        <v>4.9588668159507918</v>
      </c>
      <c r="AE352" s="15">
        <f t="shared" si="21"/>
        <v>1.9628093879857</v>
      </c>
      <c r="AF352" s="33">
        <f t="shared" si="22"/>
        <v>0.14568473420788941</v>
      </c>
      <c r="AG352" s="47">
        <f t="shared" si="23"/>
        <v>8.5888163165154198E-4</v>
      </c>
      <c r="AH352" s="18">
        <v>0.97862854330712246</v>
      </c>
      <c r="AI352" s="46">
        <v>0</v>
      </c>
      <c r="AJ352" s="18">
        <v>-0.363322528834503</v>
      </c>
      <c r="AK352" s="46">
        <v>0</v>
      </c>
      <c r="AL352" s="18">
        <v>0.48986731018898538</v>
      </c>
      <c r="AM352" s="46">
        <v>0</v>
      </c>
      <c r="AN352" s="18">
        <v>-0.13719995166081361</v>
      </c>
      <c r="AO352" s="46">
        <v>0</v>
      </c>
      <c r="AP352" s="18">
        <v>-0.99517870695386002</v>
      </c>
      <c r="AQ352" s="46">
        <v>1</v>
      </c>
    </row>
    <row r="353" spans="1:43" ht="20" customHeight="1" x14ac:dyDescent="0.45">
      <c r="A353" s="26">
        <v>343</v>
      </c>
      <c r="B353" s="16" t="s">
        <v>469</v>
      </c>
      <c r="C353" s="16" t="s">
        <v>224</v>
      </c>
      <c r="D353" s="46">
        <v>29</v>
      </c>
      <c r="E353" s="46">
        <v>0</v>
      </c>
      <c r="F353" s="13">
        <v>0.37931897694135891</v>
      </c>
      <c r="G353" s="13">
        <v>-9.8824424585434834E-2</v>
      </c>
      <c r="H353" s="13">
        <v>-3.0752375751655842E-3</v>
      </c>
      <c r="I353" s="13">
        <v>0.12861190120882199</v>
      </c>
      <c r="J353" s="13">
        <v>0.39016945968921862</v>
      </c>
      <c r="K353" s="13">
        <v>14.05587606837609</v>
      </c>
      <c r="L353" s="13">
        <v>1.40033922778555</v>
      </c>
      <c r="M353" s="13">
        <v>3.225674339666015</v>
      </c>
      <c r="N353" s="19">
        <f>(F353-Settings!$D$18)/Settings!$E$18</f>
        <v>0.66924890448562324</v>
      </c>
      <c r="O353" s="19">
        <f>(G353-Settings!$D$19)/Settings!$E$19</f>
        <v>-0.38404416181572237</v>
      </c>
      <c r="P353" s="19">
        <f>(H353-Settings!$D$20)/Settings!$E$20</f>
        <v>-0.5092048545685055</v>
      </c>
      <c r="Q353" s="19">
        <f>(I353-Settings!$D$21)/Settings!$E$21</f>
        <v>1.6177892275409016</v>
      </c>
      <c r="R353" s="19">
        <f>(J353-Settings!$D$22)/Settings!$E$22</f>
        <v>0.38288699380796559</v>
      </c>
      <c r="S353" s="19">
        <f>(K353-Settings!$D$23)/Settings!$E$23</f>
        <v>-0.41650164563206649</v>
      </c>
      <c r="T353" s="19">
        <f>(L353-Settings!$D$24)/Settings!$E$24</f>
        <v>6.3653932615358316E-2</v>
      </c>
      <c r="U353" s="19">
        <f>(M353-Settings!$D$25)/Settings!$E$25</f>
        <v>2.2114009586423764</v>
      </c>
      <c r="V353" s="31">
        <f>Settings!$B$18*(N353-F$6)^2</f>
        <v>5.3147860213694062E-4</v>
      </c>
      <c r="W353" s="31">
        <f>Settings!$B$19*(O353-G$6)^2</f>
        <v>1.988724721245479E-2</v>
      </c>
      <c r="X353" s="31">
        <f>Settings!$B$20*(P353-H$6)^2</f>
        <v>7.8146471456338656E-2</v>
      </c>
      <c r="Y353" s="31">
        <f>Settings!$B$21*(Q353-I$6)^2</f>
        <v>0.2822769618879391</v>
      </c>
      <c r="Z353" s="31">
        <f>Settings!$B$22*(R353-J$6)^2</f>
        <v>1.3080879937899241E-2</v>
      </c>
      <c r="AA353" s="31">
        <f>Settings!$B$23*(S353-K$6)^2</f>
        <v>2.4435339591674108</v>
      </c>
      <c r="AB353" s="31">
        <f>Settings!$B$24*(T353-L$6)^2</f>
        <v>0.1090469163290131</v>
      </c>
      <c r="AC353" s="31">
        <f>Settings!$B$25*(U353-M$6)^2</f>
        <v>21.726370361871979</v>
      </c>
      <c r="AD353" s="19">
        <f t="shared" si="20"/>
        <v>4.9671797105062723</v>
      </c>
      <c r="AE353" s="15">
        <f t="shared" si="21"/>
        <v>1.9660997823601463</v>
      </c>
      <c r="AF353" s="33">
        <f t="shared" si="22"/>
        <v>0.14474608969391534</v>
      </c>
      <c r="AG353" s="47">
        <f t="shared" si="23"/>
        <v>8.5334787043705258E-4</v>
      </c>
      <c r="AH353" s="18">
        <v>0.74259976714912845</v>
      </c>
      <c r="AI353" s="46">
        <v>0</v>
      </c>
      <c r="AJ353" s="18">
        <v>-1.108716625570924</v>
      </c>
      <c r="AK353" s="46">
        <v>1</v>
      </c>
      <c r="AL353" s="18">
        <v>-0.23844683703661729</v>
      </c>
      <c r="AM353" s="46">
        <v>1</v>
      </c>
      <c r="AN353" s="48"/>
      <c r="AO353" s="48"/>
      <c r="AP353" s="48"/>
      <c r="AQ353" s="48"/>
    </row>
    <row r="354" spans="1:43" ht="20" customHeight="1" x14ac:dyDescent="0.45">
      <c r="A354" s="26">
        <v>344</v>
      </c>
      <c r="B354" s="16" t="s">
        <v>359</v>
      </c>
      <c r="C354" s="16" t="s">
        <v>218</v>
      </c>
      <c r="D354" s="46">
        <v>29</v>
      </c>
      <c r="E354" s="46">
        <v>0</v>
      </c>
      <c r="F354" s="13">
        <v>0.24566708181592459</v>
      </c>
      <c r="G354" s="13">
        <v>0.16565655189143591</v>
      </c>
      <c r="H354" s="13">
        <v>2.8781801457074301E-2</v>
      </c>
      <c r="I354" s="13">
        <v>3.7325142140318443E-2</v>
      </c>
      <c r="J354" s="13">
        <v>0.52256942269524675</v>
      </c>
      <c r="K354" s="13">
        <v>19.13811475409836</v>
      </c>
      <c r="L354" s="13">
        <v>1.2659532646549061</v>
      </c>
      <c r="M354" s="13">
        <v>3.653759046638998</v>
      </c>
      <c r="N354" s="19">
        <f>(F354-Settings!$D$18)/Settings!$E$18</f>
        <v>0.19091710347003266</v>
      </c>
      <c r="O354" s="19">
        <f>(G354-Settings!$D$19)/Settings!$E$19</f>
        <v>0.7178172959510829</v>
      </c>
      <c r="P354" s="19">
        <f>(H354-Settings!$D$20)/Settings!$E$20</f>
        <v>-0.22057395488609904</v>
      </c>
      <c r="Q354" s="19">
        <f>(I354-Settings!$D$21)/Settings!$E$21</f>
        <v>0.49520787647769188</v>
      </c>
      <c r="R354" s="19">
        <f>(J354-Settings!$D$22)/Settings!$E$22</f>
        <v>0.73911532774337974</v>
      </c>
      <c r="S354" s="19">
        <f>(K354-Settings!$D$23)/Settings!$E$23</f>
        <v>1.348442952178839</v>
      </c>
      <c r="T354" s="19">
        <f>(L354-Settings!$D$24)/Settings!$E$24</f>
        <v>-2.9254434391678324E-2</v>
      </c>
      <c r="U354" s="19">
        <f>(M354-Settings!$D$25)/Settings!$E$25</f>
        <v>2.5001060528195471</v>
      </c>
      <c r="V354" s="31">
        <f>Settings!$B$18*(N354-F$6)^2</f>
        <v>5.6154925101378976E-2</v>
      </c>
      <c r="W354" s="31">
        <f>Settings!$B$19*(O354-G$6)^2</f>
        <v>0.12372473691962518</v>
      </c>
      <c r="X354" s="31">
        <f>Settings!$B$20*(P354-H$6)^2</f>
        <v>2.2640390746017602E-2</v>
      </c>
      <c r="Y354" s="31">
        <f>Settings!$B$21*(Q354-I$6)^2</f>
        <v>8.5636942567066153E-4</v>
      </c>
      <c r="Z354" s="31">
        <f>Settings!$B$22*(R354-J$6)^2</f>
        <v>2.0194669392911563E-3</v>
      </c>
      <c r="AA354" s="31">
        <f>Settings!$B$23*(S354-K$6)^2</f>
        <v>4.0708662932987735E-2</v>
      </c>
      <c r="AB354" s="31">
        <f>Settings!$B$24*(T354-L$6)^2</f>
        <v>0.17903975216998744</v>
      </c>
      <c r="AC354" s="31">
        <f>Settings!$B$25*(U354-M$6)^2</f>
        <v>24.501119654028926</v>
      </c>
      <c r="AD354" s="19">
        <f t="shared" si="20"/>
        <v>4.9926209507896635</v>
      </c>
      <c r="AE354" s="15">
        <f t="shared" si="21"/>
        <v>1.9761698865036199</v>
      </c>
      <c r="AF354" s="33">
        <f t="shared" si="22"/>
        <v>0.14190127492816901</v>
      </c>
      <c r="AG354" s="47">
        <f t="shared" si="23"/>
        <v>8.365763180775309E-4</v>
      </c>
      <c r="AH354" s="18">
        <v>1.5623659619185319</v>
      </c>
      <c r="AI354" s="46">
        <v>0</v>
      </c>
      <c r="AJ354" s="18">
        <v>-1.224158953213659</v>
      </c>
      <c r="AK354" s="46">
        <v>0</v>
      </c>
      <c r="AL354" s="18">
        <v>-0.82616507181182774</v>
      </c>
      <c r="AM354" s="46">
        <v>0</v>
      </c>
      <c r="AN354" s="18">
        <v>-0.2096089929953697</v>
      </c>
      <c r="AO354" s="46">
        <v>0</v>
      </c>
      <c r="AP354" s="18">
        <v>-7.1156012576578664E-2</v>
      </c>
      <c r="AQ354" s="46">
        <v>1</v>
      </c>
    </row>
    <row r="355" spans="1:43" ht="20" customHeight="1" x14ac:dyDescent="0.45">
      <c r="A355" s="26">
        <v>345</v>
      </c>
      <c r="B355" s="16" t="s">
        <v>298</v>
      </c>
      <c r="C355" s="16" t="s">
        <v>224</v>
      </c>
      <c r="D355" s="46">
        <v>29</v>
      </c>
      <c r="E355" s="46">
        <v>0</v>
      </c>
      <c r="F355" s="13">
        <v>0.32006962310637938</v>
      </c>
      <c r="G355" s="13">
        <v>-9.8941863605213218E-2</v>
      </c>
      <c r="H355" s="13">
        <v>5.8034832771630879E-2</v>
      </c>
      <c r="I355" s="13">
        <v>-2.7113058238609419E-3</v>
      </c>
      <c r="J355" s="13">
        <v>0.52024237469291557</v>
      </c>
      <c r="K355" s="13">
        <v>19.676451612903229</v>
      </c>
      <c r="L355" s="13">
        <v>5.1626282115452442</v>
      </c>
      <c r="M355" s="13">
        <v>2.9464768762280862</v>
      </c>
      <c r="N355" s="19">
        <f>(F355-Settings!$D$18)/Settings!$E$18</f>
        <v>0.45719916061706506</v>
      </c>
      <c r="O355" s="19">
        <f>(G355-Settings!$D$19)/Settings!$E$19</f>
        <v>-0.38453342774046095</v>
      </c>
      <c r="P355" s="19">
        <f>(H355-Settings!$D$20)/Settings!$E$20</f>
        <v>4.4464134128177464E-2</v>
      </c>
      <c r="Q355" s="19">
        <f>(I355-Settings!$D$21)/Settings!$E$21</f>
        <v>2.8673628477434931E-3</v>
      </c>
      <c r="R355" s="19">
        <f>(J355-Settings!$D$22)/Settings!$E$22</f>
        <v>0.73285429553432668</v>
      </c>
      <c r="S355" s="19">
        <f>(K355-Settings!$D$23)/Settings!$E$23</f>
        <v>1.5353949608319144</v>
      </c>
      <c r="T355" s="19">
        <f>(L355-Settings!$D$24)/Settings!$E$24</f>
        <v>2.6647300982105842</v>
      </c>
      <c r="U355" s="19">
        <f>(M355-Settings!$D$25)/Settings!$E$25</f>
        <v>2.023107079737327</v>
      </c>
      <c r="V355" s="31">
        <f>Settings!$B$18*(N355-F$6)^2</f>
        <v>1.3896955288827657E-2</v>
      </c>
      <c r="W355" s="31">
        <f>Settings!$B$19*(O355-G$6)^2</f>
        <v>1.9949008179747599E-2</v>
      </c>
      <c r="X355" s="31">
        <f>Settings!$B$20*(P355-H$6)^2</f>
        <v>1.0200744705453207E-3</v>
      </c>
      <c r="Y355" s="31">
        <f>Settings!$B$21*(Q355-I$6)^2</f>
        <v>3.6449522719759798E-2</v>
      </c>
      <c r="Z355" s="31">
        <f>Settings!$B$22*(R355-J$6)^2</f>
        <v>1.7756498759720575E-3</v>
      </c>
      <c r="AA355" s="31">
        <f>Settings!$B$23*(S355-K$6)^2</f>
        <v>0.15110004143695233</v>
      </c>
      <c r="AB355" s="31">
        <f>Settings!$B$24*(T355-L$6)^2</f>
        <v>5.1567762548615423</v>
      </c>
      <c r="AC355" s="31">
        <f>Settings!$B$25*(U355-M$6)^2</f>
        <v>20.006490857580694</v>
      </c>
      <c r="AD355" s="19">
        <f t="shared" si="20"/>
        <v>5.0385968646453589</v>
      </c>
      <c r="AE355" s="15">
        <f t="shared" si="21"/>
        <v>1.9943679867322661</v>
      </c>
      <c r="AF355" s="33">
        <f t="shared" si="22"/>
        <v>0.13686615065487037</v>
      </c>
      <c r="AG355" s="47">
        <f t="shared" si="23"/>
        <v>8.0689183689333264E-4</v>
      </c>
      <c r="AH355" s="18">
        <v>-0.26095606447420039</v>
      </c>
      <c r="AI355" s="46">
        <v>0</v>
      </c>
      <c r="AJ355" s="18">
        <v>-0.43766738181808318</v>
      </c>
      <c r="AK355" s="46">
        <v>1</v>
      </c>
      <c r="AL355" s="18">
        <v>0.28654569600506979</v>
      </c>
      <c r="AM355" s="46">
        <v>1</v>
      </c>
      <c r="AN355" s="18">
        <v>-0.96511308417719155</v>
      </c>
      <c r="AO355" s="46">
        <v>1</v>
      </c>
      <c r="AP355" s="18">
        <v>2.956172597556872E-2</v>
      </c>
      <c r="AQ355" s="46">
        <v>1</v>
      </c>
    </row>
    <row r="356" spans="1:43" ht="20" customHeight="1" x14ac:dyDescent="0.45">
      <c r="A356" s="26">
        <v>346</v>
      </c>
      <c r="B356" s="16" t="s">
        <v>277</v>
      </c>
      <c r="C356" s="16" t="s">
        <v>229</v>
      </c>
      <c r="D356" s="46">
        <v>29</v>
      </c>
      <c r="E356" s="46">
        <v>1</v>
      </c>
      <c r="F356" s="13">
        <v>8.2666441278016756E-2</v>
      </c>
      <c r="G356" s="13">
        <v>9.983811907714725E-2</v>
      </c>
      <c r="H356" s="13">
        <v>0.36219373341033828</v>
      </c>
      <c r="I356" s="13">
        <v>-0.13080309814791949</v>
      </c>
      <c r="J356" s="13">
        <v>0.32449860808657821</v>
      </c>
      <c r="K356" s="13">
        <v>19.067931034482761</v>
      </c>
      <c r="L356" s="13">
        <v>1.7100705534398679</v>
      </c>
      <c r="M356" s="13">
        <v>3.4055973463838241</v>
      </c>
      <c r="N356" s="19">
        <f>(F356-Settings!$D$18)/Settings!$E$18</f>
        <v>-0.39245202782449801</v>
      </c>
      <c r="O356" s="19">
        <f>(G356-Settings!$D$19)/Settings!$E$19</f>
        <v>0.44360931587346525</v>
      </c>
      <c r="P356" s="19">
        <f>(H356-Settings!$D$20)/Settings!$E$20</f>
        <v>2.8002022631149024</v>
      </c>
      <c r="Q356" s="19">
        <f>(I356-Settings!$D$21)/Settings!$E$21</f>
        <v>-1.572316801367617</v>
      </c>
      <c r="R356" s="19">
        <f>(J356-Settings!$D$22)/Settings!$E$22</f>
        <v>0.20619647574895902</v>
      </c>
      <c r="S356" s="19">
        <f>(K356-Settings!$D$23)/Settings!$E$23</f>
        <v>1.3240697606682119</v>
      </c>
      <c r="T356" s="19">
        <f>(L356-Settings!$D$24)/Settings!$E$24</f>
        <v>0.27778813984273093</v>
      </c>
      <c r="U356" s="19">
        <f>(M356-Settings!$D$25)/Settings!$E$25</f>
        <v>2.3327430382658449</v>
      </c>
      <c r="V356" s="31">
        <f>Settings!$B$18*(N356-F$6)^2</f>
        <v>0.24786548667242725</v>
      </c>
      <c r="W356" s="31">
        <f>Settings!$B$19*(O356-G$6)^2</f>
        <v>5.2494020523971612E-2</v>
      </c>
      <c r="X356" s="31">
        <f>Settings!$B$20*(P356-H$6)^2</f>
        <v>1.441116101496096</v>
      </c>
      <c r="Y356" s="31">
        <f>Settings!$B$21*(Q356-I$6)^2</f>
        <v>0.80167195533571312</v>
      </c>
      <c r="Z356" s="31">
        <f>Settings!$B$22*(R356-J$6)^2</f>
        <v>3.739972165598672E-2</v>
      </c>
      <c r="AA356" s="31">
        <f>Settings!$B$23*(S356-K$6)^2</f>
        <v>3.1467456064098988E-2</v>
      </c>
      <c r="AB356" s="31">
        <f>Settings!$B$24*(T356-L$6)^2</f>
        <v>1.3476497632833335E-2</v>
      </c>
      <c r="AC356" s="31">
        <f>Settings!$B$25*(U356-M$6)^2</f>
        <v>22.872282859722432</v>
      </c>
      <c r="AD356" s="19">
        <f t="shared" si="20"/>
        <v>5.0495320673408504</v>
      </c>
      <c r="AE356" s="15">
        <f t="shared" si="21"/>
        <v>1.9986963382099054</v>
      </c>
      <c r="AF356" s="33">
        <f t="shared" si="22"/>
        <v>0.13568849122208163</v>
      </c>
      <c r="AG356" s="47">
        <f t="shared" si="23"/>
        <v>7.9994896768563603E-4</v>
      </c>
      <c r="AH356" s="18">
        <v>0.132967874002931</v>
      </c>
      <c r="AI356" s="46">
        <v>1</v>
      </c>
      <c r="AJ356" s="18">
        <v>-1.270553344737158</v>
      </c>
      <c r="AK356" s="46">
        <v>1</v>
      </c>
      <c r="AL356" s="18">
        <v>0.42317160112679819</v>
      </c>
      <c r="AM356" s="46">
        <v>1</v>
      </c>
      <c r="AN356" s="48"/>
      <c r="AO356" s="48"/>
      <c r="AP356" s="48"/>
      <c r="AQ356" s="48"/>
    </row>
    <row r="357" spans="1:43" ht="20" customHeight="1" x14ac:dyDescent="0.45">
      <c r="A357" s="26">
        <v>347</v>
      </c>
      <c r="B357" s="16" t="s">
        <v>760</v>
      </c>
      <c r="C357" s="16" t="s">
        <v>216</v>
      </c>
      <c r="D357" s="46">
        <v>29</v>
      </c>
      <c r="E357" s="46">
        <v>1</v>
      </c>
      <c r="F357" s="13">
        <v>-0.47437342829505907</v>
      </c>
      <c r="G357" s="13">
        <v>-0.26248731349099041</v>
      </c>
      <c r="H357" s="13">
        <v>-2.7208563309836663E-4</v>
      </c>
      <c r="I357" s="13">
        <v>-3.6261046604664652E-3</v>
      </c>
      <c r="J357" s="13">
        <v>0.2592410679203857</v>
      </c>
      <c r="K357" s="13">
        <v>10.46072607260726</v>
      </c>
      <c r="L357" s="13">
        <v>2.775538430267049E-2</v>
      </c>
      <c r="M357" s="13">
        <v>2.0003164953908659</v>
      </c>
      <c r="N357" s="19">
        <f>(F357-Settings!$D$18)/Settings!$E$18</f>
        <v>-2.38606299608134</v>
      </c>
      <c r="O357" s="19">
        <f>(G357-Settings!$D$19)/Settings!$E$19</f>
        <v>-1.0658846168609746</v>
      </c>
      <c r="P357" s="19">
        <f>(H357-Settings!$D$20)/Settings!$E$20</f>
        <v>-0.48380775893238737</v>
      </c>
      <c r="Q357" s="19">
        <f>(I357-Settings!$D$21)/Settings!$E$21</f>
        <v>-8.3821997879181126E-3</v>
      </c>
      <c r="R357" s="19">
        <f>(J357-Settings!$D$22)/Settings!$E$22</f>
        <v>3.0617991568659693E-2</v>
      </c>
      <c r="S357" s="19">
        <f>(K357-Settings!$D$23)/Settings!$E$23</f>
        <v>-1.665014546290988</v>
      </c>
      <c r="T357" s="19">
        <f>(L357-Settings!$D$24)/Settings!$E$24</f>
        <v>-0.88528835650052784</v>
      </c>
      <c r="U357" s="19">
        <f>(M357-Settings!$D$25)/Settings!$E$25</f>
        <v>1.3850059810368844</v>
      </c>
      <c r="V357" s="31">
        <f>Settings!$B$18*(N357-F$6)^2</f>
        <v>1.9305180594566895</v>
      </c>
      <c r="W357" s="31">
        <f>Settings!$B$19*(O357-G$6)^2</f>
        <v>0.1988718243276634</v>
      </c>
      <c r="X357" s="31">
        <f>Settings!$B$20*(P357-H$6)^2</f>
        <v>7.1925327600391095E-2</v>
      </c>
      <c r="Y357" s="31">
        <f>Settings!$B$21*(Q357-I$6)^2</f>
        <v>3.8395829667576202E-2</v>
      </c>
      <c r="Z357" s="31">
        <f>Settings!$B$22*(R357-J$6)^2</f>
        <v>7.3935679812552405E-2</v>
      </c>
      <c r="AA357" s="31">
        <f>Settings!$B$23*(S357-K$6)^2</f>
        <v>7.9056210088773957</v>
      </c>
      <c r="AB357" s="31">
        <f>Settings!$B$24*(T357-L$6)^2</f>
        <v>1.6362626228793022</v>
      </c>
      <c r="AC357" s="31">
        <f>Settings!$B$25*(U357-M$6)^2</f>
        <v>14.705388072171287</v>
      </c>
      <c r="AD357" s="19">
        <f t="shared" si="20"/>
        <v>5.1537285944054974</v>
      </c>
      <c r="AE357" s="15">
        <f t="shared" si="21"/>
        <v>2.0399392126626208</v>
      </c>
      <c r="AF357" s="33">
        <f t="shared" si="22"/>
        <v>0.12484578845318101</v>
      </c>
      <c r="AG357" s="47">
        <f t="shared" si="23"/>
        <v>7.3602601586573459E-4</v>
      </c>
      <c r="AH357" s="18">
        <v>0.62756621318706696</v>
      </c>
      <c r="AI357" s="46">
        <v>1</v>
      </c>
      <c r="AJ357" s="18">
        <v>-0.62002895043601824</v>
      </c>
      <c r="AK357" s="46">
        <v>1</v>
      </c>
      <c r="AL357" s="48"/>
      <c r="AM357" s="48"/>
      <c r="AN357" s="48"/>
      <c r="AO357" s="48"/>
      <c r="AP357" s="48"/>
      <c r="AQ357" s="48"/>
    </row>
    <row r="358" spans="1:43" ht="20" customHeight="1" x14ac:dyDescent="0.45">
      <c r="A358" s="26">
        <v>348</v>
      </c>
      <c r="B358" s="16" t="s">
        <v>613</v>
      </c>
      <c r="C358" s="16" t="s">
        <v>216</v>
      </c>
      <c r="D358" s="46">
        <v>29</v>
      </c>
      <c r="E358" s="46">
        <v>1</v>
      </c>
      <c r="F358" s="13">
        <v>6.9842413768932438E-2</v>
      </c>
      <c r="G358" s="13">
        <v>-0.31507809819247062</v>
      </c>
      <c r="H358" s="13">
        <v>8.2119757737104113E-4</v>
      </c>
      <c r="I358" s="13">
        <v>-4.7177281527929939E-4</v>
      </c>
      <c r="J358" s="13">
        <v>-0.61378651764594661</v>
      </c>
      <c r="K358" s="13">
        <v>8.6453431372548977</v>
      </c>
      <c r="L358" s="13">
        <v>-0.60060908819379144</v>
      </c>
      <c r="M358" s="13">
        <v>0.93545404285602518</v>
      </c>
      <c r="N358" s="19">
        <f>(F358-Settings!$D$18)/Settings!$E$18</f>
        <v>-0.43834842285082215</v>
      </c>
      <c r="O358" s="19">
        <f>(G358-Settings!$D$19)/Settings!$E$19</f>
        <v>-1.2849845289536721</v>
      </c>
      <c r="P358" s="19">
        <f>(H358-Settings!$D$20)/Settings!$E$20</f>
        <v>-0.47390240280917367</v>
      </c>
      <c r="Q358" s="19">
        <f>(I358-Settings!$D$21)/Settings!$E$21</f>
        <v>3.0407589011733301E-2</v>
      </c>
      <c r="R358" s="19">
        <f>(J358-Settings!$D$22)/Settings!$E$22</f>
        <v>-2.3183038300468959</v>
      </c>
      <c r="S358" s="19">
        <f>(K358-Settings!$D$23)/Settings!$E$23</f>
        <v>-2.2954552836986029</v>
      </c>
      <c r="T358" s="19">
        <f>(L358-Settings!$D$24)/Settings!$E$24</f>
        <v>-1.3197110868576383</v>
      </c>
      <c r="U358" s="19">
        <f>(M358-Settings!$D$25)/Settings!$E$25</f>
        <v>0.66685088313891983</v>
      </c>
      <c r="V358" s="31">
        <f>Settings!$B$18*(N358-F$6)^2</f>
        <v>0.26872446261907962</v>
      </c>
      <c r="W358" s="31">
        <f>Settings!$B$19*(O358-G$6)^2</f>
        <v>0.29586521070070021</v>
      </c>
      <c r="X358" s="31">
        <f>Settings!$B$20*(P358-H$6)^2</f>
        <v>6.9568898427785006E-2</v>
      </c>
      <c r="Y358" s="31">
        <f>Settings!$B$21*(Q358-I$6)^2</f>
        <v>3.1898394855580096E-2</v>
      </c>
      <c r="Z358" s="31">
        <f>Settings!$B$22*(R358-J$6)^2</f>
        <v>1.7486913372810731</v>
      </c>
      <c r="AA358" s="31">
        <f>Settings!$B$23*(S358-K$6)^2</f>
        <v>11.848288929706598</v>
      </c>
      <c r="AB358" s="31">
        <f>Settings!$B$24*(T358-L$6)^2</f>
        <v>2.93638227419014</v>
      </c>
      <c r="AC358" s="31">
        <f>Settings!$B$25*(U358-M$6)^2</f>
        <v>9.7132292160035192</v>
      </c>
      <c r="AD358" s="19">
        <f t="shared" si="20"/>
        <v>5.1877402328744715</v>
      </c>
      <c r="AE358" s="15">
        <f t="shared" si="21"/>
        <v>2.0534016357857712</v>
      </c>
      <c r="AF358" s="33">
        <f t="shared" si="22"/>
        <v>0.12145285223939026</v>
      </c>
      <c r="AG358" s="47">
        <f t="shared" si="23"/>
        <v>7.1602302373869546E-4</v>
      </c>
      <c r="AH358" s="18">
        <v>0.1166088311691014</v>
      </c>
      <c r="AI358" s="46">
        <v>1</v>
      </c>
      <c r="AJ358" s="48"/>
      <c r="AK358" s="48"/>
      <c r="AL358" s="48"/>
      <c r="AM358" s="48"/>
      <c r="AN358" s="48"/>
      <c r="AO358" s="48"/>
      <c r="AP358" s="48"/>
      <c r="AQ358" s="48"/>
    </row>
    <row r="359" spans="1:43" ht="20" customHeight="1" x14ac:dyDescent="0.45">
      <c r="A359" s="26">
        <v>349</v>
      </c>
      <c r="B359" s="16" t="s">
        <v>348</v>
      </c>
      <c r="C359" s="16" t="s">
        <v>216</v>
      </c>
      <c r="D359" s="46">
        <v>29</v>
      </c>
      <c r="E359" s="46">
        <v>1</v>
      </c>
      <c r="F359" s="13">
        <v>-0.1944522706039139</v>
      </c>
      <c r="G359" s="13">
        <v>3.727245785282781E-2</v>
      </c>
      <c r="H359" s="13">
        <v>9.751836374674272E-2</v>
      </c>
      <c r="I359" s="13">
        <v>0.1108073585453012</v>
      </c>
      <c r="J359" s="13">
        <v>0.55994954925121443</v>
      </c>
      <c r="K359" s="13">
        <v>16.251736111111111</v>
      </c>
      <c r="L359" s="13">
        <v>1.2109603894430641</v>
      </c>
      <c r="M359" s="13">
        <v>3.7495738841687598</v>
      </c>
      <c r="N359" s="19">
        <f>(F359-Settings!$D$18)/Settings!$E$18</f>
        <v>-1.3842426225272506</v>
      </c>
      <c r="O359" s="19">
        <f>(G359-Settings!$D$19)/Settings!$E$19</f>
        <v>0.18295279682585999</v>
      </c>
      <c r="P359" s="19">
        <f>(H359-Settings!$D$20)/Settings!$E$20</f>
        <v>0.40219251737344935</v>
      </c>
      <c r="Q359" s="19">
        <f>(I359-Settings!$D$21)/Settings!$E$21</f>
        <v>1.3988412907072694</v>
      </c>
      <c r="R359" s="19">
        <f>(J359-Settings!$D$22)/Settings!$E$22</f>
        <v>0.83968831812043165</v>
      </c>
      <c r="S359" s="19">
        <f>(K359-Settings!$D$23)/Settings!$E$23</f>
        <v>0.34607003972812544</v>
      </c>
      <c r="T359" s="19">
        <f>(L359-Settings!$D$24)/Settings!$E$24</f>
        <v>-6.7274017046951351E-2</v>
      </c>
      <c r="U359" s="19">
        <f>(M359-Settings!$D$25)/Settings!$E$25</f>
        <v>2.5647246463876328</v>
      </c>
      <c r="V359" s="31">
        <f>Settings!$B$18*(N359-F$6)^2</f>
        <v>0.88623988859053326</v>
      </c>
      <c r="W359" s="31">
        <f>Settings!$B$19*(O359-G$6)^2</f>
        <v>1.2666736499886129E-2</v>
      </c>
      <c r="X359" s="31">
        <f>Settings!$B$20*(P359-H$6)^2</f>
        <v>1.6394854092187477E-2</v>
      </c>
      <c r="Y359" s="31">
        <f>Settings!$B$21*(Q359-I$6)^2</f>
        <v>0.18781903789144644</v>
      </c>
      <c r="Z359" s="31">
        <f>Settings!$B$22*(R359-J$6)^2</f>
        <v>8.0849029048455853E-3</v>
      </c>
      <c r="AA359" s="31">
        <f>Settings!$B$23*(S359-K$6)^2</f>
        <v>0.64097482418948182</v>
      </c>
      <c r="AB359" s="31">
        <f>Settings!$B$24*(T359-L$6)^2</f>
        <v>0.21265976071647025</v>
      </c>
      <c r="AC359" s="31">
        <f>Settings!$B$25*(U359-M$6)^2</f>
        <v>25.145001273336884</v>
      </c>
      <c r="AD359" s="19">
        <f t="shared" si="20"/>
        <v>5.2067111767623269</v>
      </c>
      <c r="AE359" s="15">
        <f t="shared" si="21"/>
        <v>2.0609106793120575</v>
      </c>
      <c r="AF359" s="33">
        <f t="shared" si="22"/>
        <v>0.11959115272760729</v>
      </c>
      <c r="AG359" s="47">
        <f t="shared" si="23"/>
        <v>7.0504740901132588E-4</v>
      </c>
      <c r="AH359" s="18">
        <v>1.2673852080086681</v>
      </c>
      <c r="AI359" s="46">
        <v>1</v>
      </c>
      <c r="AJ359" s="18">
        <v>-0.70057948747131515</v>
      </c>
      <c r="AK359" s="46">
        <v>1</v>
      </c>
      <c r="AL359" s="48"/>
      <c r="AM359" s="48"/>
      <c r="AN359" s="48"/>
      <c r="AO359" s="48"/>
      <c r="AP359" s="48"/>
      <c r="AQ359" s="48"/>
    </row>
    <row r="360" spans="1:43" ht="20" customHeight="1" x14ac:dyDescent="0.45">
      <c r="A360" s="26">
        <v>350</v>
      </c>
      <c r="B360" s="16" t="s">
        <v>462</v>
      </c>
      <c r="C360" s="16" t="s">
        <v>229</v>
      </c>
      <c r="D360" s="46">
        <v>29</v>
      </c>
      <c r="E360" s="46">
        <v>1</v>
      </c>
      <c r="F360" s="13">
        <v>-0.47628910890753712</v>
      </c>
      <c r="G360" s="13">
        <v>0.39116635716717052</v>
      </c>
      <c r="H360" s="13">
        <v>3.3463943155048352E-4</v>
      </c>
      <c r="I360" s="13">
        <v>-1.4585879134810071E-2</v>
      </c>
      <c r="J360" s="13">
        <v>-0.11762401535893199</v>
      </c>
      <c r="K360" s="13">
        <v>14.37911392405063</v>
      </c>
      <c r="L360" s="13">
        <v>-0.48327483954233491</v>
      </c>
      <c r="M360" s="13">
        <v>2.8499523097932178</v>
      </c>
      <c r="N360" s="19">
        <f>(F360-Settings!$D$18)/Settings!$E$18</f>
        <v>-2.3929190975730346</v>
      </c>
      <c r="O360" s="19">
        <f>(G360-Settings!$D$19)/Settings!$E$19</f>
        <v>1.6573198873730384</v>
      </c>
      <c r="P360" s="19">
        <f>(H360-Settings!$D$20)/Settings!$E$20</f>
        <v>-0.4783107131745491</v>
      </c>
      <c r="Q360" s="19">
        <f>(I360-Settings!$D$21)/Settings!$E$21</f>
        <v>-0.14315791712414327</v>
      </c>
      <c r="R360" s="19">
        <f>(J360-Settings!$D$22)/Settings!$E$22</f>
        <v>-0.98335525802288337</v>
      </c>
      <c r="S360" s="19">
        <f>(K360-Settings!$D$23)/Settings!$E$23</f>
        <v>-0.30424857322453097</v>
      </c>
      <c r="T360" s="19">
        <f>(L360-Settings!$D$24)/Settings!$E$24</f>
        <v>-1.2385915027712657</v>
      </c>
      <c r="U360" s="19">
        <f>(M360-Settings!$D$25)/Settings!$E$25</f>
        <v>1.9580098370910299</v>
      </c>
      <c r="V360" s="31">
        <f>Settings!$B$18*(N360-F$6)^2</f>
        <v>1.9390478446341941</v>
      </c>
      <c r="W360" s="31">
        <f>Settings!$B$19*(O360-G$6)^2</f>
        <v>0.59583517489703519</v>
      </c>
      <c r="X360" s="31">
        <f>Settings!$B$20*(P360-H$6)^2</f>
        <v>7.061276442772435E-2</v>
      </c>
      <c r="Y360" s="31">
        <f>Settings!$B$21*(Q360-I$6)^2</f>
        <v>6.5649749898378171E-2</v>
      </c>
      <c r="Z360" s="31">
        <f>Settings!$B$22*(R360-J$6)^2</f>
        <v>0.52616712696246715</v>
      </c>
      <c r="AA360" s="31">
        <f>Settings!$B$23*(S360-K$6)^2</f>
        <v>2.1051910346383838</v>
      </c>
      <c r="AB360" s="31">
        <f>Settings!$B$24*(T360-L$6)^2</f>
        <v>2.6649516432294562</v>
      </c>
      <c r="AC360" s="31">
        <f>Settings!$B$25*(U360-M$6)^2</f>
        <v>19.428386595295745</v>
      </c>
      <c r="AD360" s="19">
        <f t="shared" si="20"/>
        <v>5.2341037374113428</v>
      </c>
      <c r="AE360" s="15">
        <f t="shared" si="21"/>
        <v>2.0717531514328877</v>
      </c>
      <c r="AF360" s="33">
        <f t="shared" si="22"/>
        <v>0.11694160629870384</v>
      </c>
      <c r="AG360" s="47">
        <f t="shared" si="23"/>
        <v>6.8942705748742633E-4</v>
      </c>
      <c r="AH360" s="18">
        <v>0.77628065256073464</v>
      </c>
      <c r="AI360" s="46">
        <v>1</v>
      </c>
      <c r="AJ360" s="18">
        <v>-0.38254894843949627</v>
      </c>
      <c r="AK360" s="46">
        <v>1</v>
      </c>
      <c r="AL360" s="18">
        <v>-0.18676666558379601</v>
      </c>
      <c r="AM360" s="46">
        <v>1</v>
      </c>
      <c r="AN360" s="48"/>
      <c r="AO360" s="48"/>
      <c r="AP360" s="48"/>
      <c r="AQ360" s="48"/>
    </row>
    <row r="361" spans="1:43" ht="20" customHeight="1" x14ac:dyDescent="0.45">
      <c r="A361" s="26">
        <v>351</v>
      </c>
      <c r="B361" s="16" t="s">
        <v>602</v>
      </c>
      <c r="C361" s="16" t="s">
        <v>216</v>
      </c>
      <c r="D361" s="46">
        <v>29</v>
      </c>
      <c r="E361" s="46">
        <v>1</v>
      </c>
      <c r="F361" s="13">
        <v>-0.37643103903990849</v>
      </c>
      <c r="G361" s="13">
        <v>-0.28684900635692662</v>
      </c>
      <c r="H361" s="13">
        <v>2.6837307525592917E-4</v>
      </c>
      <c r="I361" s="13">
        <v>1.2687896727153701E-2</v>
      </c>
      <c r="J361" s="13">
        <v>0.32376368480075518</v>
      </c>
      <c r="K361" s="13">
        <v>6.5131086142322019</v>
      </c>
      <c r="L361" s="13">
        <v>-0.82265885779288361</v>
      </c>
      <c r="M361" s="13">
        <v>0.71471482691503696</v>
      </c>
      <c r="N361" s="19">
        <f>(F361-Settings!$D$18)/Settings!$E$18</f>
        <v>-2.0355332905038939</v>
      </c>
      <c r="O361" s="19">
        <f>(G361-Settings!$D$19)/Settings!$E$19</f>
        <v>-1.1673785343914671</v>
      </c>
      <c r="P361" s="19">
        <f>(H361-Settings!$D$20)/Settings!$E$20</f>
        <v>-0.4789110991054768</v>
      </c>
      <c r="Q361" s="19">
        <f>(I361-Settings!$D$21)/Settings!$E$21</f>
        <v>0.19223609256725971</v>
      </c>
      <c r="R361" s="19">
        <f>(J361-Settings!$D$22)/Settings!$E$22</f>
        <v>0.20421913004783401</v>
      </c>
      <c r="S361" s="19">
        <f>(K361-Settings!$D$23)/Settings!$E$23</f>
        <v>-3.0359312895279111</v>
      </c>
      <c r="T361" s="19">
        <f>(L361-Settings!$D$24)/Settings!$E$24</f>
        <v>-1.4732262383447363</v>
      </c>
      <c r="U361" s="19">
        <f>(M361-Settings!$D$25)/Settings!$E$25</f>
        <v>0.51798189742469802</v>
      </c>
      <c r="V361" s="31">
        <f>Settings!$B$18*(N361-F$6)^2</f>
        <v>1.5194733323500245</v>
      </c>
      <c r="W361" s="31">
        <f>Settings!$B$19*(O361-G$6)^2</f>
        <v>0.24141492949897958</v>
      </c>
      <c r="X361" s="31">
        <f>Settings!$B$20*(P361-H$6)^2</f>
        <v>7.0755534264412584E-2</v>
      </c>
      <c r="Y361" s="31">
        <f>Settings!$B$21*(Q361-I$6)^2</f>
        <v>1.1284666402346615E-2</v>
      </c>
      <c r="Z361" s="31">
        <f>Settings!$B$22*(R361-J$6)^2</f>
        <v>3.7742531731016653E-2</v>
      </c>
      <c r="AA361" s="31">
        <f>Settings!$B$23*(S361-K$6)^2</f>
        <v>17.494229444898036</v>
      </c>
      <c r="AB361" s="31">
        <f>Settings!$B$24*(T361-L$6)^2</f>
        <v>3.4860724790234747</v>
      </c>
      <c r="AC361" s="31">
        <f>Settings!$B$25*(U361-M$6)^2</f>
        <v>8.8074594215300639</v>
      </c>
      <c r="AD361" s="19">
        <f t="shared" si="20"/>
        <v>5.627471220690369</v>
      </c>
      <c r="AE361" s="15">
        <f t="shared" si="21"/>
        <v>2.2274551329067216</v>
      </c>
      <c r="AF361" s="33">
        <f t="shared" si="22"/>
        <v>8.3678083257016422E-2</v>
      </c>
      <c r="AG361" s="47">
        <f t="shared" si="23"/>
        <v>4.9332257818244228E-4</v>
      </c>
      <c r="AH361" s="18">
        <v>4.2322978377915883E-2</v>
      </c>
      <c r="AI361" s="46">
        <v>1</v>
      </c>
      <c r="AJ361" s="48"/>
      <c r="AK361" s="48"/>
      <c r="AL361" s="48"/>
      <c r="AM361" s="48"/>
      <c r="AN361" s="48"/>
      <c r="AO361" s="48"/>
      <c r="AP361" s="48"/>
      <c r="AQ361" s="48"/>
    </row>
    <row r="362" spans="1:43" ht="20" customHeight="1" x14ac:dyDescent="0.45">
      <c r="A362" s="26">
        <v>352</v>
      </c>
      <c r="B362" s="16" t="s">
        <v>243</v>
      </c>
      <c r="C362" s="16" t="s">
        <v>218</v>
      </c>
      <c r="D362" s="46">
        <v>29</v>
      </c>
      <c r="E362" s="46">
        <v>0</v>
      </c>
      <c r="F362" s="13">
        <v>0.30454057703282478</v>
      </c>
      <c r="G362" s="13">
        <v>6.7128709257133282E-2</v>
      </c>
      <c r="H362" s="13">
        <v>7.7294599943103975E-2</v>
      </c>
      <c r="I362" s="13">
        <v>1.6711974909574621E-2</v>
      </c>
      <c r="J362" s="13">
        <v>0.53432413885736318</v>
      </c>
      <c r="K362" s="13">
        <v>19.354938271604968</v>
      </c>
      <c r="L362" s="13">
        <v>4.1267141820145978</v>
      </c>
      <c r="M362" s="13">
        <v>5.6137682666289308</v>
      </c>
      <c r="N362" s="19">
        <f>(F362-Settings!$D$18)/Settings!$E$18</f>
        <v>0.40162167277489019</v>
      </c>
      <c r="O362" s="19">
        <f>(G362-Settings!$D$19)/Settings!$E$19</f>
        <v>0.30733774554324794</v>
      </c>
      <c r="P362" s="19">
        <f>(H362-Settings!$D$20)/Settings!$E$20</f>
        <v>0.21896132831970883</v>
      </c>
      <c r="Q362" s="19">
        <f>(I362-Settings!$D$21)/Settings!$E$21</f>
        <v>0.24172141956212148</v>
      </c>
      <c r="R362" s="19">
        <f>(J362-Settings!$D$22)/Settings!$E$22</f>
        <v>0.77074194499646587</v>
      </c>
      <c r="S362" s="19">
        <f>(K362-Settings!$D$23)/Settings!$E$23</f>
        <v>1.4237407726013092</v>
      </c>
      <c r="T362" s="19">
        <f>(L362-Settings!$D$24)/Settings!$E$24</f>
        <v>1.9485460667741579</v>
      </c>
      <c r="U362" s="19">
        <f>(M362-Settings!$D$25)/Settings!$E$25</f>
        <v>3.8219581003887892</v>
      </c>
      <c r="V362" s="31">
        <f>Settings!$B$18*(N362-F$6)^2</f>
        <v>2.0374809297678417E-2</v>
      </c>
      <c r="W362" s="31">
        <f>Settings!$B$19*(O362-G$6)^2</f>
        <v>2.8282237696200821E-2</v>
      </c>
      <c r="X362" s="31">
        <f>Settings!$B$20*(P362-H$6)^2</f>
        <v>2.1251097717949149E-3</v>
      </c>
      <c r="Y362" s="31">
        <f>Settings!$B$21*(Q362-I$6)^2</f>
        <v>7.0726080701731383E-3</v>
      </c>
      <c r="Z362" s="31">
        <f>Settings!$B$22*(R362-J$6)^2</f>
        <v>3.4907220384438535E-3</v>
      </c>
      <c r="AA362" s="31">
        <f>Settings!$B$23*(S362-K$6)^2</f>
        <v>7.6763185374561088E-2</v>
      </c>
      <c r="AB362" s="31">
        <f>Settings!$B$24*(T362-L$6)^2</f>
        <v>2.4169975921748024</v>
      </c>
      <c r="AC362" s="31">
        <f>Settings!$B$25*(U362-M$6)^2</f>
        <v>39.334379146719087</v>
      </c>
      <c r="AD362" s="19">
        <f t="shared" si="20"/>
        <v>6.4722086965071473</v>
      </c>
      <c r="AE362" s="15">
        <f t="shared" si="21"/>
        <v>2.5618175405808241</v>
      </c>
      <c r="AF362" s="33">
        <f t="shared" si="22"/>
        <v>3.7573564201361494E-2</v>
      </c>
      <c r="AG362" s="47">
        <f t="shared" si="23"/>
        <v>2.2151424652482025E-4</v>
      </c>
      <c r="AH362" s="18">
        <v>1.2673511626252389</v>
      </c>
      <c r="AI362" s="46">
        <v>0</v>
      </c>
      <c r="AJ362" s="18">
        <v>-3.1875179129217361</v>
      </c>
      <c r="AK362" s="46">
        <v>0</v>
      </c>
      <c r="AL362" s="18">
        <v>-1.7990344252320369</v>
      </c>
      <c r="AM362" s="46">
        <v>0</v>
      </c>
      <c r="AN362" s="18">
        <v>0.12774183300604741</v>
      </c>
      <c r="AO362" s="46">
        <v>0</v>
      </c>
      <c r="AP362" s="18">
        <v>0.5475237991592028</v>
      </c>
      <c r="AQ362" s="46">
        <v>1</v>
      </c>
    </row>
    <row r="363" spans="1:43" ht="20" customHeight="1" x14ac:dyDescent="0.45">
      <c r="A363" s="26">
        <v>353</v>
      </c>
      <c r="B363" s="16" t="s">
        <v>384</v>
      </c>
      <c r="C363" s="16" t="s">
        <v>246</v>
      </c>
      <c r="D363" s="46">
        <v>29</v>
      </c>
      <c r="E363" s="46">
        <v>1</v>
      </c>
      <c r="F363" s="13">
        <v>0.37689730744779099</v>
      </c>
      <c r="G363" s="13">
        <v>-6.6089057588485822E-2</v>
      </c>
      <c r="H363" s="13">
        <v>0.103023772495608</v>
      </c>
      <c r="I363" s="13">
        <v>-2.131753972084988E-4</v>
      </c>
      <c r="J363" s="13">
        <v>0.45377668707090668</v>
      </c>
      <c r="K363" s="13">
        <v>20.23991228070178</v>
      </c>
      <c r="L363" s="13">
        <v>6.8639864466209568</v>
      </c>
      <c r="M363" s="13">
        <v>5.6205946207830504</v>
      </c>
      <c r="N363" s="19">
        <f>(F363-Settings!$D$18)/Settings!$E$18</f>
        <v>0.66058190033101916</v>
      </c>
      <c r="O363" s="19">
        <f>(G363-Settings!$D$19)/Settings!$E$19</f>
        <v>-0.24766445057798817</v>
      </c>
      <c r="P363" s="19">
        <f>(H363-Settings!$D$20)/Settings!$E$20</f>
        <v>0.45207257931819728</v>
      </c>
      <c r="Q363" s="19">
        <f>(I363-Settings!$D$21)/Settings!$E$21</f>
        <v>3.3587640992125467E-2</v>
      </c>
      <c r="R363" s="19">
        <f>(J363-Settings!$D$22)/Settings!$E$22</f>
        <v>0.55402523374386459</v>
      </c>
      <c r="S363" s="19">
        <f>(K363-Settings!$D$23)/Settings!$E$23</f>
        <v>1.7310718904699893</v>
      </c>
      <c r="T363" s="19">
        <f>(L363-Settings!$D$24)/Settings!$E$24</f>
        <v>3.8409721076620444</v>
      </c>
      <c r="U363" s="19">
        <f>(M363-Settings!$D$25)/Settings!$E$25</f>
        <v>3.8265618696588657</v>
      </c>
      <c r="V363" s="31">
        <f>Settings!$B$18*(N363-F$6)^2</f>
        <v>7.252153009236447E-4</v>
      </c>
      <c r="W363" s="31">
        <f>Settings!$B$19*(O363-G$6)^2</f>
        <v>6.405007455854296E-3</v>
      </c>
      <c r="X363" s="31">
        <f>Settings!$B$20*(P363-H$6)^2</f>
        <v>2.2604952191028115E-2</v>
      </c>
      <c r="Y363" s="31">
        <f>Settings!$B$21*(Q363-I$6)^2</f>
        <v>3.1392417501161916E-2</v>
      </c>
      <c r="Z363" s="31">
        <f>Settings!$B$22*(R363-J$6)^2</f>
        <v>1.4315876358790463E-3</v>
      </c>
      <c r="AA363" s="31">
        <f>Settings!$B$23*(S363-K$6)^2</f>
        <v>0.34151496508645629</v>
      </c>
      <c r="AB363" s="31">
        <f>Settings!$B$24*(T363-L$6)^2</f>
        <v>11.882468417317694</v>
      </c>
      <c r="AC363" s="31">
        <f>Settings!$B$25*(U363-M$6)^2</f>
        <v>39.392147377041788</v>
      </c>
      <c r="AD363" s="19">
        <f t="shared" si="20"/>
        <v>7.1887891845241079</v>
      </c>
      <c r="AE363" s="15">
        <f t="shared" si="21"/>
        <v>2.8454530890498519</v>
      </c>
      <c r="AF363" s="33">
        <f t="shared" si="22"/>
        <v>1.74519892273916E-2</v>
      </c>
      <c r="AG363" s="47">
        <f t="shared" si="23"/>
        <v>1.0288787678877822E-4</v>
      </c>
      <c r="AH363" s="18">
        <v>1.2574671948101801</v>
      </c>
      <c r="AI363" s="46">
        <v>1</v>
      </c>
      <c r="AJ363" s="48"/>
      <c r="AK363" s="48"/>
      <c r="AL363" s="48"/>
      <c r="AM363" s="48"/>
      <c r="AN363" s="48"/>
      <c r="AO363" s="48"/>
      <c r="AP363" s="48"/>
      <c r="AQ363" s="48"/>
    </row>
  </sheetData>
  <mergeCells count="1">
    <mergeCell ref="A2:T2"/>
  </mergeCell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0"/>
  <sheetViews>
    <sheetView workbookViewId="0"/>
  </sheetViews>
  <sheetFormatPr defaultRowHeight="14.25" x14ac:dyDescent="0.45"/>
  <cols>
    <col min="1" max="1" width="68.59765625" customWidth="1"/>
    <col min="2" max="2" width="10.46484375" customWidth="1"/>
    <col min="3" max="3" width="16.19921875" customWidth="1"/>
    <col min="4" max="4" width="12.46484375" customWidth="1"/>
    <col min="5" max="5" width="16.73046875" customWidth="1"/>
    <col min="6" max="7" width="12.796875" customWidth="1"/>
    <col min="8" max="8" width="13.1328125" customWidth="1"/>
    <col min="9" max="9" width="22.9296875" customWidth="1"/>
    <col min="10" max="10" width="14" customWidth="1"/>
  </cols>
  <sheetData>
    <row r="1" spans="1:6" ht="22.05" customHeight="1" x14ac:dyDescent="0.45">
      <c r="A1" s="1" t="s">
        <v>820</v>
      </c>
    </row>
    <row r="3" spans="1:6" ht="22.05" customHeight="1" x14ac:dyDescent="0.45">
      <c r="A3" s="1" t="s">
        <v>699</v>
      </c>
    </row>
    <row r="4" spans="1:6" ht="53" customHeight="1" x14ac:dyDescent="0.45">
      <c r="A4" s="3" t="s">
        <v>700</v>
      </c>
      <c r="B4" s="4"/>
      <c r="C4" s="4"/>
      <c r="D4" s="4"/>
      <c r="E4" s="4"/>
      <c r="F4" s="4"/>
    </row>
    <row r="7" spans="1:6" ht="20.25" customHeight="1" x14ac:dyDescent="0.45">
      <c r="A7" s="7" t="s">
        <v>701</v>
      </c>
      <c r="B7" s="30">
        <f>'Pacioretty 2 Profile'!$D$16</f>
        <v>1.8779848216383452</v>
      </c>
    </row>
    <row r="8" spans="1:6" ht="20.25" customHeight="1" x14ac:dyDescent="0.45">
      <c r="A8" s="7" t="s">
        <v>702</v>
      </c>
      <c r="B8" s="31">
        <f>SUMPRODUCT('Pacioretty 3 Comparables'!$AF$11:$AF$363,'Pacioretty 3 Comparables'!$L$11:$L$363)/SUM('Pacioretty 3 Comparables'!$AF$11:$AF$363)</f>
        <v>1.5314900410647427</v>
      </c>
    </row>
    <row r="9" spans="1:6" ht="20.25" customHeight="1" x14ac:dyDescent="0.45">
      <c r="A9" s="7" t="s">
        <v>169</v>
      </c>
      <c r="B9" s="19">
        <f>SUM('Pacioretty 3 Comparables'!$AF$11:$AF$363)</f>
        <v>169.62143424554614</v>
      </c>
    </row>
    <row r="10" spans="1:6" ht="20.25" customHeight="1" x14ac:dyDescent="0.45">
      <c r="A10" s="7" t="s">
        <v>821</v>
      </c>
      <c r="B10" s="13">
        <v>1.283235808096054</v>
      </c>
    </row>
    <row r="11" spans="1:6" ht="20.25" customHeight="1" x14ac:dyDescent="0.45">
      <c r="A11" s="7" t="s">
        <v>704</v>
      </c>
      <c r="B11" s="32">
        <f>K_league</f>
        <v>10</v>
      </c>
    </row>
    <row r="12" spans="1:6" ht="20.25" customHeight="1" x14ac:dyDescent="0.45">
      <c r="A12" s="7" t="s">
        <v>705</v>
      </c>
      <c r="B12" s="33">
        <f>(SUMPRODUCT('Pacioretty 3 Comparables'!$AF$11:$AF$363,'Pacioretty 3 Comparables'!$L$11:$L$363)+B11*B10)/(B9+B11)</f>
        <v>1.5176690717571868</v>
      </c>
    </row>
    <row r="13" spans="1:6" ht="20.25" customHeight="1" x14ac:dyDescent="0.45">
      <c r="A13" s="7" t="s">
        <v>706</v>
      </c>
      <c r="B13" s="34">
        <f>B9/(B9+B11)</f>
        <v>0.94432735691036851</v>
      </c>
    </row>
    <row r="14" spans="1:6" ht="20.25" customHeight="1" x14ac:dyDescent="0.45">
      <c r="A14" s="7" t="s">
        <v>707</v>
      </c>
      <c r="B14" s="28">
        <f>Lambda</f>
        <v>0.55000000000000004</v>
      </c>
    </row>
    <row r="15" spans="1:6" ht="20.25" customHeight="1" x14ac:dyDescent="0.45">
      <c r="A15" s="7" t="s">
        <v>822</v>
      </c>
      <c r="B15" s="33">
        <f>B14*B7+(1-B14)*B12</f>
        <v>1.7158427341918241</v>
      </c>
    </row>
    <row r="18" spans="1:9" ht="22.05" customHeight="1" x14ac:dyDescent="0.45">
      <c r="A18" s="1" t="s">
        <v>709</v>
      </c>
    </row>
    <row r="19" spans="1:9" ht="38" customHeight="1" x14ac:dyDescent="0.45">
      <c r="A19" s="3" t="s">
        <v>823</v>
      </c>
      <c r="B19" s="4"/>
      <c r="C19" s="4"/>
      <c r="D19" s="4"/>
      <c r="E19" s="4"/>
      <c r="F19" s="4"/>
      <c r="G19" s="4"/>
      <c r="H19" s="4"/>
      <c r="I19" s="4"/>
    </row>
    <row r="21" spans="1:9" ht="51.75" customHeight="1" x14ac:dyDescent="0.45">
      <c r="A21" s="6" t="s">
        <v>711</v>
      </c>
      <c r="B21" s="6" t="s">
        <v>712</v>
      </c>
      <c r="C21" s="6" t="s">
        <v>713</v>
      </c>
      <c r="D21" s="6" t="s">
        <v>714</v>
      </c>
      <c r="E21" s="6" t="s">
        <v>715</v>
      </c>
      <c r="F21" s="6" t="s">
        <v>716</v>
      </c>
      <c r="G21" s="6" t="s">
        <v>717</v>
      </c>
      <c r="H21" s="6" t="s">
        <v>718</v>
      </c>
      <c r="I21" s="6" t="s">
        <v>719</v>
      </c>
    </row>
    <row r="22" spans="1:9" ht="20.25" customHeight="1" x14ac:dyDescent="0.45">
      <c r="A22" s="7" t="s">
        <v>824</v>
      </c>
      <c r="H22" s="31">
        <f>B15</f>
        <v>1.7158427341918241</v>
      </c>
    </row>
    <row r="23" spans="1:9" ht="20.25" customHeight="1" x14ac:dyDescent="0.45">
      <c r="A23" s="26">
        <v>29</v>
      </c>
      <c r="B23" s="26">
        <v>30</v>
      </c>
      <c r="C23" s="26">
        <f>SUMPRODUCT(ISNUMBER('Pacioretty 3 Comparables'!$AH$11:$AH$363)*1)</f>
        <v>279</v>
      </c>
      <c r="D23" s="19">
        <f>SUMPRODUCT('Pacioretty 3 Comparables'!$AF$11:$AF$363,ISNUMBER('Pacioretty 3 Comparables'!$AH$11:$AH$363)*1)</f>
        <v>135.96408637768354</v>
      </c>
      <c r="E23" s="31">
        <f>IF(D23&gt;0,SUMPRODUCT('Pacioretty 3 Comparables'!$AF$11:$AF$363,'Pacioretty 3 Comparables'!$AH$11:$AH$363)/D23,NA())</f>
        <v>-0.35221996658062055</v>
      </c>
      <c r="F23" s="13">
        <v>-0.1638542294447522</v>
      </c>
      <c r="G23" s="33">
        <f>(SUMPRODUCT('Pacioretty 3 Comparables'!$AF$11:$AF$363,'Pacioretty 3 Comparables'!$AH$11:$AH$363)+K_league*F23)/(D23+K_league)</f>
        <v>-0.33931502935870217</v>
      </c>
      <c r="H23" s="31">
        <f>H22+G23</f>
        <v>1.3765277048331219</v>
      </c>
      <c r="I23" s="34">
        <f>IF(D23&gt;0,SUMPRODUCT('Pacioretty 3 Comparables'!$AF$11:$AF$363,'Pacioretty 3 Comparables'!$AI$11:$AI$363)/D23,NA())</f>
        <v>0.70876627494154609</v>
      </c>
    </row>
    <row r="24" spans="1:9" ht="20.25" customHeight="1" x14ac:dyDescent="0.45">
      <c r="A24" s="26">
        <v>30</v>
      </c>
      <c r="B24" s="26">
        <v>31</v>
      </c>
      <c r="C24" s="26">
        <f>SUMPRODUCT(ISNUMBER('Pacioretty 3 Comparables'!$AJ$11:$AJ$363)*1)</f>
        <v>229</v>
      </c>
      <c r="D24" s="19">
        <f>SUMPRODUCT('Pacioretty 3 Comparables'!$AF$11:$AF$363,ISNUMBER('Pacioretty 3 Comparables'!$AJ$11:$AJ$363)*1)</f>
        <v>112.57040970002254</v>
      </c>
      <c r="E24" s="31">
        <f>IF(D24&gt;0,SUMPRODUCT('Pacioretty 3 Comparables'!$AF$11:$AF$363,'Pacioretty 3 Comparables'!$AJ$11:$AJ$363)/D24,NA())</f>
        <v>-2.1143289236446712E-2</v>
      </c>
      <c r="F24" s="13">
        <v>-0.12637187557842569</v>
      </c>
      <c r="G24" s="33">
        <f>(SUMPRODUCT('Pacioretty 3 Comparables'!$AF$11:$AF$363,'Pacioretty 3 Comparables'!$AJ$11:$AJ$363)+K_league*F24)/(D24+K_league)</f>
        <v>-2.9728443402082142E-2</v>
      </c>
      <c r="H24" s="31">
        <f>H23+G24</f>
        <v>1.3467992614310398</v>
      </c>
      <c r="I24" s="34">
        <f>IF(D24&gt;0,SUMPRODUCT('Pacioretty 3 Comparables'!$AF$11:$AF$363,'Pacioretty 3 Comparables'!$AK$11:$AK$363)/D24,NA())</f>
        <v>0.749021170245041</v>
      </c>
    </row>
    <row r="25" spans="1:9" ht="20.25" customHeight="1" x14ac:dyDescent="0.45">
      <c r="A25" s="26">
        <v>31</v>
      </c>
      <c r="B25" s="26">
        <v>32</v>
      </c>
      <c r="C25" s="26">
        <f>SUMPRODUCT(ISNUMBER('Pacioretty 3 Comparables'!$AL$11:$AL$363)*1)</f>
        <v>192</v>
      </c>
      <c r="D25" s="19">
        <f>SUMPRODUCT('Pacioretty 3 Comparables'!$AF$11:$AF$363,ISNUMBER('Pacioretty 3 Comparables'!$AL$11:$AL$363)*1)</f>
        <v>97.008486424238697</v>
      </c>
      <c r="E25" s="31">
        <f>IF(D25&gt;0,SUMPRODUCT('Pacioretty 3 Comparables'!$AF$11:$AF$363,'Pacioretty 3 Comparables'!$AL$11:$AL$363)/D25,NA())</f>
        <v>-0.23910367822754861</v>
      </c>
      <c r="F25" s="13">
        <v>-0.1865957285261739</v>
      </c>
      <c r="G25" s="33">
        <f>(SUMPRODUCT('Pacioretty 3 Comparables'!$AF$11:$AF$363,'Pacioretty 3 Comparables'!$AL$11:$AL$363)+K_league*F25)/(D25+K_league)</f>
        <v>-0.23419678238629679</v>
      </c>
      <c r="H25" s="31">
        <f>H24+G25</f>
        <v>1.1126024790447431</v>
      </c>
      <c r="I25" s="34">
        <f>IF(D25&gt;0,SUMPRODUCT('Pacioretty 3 Comparables'!$AF$11:$AF$363,'Pacioretty 3 Comparables'!$AM$11:$AM$363)/D25,NA())</f>
        <v>0.78818644795783521</v>
      </c>
    </row>
    <row r="26" spans="1:9" ht="20.25" customHeight="1" x14ac:dyDescent="0.45">
      <c r="A26" s="26">
        <v>32</v>
      </c>
      <c r="B26" s="26">
        <v>33</v>
      </c>
      <c r="C26" s="26">
        <f>SUMPRODUCT(ISNUMBER('Pacioretty 3 Comparables'!$AN$11:$AN$363)*1)</f>
        <v>147</v>
      </c>
      <c r="D26" s="19">
        <f>SUMPRODUCT('Pacioretty 3 Comparables'!$AF$11:$AF$363,ISNUMBER('Pacioretty 3 Comparables'!$AN$11:$AN$363)*1)</f>
        <v>76.449478319641514</v>
      </c>
      <c r="E26" s="31">
        <f>IF(D26&gt;0,SUMPRODUCT('Pacioretty 3 Comparables'!$AF$11:$AF$363,'Pacioretty 3 Comparables'!$AN$11:$AN$363)/D26,NA())</f>
        <v>-7.3296721937794157E-2</v>
      </c>
      <c r="F26" s="13">
        <v>-0.10802437927397419</v>
      </c>
      <c r="G26" s="33">
        <f>(SUMPRODUCT('Pacioretty 3 Comparables'!$AF$11:$AF$363,'Pacioretty 3 Comparables'!$AN$11:$AN$363)+K_league*F26)/(D26+K_league)</f>
        <v>-7.7313826264066285E-2</v>
      </c>
      <c r="H26" s="31">
        <f>H25+G26</f>
        <v>1.0352886527806768</v>
      </c>
      <c r="I26" s="34">
        <f>IF(D26&gt;0,SUMPRODUCT('Pacioretty 3 Comparables'!$AF$11:$AF$363,'Pacioretty 3 Comparables'!$AO$11:$AO$363)/D26,NA())</f>
        <v>0.83056217370025198</v>
      </c>
    </row>
    <row r="27" spans="1:9" ht="20.25" customHeight="1" x14ac:dyDescent="0.45">
      <c r="A27" s="26">
        <v>33</v>
      </c>
      <c r="B27" s="26">
        <v>34</v>
      </c>
      <c r="C27" s="26">
        <f>SUMPRODUCT(ISNUMBER('Pacioretty 3 Comparables'!$AP$11:$AP$363)*1)</f>
        <v>113</v>
      </c>
      <c r="D27" s="19">
        <f>SUMPRODUCT('Pacioretty 3 Comparables'!$AF$11:$AF$363,ISNUMBER('Pacioretty 3 Comparables'!$AP$11:$AP$363)*1)</f>
        <v>57.287149154963785</v>
      </c>
      <c r="E27" s="31">
        <f>IF(D27&gt;0,SUMPRODUCT('Pacioretty 3 Comparables'!$AF$11:$AF$363,'Pacioretty 3 Comparables'!$AP$11:$AP$363)/D27,NA())</f>
        <v>-0.14406301678662672</v>
      </c>
      <c r="F27" s="13">
        <v>-0.19015620716285539</v>
      </c>
      <c r="G27" s="33">
        <f>(SUMPRODUCT('Pacioretty 3 Comparables'!$AF$11:$AF$363,'Pacioretty 3 Comparables'!$AP$11:$AP$363)+K_league*F27)/(D27+K_league)</f>
        <v>-0.15091323870196974</v>
      </c>
      <c r="H27" s="31">
        <f>H26+G27</f>
        <v>0.88437541407870712</v>
      </c>
      <c r="I27" s="34">
        <f>IF(D27&gt;0,SUMPRODUCT('Pacioretty 3 Comparables'!$AF$11:$AF$363,'Pacioretty 3 Comparables'!$AQ$11:$AQ$363)/D27,NA())</f>
        <v>0.87543536049453474</v>
      </c>
    </row>
    <row r="30" spans="1:9" ht="22.05" customHeight="1" x14ac:dyDescent="0.45">
      <c r="A30" s="1" t="s">
        <v>721</v>
      </c>
    </row>
    <row r="31" spans="1:9" ht="53" customHeight="1" x14ac:dyDescent="0.45">
      <c r="A31" s="3" t="s">
        <v>825</v>
      </c>
      <c r="B31" s="4"/>
      <c r="C31" s="4"/>
      <c r="D31" s="4"/>
      <c r="E31" s="4"/>
      <c r="F31" s="4"/>
      <c r="G31" s="4"/>
      <c r="H31" s="4"/>
      <c r="I31" s="4"/>
    </row>
    <row r="33" spans="1:9" ht="51.75" customHeight="1" x14ac:dyDescent="0.45">
      <c r="A33" s="5" t="s">
        <v>723</v>
      </c>
      <c r="B33" s="6" t="s">
        <v>100</v>
      </c>
      <c r="C33" s="6" t="s">
        <v>718</v>
      </c>
      <c r="D33" s="6" t="s">
        <v>724</v>
      </c>
      <c r="E33" s="6" t="s">
        <v>725</v>
      </c>
      <c r="F33" s="6" t="s">
        <v>145</v>
      </c>
      <c r="G33" s="6" t="s">
        <v>726</v>
      </c>
      <c r="H33" s="6" t="s">
        <v>727</v>
      </c>
      <c r="I33" s="6" t="s">
        <v>728</v>
      </c>
    </row>
    <row r="34" spans="1:9" ht="20.25" customHeight="1" x14ac:dyDescent="0.45">
      <c r="A34" s="7" t="s">
        <v>127</v>
      </c>
      <c r="B34" s="26">
        <v>30</v>
      </c>
      <c r="C34" s="31">
        <f>IFERROR(INDEX($H$22:$H$27,MATCH(B34,$B$22:$B$27,0)),$H$27)</f>
        <v>1.3765277048331219</v>
      </c>
      <c r="D34" s="31">
        <f>C34/$C$34</f>
        <v>1</v>
      </c>
      <c r="E34" s="31">
        <f>IF($C$34&lt;=BaseFloor,1,MIN(MAX(D34,RatioFloor),RatioCap))</f>
        <v>1</v>
      </c>
      <c r="F34" s="35">
        <f>'Pacioretty 1 Seasons'!$D$30</f>
        <v>1.4866343101488286</v>
      </c>
      <c r="G34" s="36">
        <f>IF(F34&gt;=0,F34*E34,F34)</f>
        <v>1.4866343101488286</v>
      </c>
      <c r="H34" s="37">
        <f>'Pacioretty 1 Seasons'!$D$15</f>
        <v>66</v>
      </c>
      <c r="I34" s="38">
        <f>'Pacioretty 1 Seasons'!$N$15</f>
        <v>0.781426275790019</v>
      </c>
    </row>
    <row r="35" spans="1:9" ht="20.25" customHeight="1" x14ac:dyDescent="0.45">
      <c r="A35" s="7" t="s">
        <v>130</v>
      </c>
      <c r="B35" s="26">
        <v>31</v>
      </c>
      <c r="C35" s="31">
        <f>IFERROR(INDEX($H$22:$H$27,MATCH(B35,$B$22:$B$27,0)),$H$27)</f>
        <v>1.3467992614310398</v>
      </c>
      <c r="D35" s="31">
        <f>C35/$C$34</f>
        <v>0.97840330906693507</v>
      </c>
      <c r="E35" s="31">
        <f>IF($C$34&lt;=BaseFloor,1,MIN(MAX(D35,RatioFloor),RatioCap))</f>
        <v>0.97840330906693507</v>
      </c>
      <c r="F35" s="35">
        <f>'Pacioretty 1 Seasons'!$D$30</f>
        <v>1.4866343101488286</v>
      </c>
      <c r="G35" s="36">
        <f>IF(F35&gt;=0,F35*E35,0)</f>
        <v>1.4545279284220543</v>
      </c>
      <c r="H35" s="37">
        <f>'Pacioretty 1 Seasons'!$D$16</f>
        <v>71</v>
      </c>
      <c r="I35" s="38">
        <f>'Pacioretty 1 Seasons'!$N$16</f>
        <v>3.6147362245800303</v>
      </c>
    </row>
    <row r="36" spans="1:9" ht="20.25" customHeight="1" x14ac:dyDescent="0.45">
      <c r="A36" s="7" t="s">
        <v>131</v>
      </c>
      <c r="B36" s="26">
        <v>32</v>
      </c>
      <c r="C36" s="31">
        <f>IFERROR(INDEX($H$22:$H$27,MATCH(B36,$B$22:$B$27,0)),$H$27)</f>
        <v>1.1126024790447431</v>
      </c>
      <c r="D36" s="31">
        <f>C36/$C$34</f>
        <v>0.8082674072874001</v>
      </c>
      <c r="E36" s="31">
        <f>IF($C$34&lt;=BaseFloor,1,MIN(MAX(D36,RatioFloor),RatioCap))</f>
        <v>0.8082674072874001</v>
      </c>
      <c r="F36" s="35">
        <f>'Pacioretty 1 Seasons'!$D$30</f>
        <v>1.4866343101488286</v>
      </c>
      <c r="G36" s="36">
        <f>IF(F36&gt;=0,F36*E36,0)</f>
        <v>1.2015980594484863</v>
      </c>
      <c r="H36" s="37">
        <f>'Pacioretty 1 Seasons'!$D$17</f>
        <v>48</v>
      </c>
      <c r="I36" s="38">
        <f>'Pacioretty 1 Seasons'!$N$17</f>
        <v>3.893735519195745</v>
      </c>
    </row>
    <row r="37" spans="1:9" ht="20.25" customHeight="1" x14ac:dyDescent="0.45">
      <c r="A37" s="7" t="s">
        <v>132</v>
      </c>
      <c r="B37" s="26">
        <v>33</v>
      </c>
      <c r="C37" s="31">
        <f>IFERROR(INDEX($H$22:$H$27,MATCH(B37,$B$22:$B$27,0)),$H$27)</f>
        <v>1.0352886527806768</v>
      </c>
      <c r="D37" s="31">
        <f>C37/$C$34</f>
        <v>0.75210157350678686</v>
      </c>
      <c r="E37" s="31">
        <f>IF($C$34&lt;=BaseFloor,1,MIN(MAX(D37,RatioFloor),RatioCap))</f>
        <v>0.75210157350678686</v>
      </c>
      <c r="F37" s="35">
        <f>'Pacioretty 1 Seasons'!$D$30</f>
        <v>1.4866343101488286</v>
      </c>
      <c r="G37" s="36">
        <f>IF(F37&gt;=0,F37*E37,0)</f>
        <v>1.1181000038921105</v>
      </c>
      <c r="H37" s="37">
        <f>'Pacioretty 1 Seasons'!$D$18</f>
        <v>39</v>
      </c>
      <c r="I37" s="38">
        <f>'Pacioretty 1 Seasons'!$N$18</f>
        <v>1.62347635439771</v>
      </c>
    </row>
    <row r="38" spans="1:9" ht="20.25" customHeight="1" x14ac:dyDescent="0.45">
      <c r="A38" s="7" t="s">
        <v>133</v>
      </c>
      <c r="B38" s="26">
        <v>34</v>
      </c>
      <c r="C38" s="31">
        <f>IFERROR(INDEX($H$22:$H$27,MATCH(B38,$B$22:$B$27,0)),$H$27)</f>
        <v>0.88437541407870712</v>
      </c>
      <c r="D38" s="31">
        <f>C38/$C$34</f>
        <v>0.64246829974694986</v>
      </c>
      <c r="E38" s="31">
        <f>IF($C$34&lt;=BaseFloor,1,MIN(MAX(D38,RatioFloor),RatioCap))</f>
        <v>0.64246829974694986</v>
      </c>
      <c r="F38" s="35">
        <f>'Pacioretty 1 Seasons'!$D$30</f>
        <v>1.4866343101488286</v>
      </c>
      <c r="G38" s="36">
        <f>IF(F38&gt;=0,F38*E38,0)</f>
        <v>0.95511541758679763</v>
      </c>
      <c r="H38" s="37">
        <f>'Pacioretty 1 Seasons'!$D$19</f>
        <v>5</v>
      </c>
      <c r="I38" s="38">
        <f>'Pacioretty 1 Seasons'!$N$19</f>
        <v>0.29143607601732902</v>
      </c>
    </row>
    <row r="40" spans="1:9" ht="38" customHeight="1" x14ac:dyDescent="0.45">
      <c r="A40" s="3" t="s">
        <v>729</v>
      </c>
      <c r="B40" s="4"/>
      <c r="C40" s="4"/>
      <c r="D40" s="4"/>
      <c r="E40" s="4"/>
      <c r="F40" s="4"/>
      <c r="G40" s="4"/>
      <c r="H40" s="4"/>
      <c r="I40" s="4"/>
    </row>
  </sheetData>
  <mergeCells count="4">
    <mergeCell ref="A40:I40"/>
    <mergeCell ref="A31:I31"/>
    <mergeCell ref="A19:I19"/>
    <mergeCell ref="A4:F4"/>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10</vt:i4>
      </vt:variant>
    </vt:vector>
  </HeadingPairs>
  <TitlesOfParts>
    <vt:vector size="25" baseType="lpstr">
      <vt:lpstr>Read me</vt:lpstr>
      <vt:lpstr>Settings</vt:lpstr>
      <vt:lpstr>Yardstick</vt:lpstr>
      <vt:lpstr>OReilly 1 Seasons</vt:lpstr>
      <vt:lpstr>OReilly 2 Profile</vt:lpstr>
      <vt:lpstr>OReilly 3 Comparables</vt:lpstr>
      <vt:lpstr>OReilly 4 Aging path</vt:lpstr>
      <vt:lpstr>Kadri 1 Seasons</vt:lpstr>
      <vt:lpstr>Kadri 2 Profile</vt:lpstr>
      <vt:lpstr>Kadri 3 Comparables</vt:lpstr>
      <vt:lpstr>Kadri 4 Aging path</vt:lpstr>
      <vt:lpstr>Pacioretty 1 Seasons</vt:lpstr>
      <vt:lpstr>Pacioretty 2 Profile</vt:lpstr>
      <vt:lpstr>Pacioretty 3 Comparables</vt:lpstr>
      <vt:lpstr>Pacioretty 4 Aging path</vt:lpstr>
      <vt:lpstr>BaseFloor</vt:lpstr>
      <vt:lpstr>K_league</vt:lpstr>
      <vt:lpstr>Lambda</vt:lpstr>
      <vt:lpstr>MinGP_base</vt:lpstr>
      <vt:lpstr>MinGP_curve</vt:lpstr>
      <vt:lpstr>RatioCap</vt:lpstr>
      <vt:lpstr>RatioFloor</vt:lpstr>
      <vt:lpstr>W_older</vt:lpstr>
      <vt:lpstr>W_recent</vt:lpstr>
      <vt:lpstr>Yardstick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Mihaljevic</cp:lastModifiedBy>
  <dcterms:created xsi:type="dcterms:W3CDTF">2026-09-25T20:15:41Z</dcterms:created>
  <dcterms:modified xsi:type="dcterms:W3CDTF">2026-09-25T20:46:19Z</dcterms:modified>
</cp:coreProperties>
</file>